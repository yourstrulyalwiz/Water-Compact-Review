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f4bb4f258934f03" /></Relationships>
</file>

<file path=xl/workbook.xml><?xml version="1.0" encoding="utf-8"?>
<x:workbook xmlns:x="http://schemas.openxmlformats.org/spreadsheetml/2006/main">
  <x:sheets>
    <x:sheet xmlns:r="http://schemas.openxmlformats.org/officeDocument/2006/relationships" name="Summary" sheetId="1" r:id="Rff99fa5b3bd54c58"/>
    <x:sheet xmlns:r="http://schemas.openxmlformats.org/officeDocument/2006/relationships" name="Documents" sheetId="2" r:id="R78af140080554676"/>
    <x:sheet xmlns:r="http://schemas.openxmlformats.org/officeDocument/2006/relationships" name="Candidates" sheetId="3" r:id="R12ff80690e9f48f8"/>
    <x:sheet xmlns:r="http://schemas.openxmlformats.org/officeDocument/2006/relationships" name="Source Anchors" sheetId="4" r:id="R348e3a4d6c464cc3"/>
    <x:sheet xmlns:r="http://schemas.openxmlformats.org/officeDocument/2006/relationships" name="Anchor Rectangles" sheetId="5" r:id="R8a7016c139aa455c"/>
    <x:sheet xmlns:r="http://schemas.openxmlformats.org/officeDocument/2006/relationships" name="Relationships" sheetId="6" r:id="R888781372da348d8"/>
    <x:sheet xmlns:r="http://schemas.openxmlformats.org/officeDocument/2006/relationships" name="Unresolved" sheetId="7" r:id="Rec86fab3bd7a4b8d"/>
    <x:sheet xmlns:r="http://schemas.openxmlformats.org/officeDocument/2006/relationships" name="Data Dictionary" sheetId="8" r:id="R374417ba53c8491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000000"/>
  </x:numFmts>
  <x:fonts count="23">
    <x:font>
      <x:sz val="11"/>
      <x:name val="Carlito"/>
    </x:font>
    <x:font>
      <x:b/>
      <x:sz val="16"/>
      <x:color rgb="FFFFFFFF"/>
      <x:name val="Carlito"/>
    </x:font>
    <x:font>
      <x:i/>
      <x:sz val="10"/>
      <x:color rgb="FF43515D"/>
      <x:name val="Carlito"/>
    </x:font>
    <x:font>
      <x:b/>
      <x:sz val="9"/>
      <x:color rgb="FFFFFFFF"/>
      <x:name val="Carlito"/>
    </x:font>
    <x:font>
      <x:sz val="9"/>
      <x:color rgb="FF1F2933"/>
      <x:name val="Carlito"/>
    </x:font>
    <x:font>
      <x:b/>
      <x:sz val="16"/>
      <x:color rgb="FFFFFFFF"/>
      <x:name val="Aptos"/>
    </x:font>
    <x:font>
      <x:i/>
      <x:sz val="10"/>
      <x:color rgb="FF43515D"/>
      <x:name val="Aptos"/>
    </x:font>
    <x:font>
      <x:sz val="11"/>
      <x:name val="Aptos"/>
    </x:font>
    <x:font>
      <x:b/>
      <x:sz val="9"/>
      <x:color rgb="FFFFFFFF"/>
      <x:name val="Aptos"/>
    </x:font>
    <x:font>
      <x:sz val="9"/>
      <x:color rgb="FF1F2933"/>
      <x:name val="Aptos"/>
    </x:font>
    <x:font>
      <x:b/>
      <x:sz val="12"/>
      <x:color rgb="FF0B6E69"/>
      <x:name val="Carlito"/>
    </x:font>
    <x:font>
      <x:b/>
      <x:sz val="18"/>
      <x:color rgb="FFFFFFFF"/>
      <x:name val="Carlito"/>
    </x:font>
    <x:font>
      <x:i/>
      <x:sz val="10"/>
      <x:color rgb="FF15324B"/>
      <x:name val="Carlito"/>
    </x:font>
    <x:font>
      <x:b/>
      <x:sz val="11"/>
      <x:color rgb="FF15324B"/>
      <x:name val="Carlito"/>
    </x:font>
    <x:font>
      <x:b/>
      <x:sz val="22"/>
      <x:color rgb="FF15324B"/>
      <x:name val="Carlito"/>
    </x:font>
    <x:font>
      <x:b/>
      <x:sz val="11"/>
      <x:color rgb="FFFFFFFF"/>
      <x:name val="Carlito"/>
    </x:font>
    <x:font>
      <x:b/>
      <x:sz val="11"/>
      <x:color rgb="FF2F6B9A"/>
      <x:name val="Carlito"/>
    </x:font>
    <x:font>
      <x:b/>
      <x:sz val="18"/>
      <x:color rgb="FFFFFFFF"/>
      <x:name val="Aptos"/>
    </x:font>
    <x:font>
      <x:i/>
      <x:sz val="10"/>
      <x:color rgb="FF15324B"/>
      <x:name val="Aptos"/>
    </x:font>
    <x:font>
      <x:b/>
      <x:sz val="11"/>
      <x:color rgb="FF15324B"/>
      <x:name val="Aptos"/>
    </x:font>
    <x:font>
      <x:b/>
      <x:sz val="22"/>
      <x:color rgb="FF15324B"/>
      <x:name val="Aptos"/>
    </x:font>
    <x:font>
      <x:b/>
      <x:sz val="11"/>
      <x:color rgb="FFFFFFFF"/>
      <x:name val="Aptos"/>
    </x:font>
    <x:font>
      <x:b/>
      <x:sz val="11"/>
      <x:color rgb="FF2F6B9A"/>
      <x:name val="Aptos"/>
    </x:font>
  </x:fonts>
  <x:fills count="14">
    <x:fill>
      <x:patternFill patternType="none"/>
    </x:fill>
    <x:fill>
      <x:patternFill patternType="gray125"/>
    </x:fill>
    <x:fill>
      <x:patternFill patternType="solid">
        <x:fgColor rgb="FF2F6B9A"/>
      </x:patternFill>
    </x:fill>
    <x:fill>
      <x:patternFill patternType="solid">
        <x:fgColor rgb="FFF3F5F7"/>
      </x:patternFill>
    </x:fill>
    <x:fill>
      <x:patternFill patternType="solid">
        <x:fgColor rgb="FF15324B"/>
      </x:patternFill>
    </x:fill>
    <x:fill>
      <x:patternFill patternType="solid">
        <x:fgColor rgb="FF0B6E69"/>
      </x:patternFill>
    </x:fill>
    <x:fill>
      <x:patternFill patternType="solid">
        <x:fgColor rgb="FF6B3FA0"/>
      </x:patternFill>
    </x:fill>
    <x:fill>
      <x:patternFill patternType="solid">
        <x:fgColor rgb="FFB5473C"/>
      </x:patternFill>
    </x:fill>
    <x:fill>
      <x:patternFill patternType="solid">
        <x:fgColor rgb="FFE7F4F1"/>
      </x:patternFill>
    </x:fill>
    <x:fill>
      <x:patternFill patternType="solid">
        <x:fgColor rgb="FFEAF2F8"/>
      </x:patternFill>
    </x:fill>
    <x:fill>
      <x:patternFill patternType="solid">
        <x:fgColor rgb="FFDCE6EE"/>
      </x:patternFill>
    </x:fill>
    <x:fill>
      <x:patternFill patternType="solid">
        <x:fgColor rgb="FFF3EAFE"/>
      </x:patternFill>
    </x:fill>
    <x:fill>
      <x:patternFill patternType="solid">
        <x:fgColor rgb="FFFFF4D6"/>
      </x:patternFill>
    </x:fill>
    <x:fill>
      <x:patternFill patternType="solid">
        <x:fgColor rgb="FFFCEBE8"/>
      </x:patternFill>
    </x:fill>
  </x:fills>
  <x:borders count="23">
    <x:border/>
    <x:border>
      <x:bottom style="medium">
        <x:color rgb="FF2F6B9A"/>
      </x:bottom>
    </x:border>
    <x:border>
      <x:bottom style="thin">
        <x:color rgb="FFE8ECEF"/>
      </x:bottom>
    </x:border>
    <x:border>
      <x:top style="thin">
        <x:color rgb="FFE8ECEF"/>
      </x:top>
      <x:bottom style="thin">
        <x:color rgb="FFE8ECEF"/>
      </x:bottom>
    </x:border>
    <x:border>
      <x:top style="thin">
        <x:color rgb="FFE8ECEF"/>
      </x:top>
    </x:border>
    <x:border>
      <x:bottom style="medium">
        <x:color rgb="FF0B6E69"/>
      </x:bottom>
    </x:border>
    <x:border>
      <x:bottom style="medium">
        <x:color rgb="FF6B3FA0"/>
      </x:bottom>
    </x:border>
    <x:border>
      <x:bottom style="medium">
        <x:color rgb="FFB5473C"/>
      </x:bottom>
    </x:border>
    <x:border>
      <x:left style="thin">
        <x:color rgb="FF0B6E69"/>
      </x:left>
      <x:top style="thin">
        <x:color rgb="FF0B6E69"/>
      </x:top>
    </x:border>
    <x:border>
      <x:top style="thin">
        <x:color rgb="FF0B6E69"/>
      </x:top>
    </x:border>
    <x:border>
      <x:right style="thin">
        <x:color rgb="FF0B6E69"/>
      </x:right>
      <x:top style="thin">
        <x:color rgb="FF0B6E69"/>
      </x:top>
    </x:border>
    <x:border>
      <x:left style="thin">
        <x:color rgb="FF0B6E69"/>
      </x:left>
      <x:bottom style="thin">
        <x:color rgb="FF0B6E69"/>
      </x:bottom>
    </x:border>
    <x:border>
      <x:bottom style="thin">
        <x:color rgb="FF0B6E69"/>
      </x:bottom>
    </x:border>
    <x:border>
      <x:right style="thin">
        <x:color rgb="FF0B6E69"/>
      </x:right>
      <x:bottom style="thin">
        <x:color rgb="FF0B6E69"/>
      </x:bottom>
    </x:border>
    <x:border>
      <x:left style="thin">
        <x:color rgb="FFD8DEE4"/>
      </x:left>
      <x:top style="thin">
        <x:color rgb="FFD8DEE4"/>
      </x:top>
    </x:border>
    <x:border>
      <x:top style="thin">
        <x:color rgb="FFD8DEE4"/>
      </x:top>
    </x:border>
    <x:border>
      <x:right style="thin">
        <x:color rgb="FFD8DEE4"/>
      </x:right>
      <x:top style="thin">
        <x:color rgb="FFD8DEE4"/>
      </x:top>
    </x:border>
    <x:border>
      <x:left style="thin">
        <x:color rgb="FFD8DEE4"/>
      </x:left>
      <x:bottom style="thin">
        <x:color rgb="FFD8DEE4"/>
      </x:bottom>
    </x:border>
    <x:border>
      <x:bottom style="thin">
        <x:color rgb="FFD8DEE4"/>
      </x:bottom>
    </x:border>
    <x:border>
      <x:right style="thin">
        <x:color rgb="FFD8DEE4"/>
      </x:right>
      <x:bottom style="thin">
        <x:color rgb="FFD8DEE4"/>
      </x:bottom>
    </x:border>
    <x:border>
      <x:left style="thin">
        <x:color rgb="FFD8DEE4"/>
      </x:left>
      <x:top style="thin">
        <x:color rgb="FFD8DEE4"/>
      </x:top>
      <x:bottom style="thin">
        <x:color rgb="FFD8DEE4"/>
      </x:bottom>
    </x:border>
    <x:border>
      <x:top style="thin">
        <x:color rgb="FFD8DEE4"/>
      </x:top>
      <x:bottom style="thin">
        <x:color rgb="FFD8DEE4"/>
      </x:bottom>
    </x:border>
    <x:border>
      <x:right style="thin">
        <x:color rgb="FFD8DEE4"/>
      </x:right>
      <x:top style="thin">
        <x:color rgb="FFD8DEE4"/>
      </x:top>
      <x:bottom style="thin">
        <x:color rgb="FFD8DEE4"/>
      </x:bottom>
    </x:border>
  </x:borders>
  <x:cellStyleXfs count="1">
    <x:xf numFmtId="0" fontId="0" fillId="0" borderId="0"/>
  </x:cellStyleXfs>
  <x:cellXfs count="20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5" fillId="2" borderId="0" xfId="0" applyNumberFormat="1" applyFont="1" applyFill="1" applyBorder="1" applyAlignment="1">
      <x:alignment vertical="center"/>
    </x:xf>
    <x:xf numFmtId="0" fontId="6" fillId="3" borderId="0" xfId="0" applyNumberFormat="1" applyFont="1" applyFill="1" applyBorder="1" applyAlignment="1">
      <x:alignment vertical="center" wrapText="1"/>
    </x:xf>
    <x:xf numFmtId="0" fontId="7" fillId="0" borderId="0" xfId="0" applyNumberFormat="1" applyFont="1" applyFill="1" applyBorder="1"/>
    <x:xf numFmtId="0" fontId="8" fillId="4" borderId="1" xfId="0" applyNumberFormat="1" applyFont="1" applyFill="1" applyBorder="1" applyAlignment="1">
      <x:alignment vertical="center" wrapText="1"/>
    </x:xf>
    <x:xf numFmtId="0" fontId="9" fillId="0" borderId="2" xfId="0" applyNumberFormat="1" applyFont="1" applyFill="1" applyBorder="1" applyAlignment="1">
      <x:alignment vertical="top" wrapText="1"/>
    </x:xf>
    <x:xf numFmtId="0" fontId="9" fillId="0" borderId="3" xfId="0" applyNumberFormat="1" applyFont="1" applyFill="1" applyBorder="1" applyAlignment="1">
      <x:alignment vertical="top" wrapText="1"/>
    </x:xf>
    <x:xf numFmtId="0" fontId="9" fillId="0" borderId="4"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vertical="center"/>
    </x:xf>
    <x:xf numFmtId="0" fontId="3" fillId="4" borderId="5" xfId="0" applyNumberFormat="1" applyFont="1" applyFill="1" applyBorder="1"/>
    <x:xf numFmtId="0" fontId="3" fillId="4" borderId="5" xfId="0" applyNumberFormat="1" applyFont="1" applyFill="1" applyBorder="1" applyAlignment="1">
      <x:alignment wrapText="1"/>
    </x:xf>
    <x:xf numFmtId="0" fontId="3" fillId="4" borderId="5" xfId="0" applyNumberFormat="1" applyFont="1" applyFill="1" applyBorder="1" applyAlignment="1">
      <x:alignment vertical="center" wrapText="1"/>
    </x:xf>
    <x:xf numFmtId="0" fontId="5" fillId="5" borderId="0" xfId="0" applyNumberFormat="1" applyFont="1" applyFill="1" applyBorder="1" applyAlignment="1">
      <x:alignment vertical="center"/>
    </x:xf>
    <x:xf numFmtId="0" fontId="8" fillId="4" borderId="5" xfId="0" applyNumberFormat="1" applyFont="1" applyFill="1" applyBorder="1" applyAlignment="1">
      <x:alignment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vertical="center"/>
    </x:xf>
    <x:xf numFmtId="0" fontId="3" fillId="4" borderId="6" xfId="0" applyNumberFormat="1" applyFont="1" applyFill="1" applyBorder="1"/>
    <x:xf numFmtId="0" fontId="3" fillId="4" borderId="6" xfId="0" applyNumberFormat="1" applyFont="1" applyFill="1" applyBorder="1" applyAlignment="1">
      <x:alignment wrapText="1"/>
    </x:xf>
    <x:xf numFmtId="0" fontId="3" fillId="4" borderId="6" xfId="0" applyNumberFormat="1" applyFont="1" applyFill="1" applyBorder="1" applyAlignment="1">
      <x:alignment vertical="center" wrapText="1"/>
    </x:xf>
    <x:xf numFmtId="0" fontId="5" fillId="6" borderId="0" xfId="0" applyNumberFormat="1" applyFont="1" applyFill="1" applyBorder="1" applyAlignment="1">
      <x:alignment vertical="center"/>
    </x:xf>
    <x:xf numFmtId="0" fontId="8" fillId="4" borderId="6" xfId="0" applyNumberFormat="1" applyFont="1" applyFill="1" applyBorder="1" applyAlignment="1">
      <x:alignment vertical="center" wrapText="1"/>
    </x:xf>
    <x:xf numFmtId="200" fontId="9" fillId="0" borderId="2" xfId="0" applyNumberFormat="1" applyFont="1" applyFill="1" applyBorder="1" applyAlignment="1">
      <x:alignment vertical="top" wrapText="1"/>
    </x:xf>
    <x:xf numFmtId="200" fontId="9" fillId="0" borderId="3" xfId="0" applyNumberFormat="1" applyFont="1" applyFill="1" applyBorder="1" applyAlignment="1">
      <x:alignment vertical="top" wrapText="1"/>
    </x:xf>
    <x:xf numFmtId="200" fontId="9" fillId="0" borderId="4" xfId="0" applyNumberFormat="1" applyFont="1" applyFill="1" applyBorder="1" applyAlignment="1">
      <x:alignment vertical="top" wrapText="1"/>
    </x:xf>
    <x:xf numFmtId="201" fontId="9" fillId="0" borderId="2" xfId="0" applyNumberFormat="1" applyFont="1" applyFill="1" applyBorder="1" applyAlignment="1">
      <x:alignment vertical="top" wrapText="1"/>
    </x:xf>
    <x:xf numFmtId="201" fontId="9" fillId="0" borderId="3" xfId="0" applyNumberFormat="1" applyFont="1" applyFill="1" applyBorder="1" applyAlignment="1">
      <x:alignment vertical="top" wrapText="1"/>
    </x:xf>
    <x:xf numFmtId="201" fontId="9" fillId="0" borderId="4"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3" fillId="4" borderId="7" xfId="0" applyNumberFormat="1" applyFont="1" applyFill="1" applyBorder="1"/>
    <x:xf numFmtId="0" fontId="3" fillId="4" borderId="7" xfId="0" applyNumberFormat="1" applyFont="1" applyFill="1" applyBorder="1" applyAlignment="1">
      <x:alignment wrapText="1"/>
    </x:xf>
    <x:xf numFmtId="0" fontId="3" fillId="4" borderId="7" xfId="0" applyNumberFormat="1" applyFont="1" applyFill="1" applyBorder="1" applyAlignment="1">
      <x:alignment vertical="center" wrapText="1"/>
    </x:xf>
    <x:xf numFmtId="0" fontId="5" fillId="7" borderId="0" xfId="0" applyNumberFormat="1" applyFont="1" applyFill="1" applyBorder="1" applyAlignment="1">
      <x:alignment vertical="center"/>
    </x:xf>
    <x:xf numFmtId="0" fontId="8" fillId="4" borderId="7" xfId="0" applyNumberFormat="1" applyFont="1" applyFill="1" applyBorder="1" applyAlignment="1">
      <x:alignment vertical="center" wrapText="1"/>
    </x:xf>
    <x:xf numFmtId="0" fontId="0" fillId="8" borderId="0" xfId="0" applyNumberFormat="1" applyFont="1" applyFill="1" applyBorder="1"/>
    <x:xf numFmtId="0" fontId="10" fillId="8" borderId="0" xfId="0" applyNumberFormat="1" applyFont="1" applyFill="1" applyBorder="1"/>
    <x:xf numFmtId="0" fontId="10" fillId="8" borderId="8" xfId="0" applyNumberFormat="1" applyFont="1" applyFill="1" applyBorder="1"/>
    <x:xf numFmtId="0" fontId="10" fillId="8" borderId="9" xfId="0" applyNumberFormat="1" applyFont="1" applyFill="1" applyBorder="1"/>
    <x:xf numFmtId="0" fontId="10" fillId="8" borderId="10" xfId="0" applyNumberFormat="1" applyFont="1" applyFill="1" applyBorder="1"/>
    <x:xf numFmtId="0" fontId="10" fillId="8" borderId="11" xfId="0" applyNumberFormat="1" applyFont="1" applyFill="1" applyBorder="1"/>
    <x:xf numFmtId="0" fontId="10" fillId="8" borderId="12" xfId="0" applyNumberFormat="1" applyFont="1" applyFill="1" applyBorder="1"/>
    <x:xf numFmtId="0" fontId="10" fillId="8" borderId="13" xfId="0" applyNumberFormat="1" applyFont="1" applyFill="1" applyBorder="1"/>
    <x:xf numFmtId="0" fontId="10" fillId="8" borderId="8" xfId="0" applyNumberFormat="1" applyFont="1" applyFill="1" applyBorder="1" applyAlignment="1">
      <x:alignment wrapText="1"/>
    </x:xf>
    <x:xf numFmtId="0" fontId="10" fillId="8" borderId="9" xfId="0" applyNumberFormat="1" applyFont="1" applyFill="1" applyBorder="1" applyAlignment="1">
      <x:alignment wrapText="1"/>
    </x:xf>
    <x:xf numFmtId="0" fontId="10" fillId="8" borderId="10" xfId="0" applyNumberFormat="1" applyFont="1" applyFill="1" applyBorder="1" applyAlignment="1">
      <x:alignment wrapText="1"/>
    </x:xf>
    <x:xf numFmtId="0" fontId="10" fillId="8" borderId="11" xfId="0" applyNumberFormat="1" applyFont="1" applyFill="1" applyBorder="1" applyAlignment="1">
      <x:alignment wrapText="1"/>
    </x:xf>
    <x:xf numFmtId="0" fontId="10" fillId="8" borderId="12" xfId="0" applyNumberFormat="1" applyFont="1" applyFill="1" applyBorder="1" applyAlignment="1">
      <x:alignment wrapText="1"/>
    </x:xf>
    <x:xf numFmtId="0" fontId="10" fillId="8" borderId="13" xfId="0" applyNumberFormat="1" applyFont="1" applyFill="1" applyBorder="1" applyAlignment="1">
      <x:alignment wrapText="1"/>
    </x:xf>
    <x:xf numFmtId="0" fontId="10" fillId="8" borderId="8" xfId="0" applyNumberFormat="1" applyFont="1" applyFill="1" applyBorder="1" applyAlignment="1">
      <x:alignment horizontal="center" wrapText="1"/>
    </x:xf>
    <x:xf numFmtId="0" fontId="10" fillId="8" borderId="9" xfId="0" applyNumberFormat="1" applyFont="1" applyFill="1" applyBorder="1" applyAlignment="1">
      <x:alignment horizontal="center" wrapText="1"/>
    </x:xf>
    <x:xf numFmtId="0" fontId="10" fillId="8" borderId="10" xfId="0" applyNumberFormat="1" applyFont="1" applyFill="1" applyBorder="1" applyAlignment="1">
      <x:alignment horizontal="center" wrapText="1"/>
    </x:xf>
    <x:xf numFmtId="0" fontId="10" fillId="8" borderId="11" xfId="0" applyNumberFormat="1" applyFont="1" applyFill="1" applyBorder="1" applyAlignment="1">
      <x:alignment horizontal="center" wrapText="1"/>
    </x:xf>
    <x:xf numFmtId="0" fontId="10" fillId="8" borderId="12" xfId="0" applyNumberFormat="1" applyFont="1" applyFill="1" applyBorder="1" applyAlignment="1">
      <x:alignment horizontal="center" wrapText="1"/>
    </x:xf>
    <x:xf numFmtId="0" fontId="10" fillId="8" borderId="13" xfId="0" applyNumberFormat="1" applyFont="1" applyFill="1" applyBorder="1" applyAlignment="1">
      <x:alignment horizontal="center" wrapText="1"/>
    </x:xf>
    <x:xf numFmtId="0" fontId="10" fillId="8" borderId="8" xfId="0" applyNumberFormat="1" applyFont="1" applyFill="1" applyBorder="1" applyAlignment="1">
      <x:alignment horizontal="center" vertical="center" wrapText="1"/>
    </x:xf>
    <x:xf numFmtId="0" fontId="10" fillId="8" borderId="9" xfId="0" applyNumberFormat="1" applyFont="1" applyFill="1" applyBorder="1" applyAlignment="1">
      <x:alignment horizontal="center" vertical="center" wrapText="1"/>
    </x:xf>
    <x:xf numFmtId="0" fontId="10" fillId="8" borderId="10" xfId="0" applyNumberFormat="1" applyFont="1" applyFill="1" applyBorder="1" applyAlignment="1">
      <x:alignment horizontal="center" vertical="center" wrapText="1"/>
    </x:xf>
    <x:xf numFmtId="0" fontId="10" fillId="8" borderId="11" xfId="0" applyNumberFormat="1" applyFont="1" applyFill="1" applyBorder="1" applyAlignment="1">
      <x:alignment horizontal="center" vertical="center" wrapText="1"/>
    </x:xf>
    <x:xf numFmtId="0" fontId="10" fillId="8" borderId="12" xfId="0" applyNumberFormat="1" applyFont="1" applyFill="1" applyBorder="1" applyAlignment="1">
      <x:alignment horizontal="center" vertical="center" wrapText="1"/>
    </x:xf>
    <x:xf numFmtId="0" fontId="10" fillId="8" borderId="13" xfId="0" applyNumberFormat="1" applyFont="1" applyFill="1" applyBorder="1" applyAlignment="1">
      <x:alignment horizontal="center" vertical="center" wrapText="1"/>
    </x:xf>
    <x:xf numFmtId="0" fontId="11" fillId="4" borderId="0" xfId="0" applyNumberFormat="1" applyFont="1" applyFill="1" applyBorder="1"/>
    <x:xf numFmtId="0" fontId="11" fillId="4" borderId="0" xfId="0" applyNumberFormat="1" applyFont="1" applyFill="1" applyBorder="1" applyAlignment="1">
      <x:alignment vertical="center"/>
    </x:xf>
    <x:xf numFmtId="0" fontId="0" fillId="9" borderId="0" xfId="0" applyNumberFormat="1" applyFont="1" applyFill="1" applyBorder="1"/>
    <x:xf numFmtId="0" fontId="12" fillId="9" borderId="0" xfId="0" applyNumberFormat="1" applyFont="1" applyFill="1" applyBorder="1"/>
    <x:xf numFmtId="0" fontId="12" fillId="9" borderId="0" xfId="0" applyNumberFormat="1" applyFont="1" applyFill="1" applyBorder="1" applyAlignment="1">
      <x:alignment vertical="center"/>
    </x:xf>
    <x:xf numFmtId="0" fontId="0" fillId="10" borderId="0" xfId="0" applyNumberFormat="1" applyFont="1" applyFill="1" applyBorder="1"/>
    <x:xf numFmtId="0" fontId="13" fillId="10" borderId="0" xfId="0" applyNumberFormat="1" applyFont="1" applyFill="1" applyBorder="1"/>
    <x:xf numFmtId="0" fontId="13" fillId="10" borderId="0" xfId="0" applyNumberFormat="1" applyFont="1" applyFill="1" applyBorder="1" applyAlignment="1">
      <x:alignment horizontal="center"/>
    </x:xf>
    <x:xf numFmtId="0" fontId="14" fillId="0" borderId="0" xfId="0" applyNumberFormat="1" applyFont="1" applyFill="1" applyBorder="1"/>
    <x:xf numFmtId="0" fontId="14" fillId="0" borderId="14" xfId="0" applyNumberFormat="1" applyFont="1" applyFill="1" applyBorder="1"/>
    <x:xf numFmtId="0" fontId="14" fillId="0" borderId="15" xfId="0" applyNumberFormat="1" applyFont="1" applyFill="1" applyBorder="1"/>
    <x:xf numFmtId="0" fontId="14" fillId="0" borderId="16" xfId="0" applyNumberFormat="1" applyFont="1" applyFill="1" applyBorder="1"/>
    <x:xf numFmtId="0" fontId="14" fillId="0" borderId="17" xfId="0" applyNumberFormat="1" applyFont="1" applyFill="1" applyBorder="1"/>
    <x:xf numFmtId="0" fontId="14" fillId="0" borderId="18" xfId="0" applyNumberFormat="1" applyFont="1" applyFill="1" applyBorder="1"/>
    <x:xf numFmtId="0" fontId="14" fillId="0" borderId="19" xfId="0" applyNumberFormat="1" applyFont="1" applyFill="1" applyBorder="1"/>
    <x:xf numFmtId="0" fontId="14" fillId="0" borderId="14" xfId="0" applyNumberFormat="1" applyFont="1" applyFill="1" applyBorder="1" applyAlignment="1">
      <x:alignment horizontal="center"/>
    </x:xf>
    <x:xf numFmtId="0" fontId="14" fillId="0" borderId="15" xfId="0" applyNumberFormat="1" applyFont="1" applyFill="1" applyBorder="1" applyAlignment="1">
      <x:alignment horizontal="center"/>
    </x:xf>
    <x:xf numFmtId="0" fontId="14" fillId="0" borderId="16" xfId="0" applyNumberFormat="1" applyFont="1" applyFill="1" applyBorder="1" applyAlignment="1">
      <x:alignment horizontal="center"/>
    </x:xf>
    <x:xf numFmtId="0" fontId="14" fillId="0" borderId="17" xfId="0" applyNumberFormat="1" applyFont="1" applyFill="1" applyBorder="1" applyAlignment="1">
      <x:alignment horizontal="center"/>
    </x:xf>
    <x:xf numFmtId="0" fontId="14" fillId="0" borderId="18" xfId="0" applyNumberFormat="1" applyFont="1" applyFill="1" applyBorder="1" applyAlignment="1">
      <x:alignment horizontal="center"/>
    </x:xf>
    <x:xf numFmtId="0" fontId="14" fillId="0" borderId="19" xfId="0" applyNumberFormat="1" applyFont="1" applyFill="1" applyBorder="1" applyAlignment="1">
      <x:alignment horizontal="center"/>
    </x:xf>
    <x:xf numFmtId="0" fontId="14" fillId="0" borderId="14" xfId="0" applyNumberFormat="1" applyFont="1" applyFill="1" applyBorder="1" applyAlignment="1">
      <x:alignment horizontal="center" vertical="center"/>
    </x:xf>
    <x:xf numFmtId="0" fontId="14" fillId="0" borderId="15" xfId="0" applyNumberFormat="1" applyFont="1" applyFill="1" applyBorder="1" applyAlignment="1">
      <x:alignment horizontal="center" vertical="center"/>
    </x:xf>
    <x:xf numFmtId="0" fontId="14" fillId="0" borderId="16" xfId="0" applyNumberFormat="1" applyFont="1" applyFill="1" applyBorder="1" applyAlignment="1">
      <x:alignment horizontal="center" vertical="center"/>
    </x:xf>
    <x:xf numFmtId="0" fontId="14" fillId="0" borderId="17" xfId="0" applyNumberFormat="1" applyFont="1" applyFill="1" applyBorder="1" applyAlignment="1">
      <x:alignment horizontal="center" vertical="center"/>
    </x:xf>
    <x:xf numFmtId="0" fontId="14" fillId="0" borderId="18" xfId="0" applyNumberFormat="1" applyFont="1" applyFill="1" applyBorder="1" applyAlignment="1">
      <x:alignment horizontal="center" vertical="center"/>
    </x:xf>
    <x:xf numFmtId="0" fontId="14" fillId="0" borderId="19" xfId="0" applyNumberFormat="1" applyFont="1" applyFill="1" applyBorder="1" applyAlignment="1">
      <x:alignment horizontal="center" vertical="center"/>
    </x:xf>
    <x:xf numFmtId="0" fontId="14" fillId="8" borderId="14" xfId="0" applyNumberFormat="1" applyFont="1" applyFill="1" applyBorder="1" applyAlignment="1">
      <x:alignment horizontal="center" vertical="center"/>
    </x:xf>
    <x:xf numFmtId="0" fontId="14" fillId="8" borderId="15" xfId="0" applyNumberFormat="1" applyFont="1" applyFill="1" applyBorder="1" applyAlignment="1">
      <x:alignment horizontal="center" vertical="center"/>
    </x:xf>
    <x:xf numFmtId="0" fontId="14" fillId="8" borderId="17" xfId="0" applyNumberFormat="1" applyFont="1" applyFill="1" applyBorder="1" applyAlignment="1">
      <x:alignment horizontal="center" vertical="center"/>
    </x:xf>
    <x:xf numFmtId="0" fontId="14" fillId="8" borderId="18" xfId="0" applyNumberFormat="1" applyFont="1" applyFill="1" applyBorder="1" applyAlignment="1">
      <x:alignment horizontal="center" vertical="center"/>
    </x:xf>
    <x:xf numFmtId="0" fontId="14" fillId="11" borderId="15" xfId="0" applyNumberFormat="1" applyFont="1" applyFill="1" applyBorder="1" applyAlignment="1">
      <x:alignment horizontal="center" vertical="center"/>
    </x:xf>
    <x:xf numFmtId="0" fontId="14" fillId="11" borderId="18" xfId="0" applyNumberFormat="1" applyFont="1" applyFill="1" applyBorder="1" applyAlignment="1">
      <x:alignment horizontal="center" vertical="center"/>
    </x:xf>
    <x:xf numFmtId="0" fontId="14" fillId="9" borderId="15" xfId="0" applyNumberFormat="1" applyFont="1" applyFill="1" applyBorder="1" applyAlignment="1">
      <x:alignment horizontal="center" vertical="center"/>
    </x:xf>
    <x:xf numFmtId="0" fontId="14" fillId="9" borderId="18" xfId="0" applyNumberFormat="1" applyFont="1" applyFill="1" applyBorder="1" applyAlignment="1">
      <x:alignment horizontal="center" vertical="center"/>
    </x:xf>
    <x:xf numFmtId="0" fontId="14" fillId="12" borderId="15" xfId="0" applyNumberFormat="1" applyFont="1" applyFill="1" applyBorder="1" applyAlignment="1">
      <x:alignment horizontal="center" vertical="center"/>
    </x:xf>
    <x:xf numFmtId="0" fontId="14" fillId="12" borderId="18" xfId="0" applyNumberFormat="1" applyFont="1" applyFill="1" applyBorder="1" applyAlignment="1">
      <x:alignment horizontal="center" vertical="center"/>
    </x:xf>
    <x:xf numFmtId="0" fontId="14" fillId="3" borderId="15" xfId="0" applyNumberFormat="1" applyFont="1" applyFill="1" applyBorder="1" applyAlignment="1">
      <x:alignment horizontal="center" vertical="center"/>
    </x:xf>
    <x:xf numFmtId="0" fontId="14" fillId="3" borderId="16" xfId="0" applyNumberFormat="1" applyFont="1" applyFill="1" applyBorder="1" applyAlignment="1">
      <x:alignment horizontal="center" vertical="center"/>
    </x:xf>
    <x:xf numFmtId="0" fontId="14" fillId="3" borderId="18" xfId="0" applyNumberFormat="1" applyFont="1" applyFill="1" applyBorder="1" applyAlignment="1">
      <x:alignment horizontal="center" vertical="center"/>
    </x:xf>
    <x:xf numFmtId="0" fontId="14" fillId="3" borderId="19" xfId="0" applyNumberFormat="1" applyFont="1" applyFill="1" applyBorder="1" applyAlignment="1">
      <x:alignment horizontal="center" vertical="center"/>
    </x:xf>
    <x:xf numFmtId="0" fontId="15" fillId="4" borderId="0" xfId="0" applyNumberFormat="1" applyFont="1" applyFill="1" applyBorder="1"/>
    <x:xf numFmtId="0" fontId="15" fillId="4" borderId="0" xfId="0" applyNumberFormat="1" applyFont="1" applyFill="1" applyBorder="1" applyAlignment="1">
      <x:alignment horizontal="center"/>
    </x:xf>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0" xfId="0" applyNumberFormat="1" applyFont="1" applyFill="1" applyBorder="1" applyAlignment="1">
      <x:alignment horizontal="center"/>
    </x:xf>
    <x:xf numFmtId="0" fontId="0" fillId="0" borderId="21" xfId="0" applyNumberFormat="1" applyFont="1" applyFill="1" applyBorder="1" applyAlignment="1">
      <x:alignment horizontal="center"/>
    </x:xf>
    <x:xf numFmtId="0" fontId="0" fillId="0" borderId="22" xfId="0" applyNumberFormat="1" applyFont="1" applyFill="1" applyBorder="1" applyAlignment="1">
      <x:alignment horizontal="center"/>
    </x:xf>
    <x:xf numFmtId="0" fontId="0" fillId="8" borderId="21" xfId="0" applyNumberFormat="1" applyFont="1" applyFill="1" applyBorder="1" applyAlignment="1">
      <x:alignment horizontal="center"/>
    </x:xf>
    <x:xf numFmtId="0" fontId="0" fillId="12" borderId="21" xfId="0" applyNumberFormat="1" applyFont="1" applyFill="1" applyBorder="1" applyAlignment="1">
      <x:alignment horizontal="center"/>
    </x:xf>
    <x:xf numFmtId="0" fontId="0" fillId="13" borderId="22" xfId="0" applyNumberFormat="1" applyFont="1" applyFill="1" applyBorder="1" applyAlignment="1">
      <x:alignment horizontal="center"/>
    </x:xf>
    <x:xf numFmtId="0" fontId="15" fillId="2" borderId="0" xfId="0" applyNumberFormat="1" applyFont="1" applyFill="1" applyBorder="1"/>
    <x:xf numFmtId="0" fontId="15" fillId="2" borderId="0" xfId="0" applyNumberFormat="1" applyFont="1" applyFill="1" applyBorder="1" applyAlignment="1">
      <x:alignment horizontal="center"/>
    </x:xf>
    <x:xf numFmtId="0" fontId="0" fillId="0" borderId="18" xfId="0" applyNumberFormat="1" applyFont="1" applyFill="1" applyBorder="1"/>
    <x:xf numFmtId="0" fontId="0" fillId="0" borderId="15" xfId="0" applyNumberFormat="1" applyFont="1" applyFill="1" applyBorder="1"/>
    <x:xf numFmtId="0" fontId="0" fillId="0" borderId="18"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8"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9" borderId="18" xfId="0" applyNumberFormat="1" applyFont="1" applyFill="1" applyBorder="1" applyAlignment="1">
      <x:alignment vertical="center" wrapText="1"/>
    </x:xf>
    <x:xf numFmtId="0" fontId="0" fillId="9" borderId="21" xfId="0" applyNumberFormat="1" applyFont="1" applyFill="1" applyBorder="1" applyAlignment="1">
      <x:alignment vertical="center" wrapText="1"/>
    </x:xf>
    <x:xf numFmtId="0" fontId="0" fillId="9" borderId="15" xfId="0" applyNumberFormat="1" applyFont="1" applyFill="1" applyBorder="1" applyAlignment="1">
      <x:alignment vertical="center" wrapText="1"/>
    </x:xf>
    <x:xf numFmtId="0" fontId="16" fillId="9" borderId="18" xfId="0" applyNumberFormat="1" applyFont="1" applyFill="1" applyBorder="1" applyAlignment="1">
      <x:alignment vertical="center" wrapText="1"/>
    </x:xf>
    <x:xf numFmtId="0" fontId="16" fillId="9" borderId="21" xfId="0" applyNumberFormat="1" applyFont="1" applyFill="1" applyBorder="1" applyAlignment="1">
      <x:alignment vertical="center" wrapText="1"/>
    </x:xf>
    <x:xf numFmtId="0" fontId="16" fillId="9" borderId="15" xfId="0" applyNumberFormat="1" applyFont="1" applyFill="1" applyBorder="1" applyAlignment="1">
      <x:alignment vertical="center" wrapText="1"/>
    </x:xf>
    <x:xf numFmtId="0" fontId="16" fillId="9" borderId="18" xfId="0" applyNumberFormat="1" applyFont="1" applyFill="1" applyBorder="1" applyAlignment="1">
      <x:alignment horizontal="center" vertical="center" wrapText="1"/>
    </x:xf>
    <x:xf numFmtId="0" fontId="16" fillId="9" borderId="21" xfId="0" applyNumberFormat="1" applyFont="1" applyFill="1" applyBorder="1" applyAlignment="1">
      <x:alignment horizontal="center" vertical="center" wrapText="1"/>
    </x:xf>
    <x:xf numFmtId="0" fontId="16" fillId="9" borderId="15" xfId="0" applyNumberFormat="1" applyFont="1" applyFill="1" applyBorder="1" applyAlignment="1">
      <x:alignment horizontal="center" vertical="center" wrapText="1"/>
    </x:xf>
    <x:xf numFmtId="0" fontId="15" fillId="5" borderId="0" xfId="0" applyNumberFormat="1" applyFont="1" applyFill="1" applyBorder="1"/>
    <x:xf numFmtId="0" fontId="15" fillId="5" borderId="0" xfId="0" applyNumberFormat="1" applyFont="1" applyFill="1" applyBorder="1" applyAlignment="1">
      <x:alignment horizontal="center"/>
    </x:xf>
    <x:xf numFmtId="0" fontId="13" fillId="0" borderId="18" xfId="0" applyNumberFormat="1" applyFont="1" applyFill="1" applyBorder="1" applyAlignment="1">
      <x:alignment wrapText="1"/>
    </x:xf>
    <x:xf numFmtId="0" fontId="13" fillId="0" borderId="21" xfId="0" applyNumberFormat="1" applyFont="1" applyFill="1" applyBorder="1" applyAlignment="1">
      <x:alignment wrapText="1"/>
    </x:xf>
    <x:xf numFmtId="0" fontId="13" fillId="0" borderId="15" xfId="0" applyNumberFormat="1" applyFont="1" applyFill="1" applyBorder="1" applyAlignment="1">
      <x:alignment wrapText="1"/>
    </x:xf>
    <x:xf numFmtId="0" fontId="0" fillId="0" borderId="18" xfId="0" applyNumberFormat="1" applyFont="1" applyFill="1" applyBorder="1" applyAlignment="1">
      <x:alignment horizontal="center" wrapText="1"/>
    </x:xf>
    <x:xf numFmtId="0" fontId="0" fillId="0" borderId="21" xfId="0" applyNumberFormat="1" applyFont="1" applyFill="1" applyBorder="1" applyAlignment="1">
      <x:alignment horizontal="center" wrapText="1"/>
    </x:xf>
    <x:xf numFmtId="0" fontId="0" fillId="0" borderId="15" xfId="0" applyNumberFormat="1" applyFont="1" applyFill="1" applyBorder="1" applyAlignment="1">
      <x:alignment horizontal="center" wrapText="1"/>
    </x:xf>
    <x:xf numFmtId="0" fontId="17" fillId="4" borderId="0" xfId="0" applyNumberFormat="1" applyFont="1" applyFill="1" applyBorder="1" applyAlignment="1">
      <x:alignment vertical="center"/>
    </x:xf>
    <x:xf numFmtId="0" fontId="18" fillId="9" borderId="0" xfId="0" applyNumberFormat="1" applyFont="1" applyFill="1" applyBorder="1" applyAlignment="1">
      <x:alignment vertical="center"/>
    </x:xf>
    <x:xf numFmtId="0" fontId="19" fillId="10" borderId="0" xfId="0" applyNumberFormat="1" applyFont="1" applyFill="1" applyBorder="1" applyAlignment="1">
      <x:alignment horizontal="center"/>
    </x:xf>
    <x:xf numFmtId="0" fontId="20" fillId="8" borderId="14" xfId="0" applyNumberFormat="1" applyFont="1" applyFill="1" applyBorder="1" applyAlignment="1">
      <x:alignment horizontal="center" vertical="center"/>
    </x:xf>
    <x:xf numFmtId="0" fontId="20" fillId="8" borderId="15" xfId="0" applyNumberFormat="1" applyFont="1" applyFill="1" applyBorder="1" applyAlignment="1">
      <x:alignment horizontal="center" vertical="center"/>
    </x:xf>
    <x:xf numFmtId="0" fontId="20" fillId="11" borderId="15" xfId="0" applyNumberFormat="1" applyFont="1" applyFill="1" applyBorder="1" applyAlignment="1">
      <x:alignment horizontal="center" vertical="center"/>
    </x:xf>
    <x:xf numFmtId="0" fontId="20" fillId="9" borderId="15" xfId="0" applyNumberFormat="1" applyFont="1" applyFill="1" applyBorder="1" applyAlignment="1">
      <x:alignment horizontal="center" vertical="center"/>
    </x:xf>
    <x:xf numFmtId="0" fontId="20" fillId="12" borderId="15" xfId="0" applyNumberFormat="1" applyFont="1" applyFill="1" applyBorder="1" applyAlignment="1">
      <x:alignment horizontal="center" vertical="center"/>
    </x:xf>
    <x:xf numFmtId="0" fontId="20" fillId="3" borderId="15" xfId="0" applyNumberFormat="1" applyFont="1" applyFill="1" applyBorder="1" applyAlignment="1">
      <x:alignment horizontal="center" vertical="center"/>
    </x:xf>
    <x:xf numFmtId="0" fontId="20" fillId="3" borderId="16" xfId="0" applyNumberFormat="1" applyFont="1" applyFill="1" applyBorder="1" applyAlignment="1">
      <x:alignment horizontal="center" vertical="center"/>
    </x:xf>
    <x:xf numFmtId="0" fontId="20" fillId="8" borderId="17" xfId="0" applyNumberFormat="1" applyFont="1" applyFill="1" applyBorder="1" applyAlignment="1">
      <x:alignment horizontal="center" vertical="center"/>
    </x:xf>
    <x:xf numFmtId="0" fontId="20" fillId="8" borderId="18" xfId="0" applyNumberFormat="1" applyFont="1" applyFill="1" applyBorder="1" applyAlignment="1">
      <x:alignment horizontal="center" vertical="center"/>
    </x:xf>
    <x:xf numFmtId="0" fontId="20" fillId="11" borderId="18" xfId="0" applyNumberFormat="1" applyFont="1" applyFill="1" applyBorder="1" applyAlignment="1">
      <x:alignment horizontal="center" vertical="center"/>
    </x:xf>
    <x:xf numFmtId="0" fontId="20" fillId="9" borderId="18" xfId="0" applyNumberFormat="1" applyFont="1" applyFill="1" applyBorder="1" applyAlignment="1">
      <x:alignment horizontal="center" vertical="center"/>
    </x:xf>
    <x:xf numFmtId="0" fontId="20" fillId="12" borderId="18" xfId="0" applyNumberFormat="1" applyFont="1" applyFill="1" applyBorder="1" applyAlignment="1">
      <x:alignment horizontal="center" vertical="center"/>
    </x:xf>
    <x:xf numFmtId="0" fontId="20" fillId="3" borderId="18" xfId="0" applyNumberFormat="1" applyFont="1" applyFill="1" applyBorder="1" applyAlignment="1">
      <x:alignment horizontal="center" vertical="center"/>
    </x:xf>
    <x:xf numFmtId="0" fontId="20" fillId="3" borderId="19" xfId="0" applyNumberFormat="1" applyFont="1" applyFill="1" applyBorder="1" applyAlignment="1">
      <x:alignment horizontal="center" vertical="center"/>
    </x:xf>
    <x:xf numFmtId="0" fontId="21" fillId="4" borderId="0" xfId="0" applyNumberFormat="1" applyFont="1" applyFill="1" applyBorder="1" applyAlignment="1">
      <x:alignment horizontal="center"/>
    </x:xf>
    <x:xf numFmtId="0" fontId="21" fillId="2" borderId="0" xfId="0" applyNumberFormat="1" applyFont="1" applyFill="1" applyBorder="1" applyAlignment="1">
      <x:alignment horizontal="center"/>
    </x:xf>
    <x:xf numFmtId="0" fontId="7" fillId="0" borderId="20" xfId="0" applyNumberFormat="1" applyFont="1" applyFill="1" applyBorder="1" applyAlignment="1">
      <x:alignment horizontal="center"/>
    </x:xf>
    <x:xf numFmtId="0" fontId="7" fillId="8" borderId="21" xfId="0" applyNumberFormat="1" applyFont="1" applyFill="1" applyBorder="1" applyAlignment="1">
      <x:alignment horizontal="center"/>
    </x:xf>
    <x:xf numFmtId="0" fontId="7" fillId="12" borderId="21" xfId="0" applyNumberFormat="1" applyFont="1" applyFill="1" applyBorder="1" applyAlignment="1">
      <x:alignment horizontal="center"/>
    </x:xf>
    <x:xf numFmtId="0" fontId="7" fillId="13" borderId="22" xfId="0" applyNumberFormat="1" applyFont="1" applyFill="1" applyBorder="1" applyAlignment="1">
      <x:alignment horizontal="center"/>
    </x:xf>
    <x:xf numFmtId="0" fontId="22" fillId="9" borderId="18" xfId="0" applyNumberFormat="1" applyFont="1" applyFill="1" applyBorder="1" applyAlignment="1">
      <x:alignment horizontal="center" vertical="center" wrapText="1"/>
    </x:xf>
    <x:xf numFmtId="0" fontId="7" fillId="0" borderId="18" xfId="0" applyNumberFormat="1" applyFont="1" applyFill="1" applyBorder="1" applyAlignment="1">
      <x:alignment vertical="center" wrapText="1"/>
    </x:xf>
    <x:xf numFmtId="0" fontId="22" fillId="9" borderId="21" xfId="0" applyNumberFormat="1" applyFont="1" applyFill="1" applyBorder="1" applyAlignment="1">
      <x:alignment horizontal="center" vertical="center" wrapText="1"/>
    </x:xf>
    <x:xf numFmtId="0" fontId="7" fillId="0" borderId="21" xfId="0" applyNumberFormat="1" applyFont="1" applyFill="1" applyBorder="1" applyAlignment="1">
      <x:alignment vertical="center" wrapText="1"/>
    </x:xf>
    <x:xf numFmtId="0" fontId="21" fillId="5" borderId="0" xfId="0" applyNumberFormat="1" applyFont="1" applyFill="1" applyBorder="1" applyAlignment="1">
      <x:alignment horizontal="center"/>
    </x:xf>
    <x:xf numFmtId="0" fontId="19" fillId="0" borderId="18" xfId="0" applyNumberFormat="1" applyFont="1" applyFill="1" applyBorder="1" applyAlignment="1">
      <x:alignment wrapText="1"/>
    </x:xf>
    <x:xf numFmtId="0" fontId="7" fillId="0" borderId="18" xfId="0" applyNumberFormat="1" applyFont="1" applyFill="1" applyBorder="1" applyAlignment="1">
      <x:alignment horizontal="center" wrapText="1"/>
    </x:xf>
    <x:xf numFmtId="0" fontId="22" fillId="9" borderId="15" xfId="0" applyNumberFormat="1" applyFont="1" applyFill="1" applyBorder="1" applyAlignment="1">
      <x:alignment horizontal="center" vertical="center" wrapText="1"/>
    </x:xf>
    <x:xf numFmtId="0" fontId="7" fillId="0" borderId="15" xfId="0" applyNumberFormat="1" applyFont="1" applyFill="1" applyBorder="1" applyAlignment="1">
      <x:alignment vertical="center" wrapText="1"/>
    </x:xf>
    <x:xf numFmtId="0" fontId="19" fillId="0" borderId="21" xfId="0" applyNumberFormat="1" applyFont="1" applyFill="1" applyBorder="1" applyAlignment="1">
      <x:alignment wrapText="1"/>
    </x:xf>
    <x:xf numFmtId="0" fontId="7" fillId="0" borderId="21" xfId="0" applyNumberFormat="1" applyFont="1" applyFill="1" applyBorder="1" applyAlignment="1">
      <x:alignment horizontal="center" wrapText="1"/>
    </x:xf>
    <x:xf numFmtId="0" fontId="19" fillId="0" borderId="15" xfId="0" applyNumberFormat="1" applyFont="1" applyFill="1" applyBorder="1" applyAlignment="1">
      <x:alignment wrapText="1"/>
    </x:xf>
    <x:xf numFmtId="0" fontId="7" fillId="0" borderId="15" xfId="0" applyNumberFormat="1" applyFont="1" applyFill="1" applyBorder="1" applyAlignment="1">
      <x:alignment horizontal="center" wrapText="1"/>
    </x:xf>
  </x:cellXfs>
  <x:cellStyles count="1">
    <x:cellStyle name="Normal" xfId="0"/>
  </x:cellStyles>
  <x:dxfs count="9">
    <x:dxf>
      <x:font>
        <x:b/>
        <x:color rgb="FF0B6E69"/>
      </x:font>
      <x:fill>
        <x:patternFill patternType="solid">
          <x:bgColor rgb="FFE7F4F1"/>
        </x:patternFill>
      </x:fill>
    </x:dxf>
    <x:dxf>
      <x:font>
        <x:b/>
        <x:color rgb="FF7A4B00"/>
      </x:font>
      <x:fill>
        <x:patternFill patternType="solid">
          <x:bgColor rgb="FFFFF4D6"/>
        </x:patternFill>
      </x:fill>
    </x:dxf>
    <x:dxf>
      <x:font>
        <x:b/>
        <x:color rgb="FFB5473C"/>
      </x:font>
      <x:fill>
        <x:patternFill patternType="solid">
          <x:bgColor rgb="FFFCEBE8"/>
        </x:patternFill>
      </x:fill>
    </x:dxf>
    <x:dxf>
      <x:font>
        <x:b/>
        <x:color rgb="FF0B6E69"/>
      </x:font>
      <x:fill>
        <x:patternFill patternType="solid">
          <x:bgColor rgb="FFE7F4F1"/>
        </x:patternFill>
      </x:fill>
    </x:dxf>
    <x:dxf>
      <x:font>
        <x:b/>
        <x:color rgb="FF7A4B00"/>
      </x:font>
      <x:fill>
        <x:patternFill patternType="solid">
          <x:bgColor rgb="FFFFF4D6"/>
        </x:patternFill>
      </x:fill>
    </x:dxf>
    <x:dxf>
      <x:font>
        <x:b/>
        <x:color rgb="FFB5473C"/>
      </x:font>
      <x:fill>
        <x:patternFill patternType="solid">
          <x:bgColor rgb="FFFCEBE8"/>
        </x:patternFill>
      </x:fill>
    </x:dxf>
    <x:dxf>
      <x:font>
        <x:color rgb="FF6B3FA0"/>
      </x:font>
      <x:fill>
        <x:patternFill patternType="solid">
          <x:bgColor rgb="FFF3EAFE"/>
        </x:patternFill>
      </x:fill>
    </x:dxf>
    <x:dxf>
      <x:font>
        <x:color rgb="FF2F6B9A"/>
      </x:font>
      <x:fill>
        <x:patternFill patternType="solid">
          <x:bgColor rgb="FFEAF2F8"/>
        </x:patternFill>
      </x:fill>
    </x:dxf>
    <x:dxf>
      <x:font>
        <x:b/>
        <x:color rgb="FF0B6E69"/>
      </x:font>
      <x:fill>
        <x:patternFill patternType="solid">
          <x:bgColor rgb="FFE7F4F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4d317d369849e8" /><Relationship Type="http://schemas.openxmlformats.org/officeDocument/2006/relationships/theme" Target="/xl/theme/theme1.xml" Id="R03486ac7686e4b8d" /><Relationship Type="http://schemas.openxmlformats.org/officeDocument/2006/relationships/sharedStrings" Target="/xl/sharedStrings.xml" Id="Rdad0fac6ce0a4f49" /><Relationship Type="http://schemas.openxmlformats.org/officeDocument/2006/relationships/worksheet" Target="/xl/worksheets/sheet1.xml" Id="Rff99fa5b3bd54c58" /><Relationship Type="http://schemas.openxmlformats.org/officeDocument/2006/relationships/worksheet" Target="/xl/worksheets/sheet2.xml" Id="R78af140080554676" /><Relationship Type="http://schemas.openxmlformats.org/officeDocument/2006/relationships/worksheet" Target="/xl/worksheets/sheet3.xml" Id="R12ff80690e9f48f8" /><Relationship Type="http://schemas.openxmlformats.org/officeDocument/2006/relationships/worksheet" Target="/xl/worksheets/sheet4.xml" Id="R348e3a4d6c464cc3" /><Relationship Type="http://schemas.openxmlformats.org/officeDocument/2006/relationships/worksheet" Target="/xl/worksheets/sheet5.xml" Id="R8a7016c139aa455c" /><Relationship Type="http://schemas.openxmlformats.org/officeDocument/2006/relationships/worksheet" Target="/xl/worksheets/sheet6.xml" Id="R888781372da348d8" /><Relationship Type="http://schemas.openxmlformats.org/officeDocument/2006/relationships/worksheet" Target="/xl/worksheets/sheet7.xml" Id="Rec86fab3bd7a4b8d" /><Relationship Type="http://schemas.openxmlformats.org/officeDocument/2006/relationships/worksheet" Target="/xl/worksheets/sheet8.xml" Id="R374417ba53c8491e" /></Relationships>
</file>

<file path=xl/tables/table1.xml><?xml version="1.0" encoding="utf-8"?>
<x:table xmlns:x="http://schemas.openxmlformats.org/spreadsheetml/2006/main" id="1" name="DocumentsTable" displayName="DocumentsTable" ref="A4:P7" headerRowCount="1" totalsRowCount="0" totalsRowShown="0">
  <x:autoFilter ref="A4:P7"/>
  <x:tableColumns count="16">
    <x:tableColumn id="1" name="document_id"/>
    <x:tableColumn id="2" name="country"/>
    <x:tableColumn id="3" name="document_title"/>
    <x:tableColumn id="4" name="document_version"/>
    <x:tableColumn id="5" name="local_filename"/>
    <x:tableColumn id="6" name="official_source_url"/>
    <x:tableColumn id="7" name="sha256"/>
    <x:tableColumn id="8" name="file_size_bytes"/>
    <x:tableColumn id="9" name="page_count"/>
    <x:tableColumn id="10" name="page_numbering_basis"/>
    <x:tableColumn id="11" name="pdf_creator"/>
    <x:tableColumn id="12" name="pdf_producer"/>
    <x:tableColumn id="13" name="pdf_creation_date"/>
    <x:tableColumn id="14" name="pdf_modified_date"/>
    <x:tableColumn id="15" name="anchor_coordinate_system"/>
    <x:tableColumn id="16" name="generated_at_utc"/>
  </x:tableColumns>
  <x:tableStyleInfo name="TableStyleMedium2" showFirstColumn="0" showLastColumn="0" showRowStripes="1" showColumnStripes="0"/>
</x:table>
</file>

<file path=xl/tables/table2.xml><?xml version="1.0" encoding="utf-8"?>
<x:table xmlns:x="http://schemas.openxmlformats.org/spreadsheetml/2006/main" id="2" name="CandidatesTable" displayName="CandidatesTable" ref="A4:X193" headerRowCount="1" totalsRowCount="0" totalsRowShown="0">
  <x:autoFilter ref="A4:X193"/>
  <x:tableColumns count="24">
    <x:tableColumn id="1" name="candidate_id"/>
    <x:tableColumn id="2" name="country"/>
    <x:tableColumn id="3" name="source_reference"/>
    <x:tableColumn id="4" name="compact_form"/>
    <x:tableColumn id="5" name="original_compact_text"/>
    <x:tableColumn id="6" name="standardized_candidate_reform_action"/>
    <x:tableColumn id="7" name="detailed_description"/>
    <x:tableColumn id="8" name="candidate_stream"/>
    <x:tableColumn id="9" name="inclusion_decision"/>
    <x:tableColumn id="10" name="reform_action_tag"/>
    <x:tableColumn id="11" name="count_in_reform_total"/>
    <x:tableColumn id="12" name="confidence_level"/>
    <x:tableColumn id="13" name="decision_rationale"/>
    <x:tableColumn id="14" name="water_security_pillar"/>
    <x:tableColumn id="15" name="solution_area"/>
    <x:tableColumn id="16" name="reform_type_tier_1"/>
    <x:tableColumn id="17" name="reform_type_tier_2"/>
    <x:tableColumn id="18" name="responsible_entity"/>
    <x:tableColumn id="19" name="related_parent_id"/>
    <x:tableColumn id="20" name="human_review_status"/>
    <x:tableColumn id="21" name="reviewer_comment"/>
    <x:tableColumn id="22" name="final_validated_action"/>
    <x:tableColumn id="23" name="reform_aspiration_status"/>
    <x:tableColumn id="24" name="criterion_assessment"/>
  </x:tableColumns>
  <x:tableStyleInfo name="TableStyleMedium2" showFirstColumn="0" showLastColumn="0" showRowStripes="1" showColumnStripes="0"/>
</x:table>
</file>

<file path=xl/tables/table3.xml><?xml version="1.0" encoding="utf-8"?>
<x:table xmlns:x="http://schemas.openxmlformats.org/spreadsheetml/2006/main" id="3" name="SourceAnchorsTable" displayName="SourceAnchorsTable" ref="A4:AE276" headerRowCount="1" totalsRowCount="0" totalsRowShown="0">
  <x:autoFilter ref="A4:AE276"/>
  <x:tableColumns count="31">
    <x:tableColumn id="1" name="anchor_id"/>
    <x:tableColumn id="2" name="candidate_id"/>
    <x:tableColumn id="3" name="document_id"/>
    <x:tableColumn id="4" name="anchor_role"/>
    <x:tableColumn id="5" name="anchor_type"/>
    <x:tableColumn id="6" name="linked_candidate_id"/>
    <x:tableColumn id="7" name="source_reference"/>
    <x:tableColumn id="8" name="page_start"/>
    <x:tableColumn id="9" name="page_end"/>
    <x:tableColumn id="10" name="matched_page"/>
    <x:tableColumn id="11" name="page_label"/>
    <x:tableColumn id="12" name="section_or_table"/>
    <x:tableColumn id="13" name="verbatim_source_text"/>
    <x:tableColumn id="14" name="normalized_source_text"/>
    <x:tableColumn id="15" name="quote_sha256"/>
    <x:tableColumn id="16" name="page_char_start"/>
    <x:tableColumn id="17" name="page_char_end"/>
    <x:tableColumn id="18" name="page_char_spans_json"/>
    <x:tableColumn id="19" name="match_method"/>
    <x:tableColumn id="20" name="match_query_source"/>
    <x:tableColumn id="21" name="match_query"/>
    <x:tableColumn id="22" name="match_score"/>
    <x:tableColumn id="23" name="token_f1"/>
    <x:tableColumn id="24" name="token_precision"/>
    <x:tableColumn id="25" name="token_recall"/>
    <x:tableColumn id="26" name="sequence_similarity"/>
    <x:tableColumn id="27" name="anchor_confidence"/>
    <x:tableColumn id="28" name="automated_validation_status"/>
    <x:tableColumn id="29" name="human_review_status"/>
    <x:tableColumn id="30" name="reviewer_comment"/>
    <x:tableColumn id="31" name="created_at_utc"/>
  </x:tableColumns>
  <x:tableStyleInfo name="TableStyleMedium2" showFirstColumn="0" showLastColumn="0" showRowStripes="1" showColumnStripes="0"/>
</x:table>
</file>

<file path=xl/tables/table4.xml><?xml version="1.0" encoding="utf-8"?>
<x:table xmlns:x="http://schemas.openxmlformats.org/spreadsheetml/2006/main" id="4" name="AnchorRectanglesTable" displayName="AnchorRectanglesTable" ref="A4:O1576" headerRowCount="1" totalsRowCount="0" totalsRowShown="0">
  <x:autoFilter ref="A4:O1576"/>
  <x:tableColumns count="15">
    <x:tableColumn id="1" name="rectangle_id"/>
    <x:tableColumn id="2" name="anchor_id"/>
    <x:tableColumn id="3" name="page_number"/>
    <x:tableColumn id="4" name="x0"/>
    <x:tableColumn id="5" name="y0"/>
    <x:tableColumn id="6" name="x1"/>
    <x:tableColumn id="7" name="y1"/>
    <x:tableColumn id="8" name="x0_normalized"/>
    <x:tableColumn id="9" name="y0_normalized"/>
    <x:tableColumn id="10" name="x1_normalized"/>
    <x:tableColumn id="11" name="y1_normalized"/>
    <x:tableColumn id="12" name="page_width_points"/>
    <x:tableColumn id="13" name="page_height_points"/>
    <x:tableColumn id="14" name="coordinate_origin"/>
    <x:tableColumn id="15" name="coordinate_unit"/>
  </x:tableColumns>
  <x:tableStyleInfo name="TableStyleMedium2" showFirstColumn="0" showLastColumn="0" showRowStripes="1" showColumnStripes="0"/>
</x:table>
</file>

<file path=xl/tables/table5.xml><?xml version="1.0" encoding="utf-8"?>
<x:table xmlns:x="http://schemas.openxmlformats.org/spreadsheetml/2006/main" id="5" name="RelationshipsTable" displayName="RelationshipsTable" ref="A4:I69" headerRowCount="1" totalsRowCount="0" totalsRowShown="0">
  <x:autoFilter ref="A4:I69"/>
  <x:tableColumns count="9">
    <x:tableColumn id="1" name="relationship_id"/>
    <x:tableColumn id="2" name="source_candidate_id"/>
    <x:tableColumn id="3" name="target_candidate_id"/>
    <x:tableColumn id="4" name="relationship_type"/>
    <x:tableColumn id="5" name="relationship_status"/>
    <x:tableColumn id="6" name="source_anchor_id"/>
    <x:tableColumn id="7" name="target_anchor_id"/>
    <x:tableColumn id="8" name="human_review_status"/>
    <x:tableColumn id="9" name="reviewer_comment"/>
  </x:tableColumns>
  <x:tableStyleInfo name="TableStyleMedium2" showFirstColumn="0" showLastColumn="0" showRowStripes="1" showColumnStripes="0"/>
</x:table>
</file>

<file path=xl/tables/table6.xml><?xml version="1.0" encoding="utf-8"?>
<x:table xmlns:x="http://schemas.openxmlformats.org/spreadsheetml/2006/main" id="6" name="DataDictionaryTable" displayName="DataDictionaryTable" ref="A4:F18" headerRowCount="1" totalsRowCount="0" totalsRowShown="0">
  <x:autoFilter ref="A4:F18"/>
  <x:tableColumns count="6">
    <x:tableColumn id="1" name="table"/>
    <x:tableColumn id="2" name="field"/>
    <x:tableColumn id="3" name="type"/>
    <x:tableColumn id="4" name="required"/>
    <x:tableColumn id="5" name="definition"/>
    <x:tableColumn id="6" name="controlled_valu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a6e019efb4849d0" /></Relationships>
</file>

<file path=xl/worksheets/_rels/sheet3.xml.rels>&#65279;<?xml version="1.0" encoding="utf-8"?><Relationships xmlns="http://schemas.openxmlformats.org/package/2006/relationships"><Relationship Type="http://schemas.openxmlformats.org/officeDocument/2006/relationships/table" Target="/xl/tables/table2.xml" Id="R9a90244e5d774446" /></Relationships>
</file>

<file path=xl/worksheets/_rels/sheet4.xml.rels>&#65279;<?xml version="1.0" encoding="utf-8"?><Relationships xmlns="http://schemas.openxmlformats.org/package/2006/relationships"><Relationship Type="http://schemas.openxmlformats.org/officeDocument/2006/relationships/table" Target="/xl/tables/table3.xml" Id="R769ba3fa647e4137" /></Relationships>
</file>

<file path=xl/worksheets/_rels/sheet5.xml.rels>&#65279;<?xml version="1.0" encoding="utf-8"?><Relationships xmlns="http://schemas.openxmlformats.org/package/2006/relationships"><Relationship Type="http://schemas.openxmlformats.org/officeDocument/2006/relationships/table" Target="/xl/tables/table4.xml" Id="R365a8a20e67a41dd" /></Relationships>
</file>

<file path=xl/worksheets/_rels/sheet6.xml.rels>&#65279;<?xml version="1.0" encoding="utf-8"?><Relationships xmlns="http://schemas.openxmlformats.org/package/2006/relationships"><Relationship Type="http://schemas.openxmlformats.org/officeDocument/2006/relationships/table" Target="/xl/tables/table5.xml" Id="Rc4b52991594843d4" /></Relationships>
</file>

<file path=xl/worksheets/_rels/sheet8.xml.rels>&#65279;<?xml version="1.0" encoding="utf-8"?><Relationships xmlns="http://schemas.openxmlformats.org/package/2006/relationships"><Relationship Type="http://schemas.openxmlformats.org/officeDocument/2006/relationships/table" Target="/xl/tables/table6.xml" Id="R8246f43173d644e9"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5" hidden="0" customWidth="1"/>
    <x:col min="3" max="3" width="15" hidden="0" customWidth="1"/>
    <x:col min="4" max="4" width="15" hidden="0" customWidth="1"/>
    <x:col min="5" max="5" width="15" hidden="0" customWidth="1"/>
    <x:col min="6" max="6" width="9" hidden="0" customWidth="1"/>
    <x:col min="7" max="7" width="20" hidden="0" customWidth="1"/>
    <x:col min="8" max="8" width="20" hidden="0" customWidth="1"/>
    <x:col min="9" max="9" width="20" hidden="0" customWidth="1"/>
    <x:col min="10" max="10" width="20" hidden="0" customWidth="1"/>
  </x:cols>
  <x:sheetData>
    <x:row r="1" ht="36" customHeight="1">
      <x:c r="A1" s="165" t="str">
        <x:v>Water Compact Source-Anchor Companion — Cambodia, Sierra Leone, Jamaica</x:v>
      </x:c>
      <x:c r="B1" s="165"/>
      <x:c r="C1" s="165"/>
      <x:c r="D1" s="165"/>
      <x:c r="E1" s="165"/>
      <x:c r="F1" s="165"/>
      <x:c r="G1" s="165"/>
      <x:c r="H1" s="165"/>
      <x:c r="I1" s="165"/>
      <x:c r="J1" s="165"/>
    </x:row>
    <x:row r="2">
      <x:c r="A2" s="166" t="str">
        <x:v>Exact PDF versions + verbatim quotations + normalized geometry | All review states remain provisional</x:v>
      </x:c>
      <x:c r="B2" s="166"/>
      <x:c r="C2" s="166"/>
      <x:c r="D2" s="166"/>
      <x:c r="E2" s="166"/>
      <x:c r="F2" s="166"/>
      <x:c r="G2" s="166"/>
      <x:c r="H2" s="166"/>
      <x:c r="I2" s="166"/>
      <x:c r="J2" s="166"/>
    </x:row>
    <x:row r="3">
      <x:c r="A3" s="25"/>
      <x:c r="B3" s="25"/>
      <x:c r="C3" s="25"/>
      <x:c r="D3" s="25"/>
      <x:c r="E3" s="25"/>
      <x:c r="F3" s="25"/>
      <x:c r="G3" s="25"/>
      <x:c r="H3" s="25"/>
      <x:c r="I3" s="25"/>
      <x:c r="J3" s="25"/>
    </x:row>
    <x:row r="4">
      <x:c r="A4" s="167" t="str">
        <x:v>Candidates</x:v>
      </x:c>
      <x:c r="B4" s="167"/>
      <x:c r="C4" s="167" t="str">
        <x:v>Source anchors</x:v>
      </x:c>
      <x:c r="D4" s="167"/>
      <x:c r="E4" s="167" t="str">
        <x:v>Rectangles</x:v>
      </x:c>
      <x:c r="F4" s="167"/>
      <x:c r="G4" s="167" t="str">
        <x:v>Relationships</x:v>
      </x:c>
      <x:c r="H4" s="167"/>
      <x:c r="I4" s="167" t="str">
        <x:v>Unresolved</x:v>
      </x:c>
      <x:c r="J4" s="167"/>
    </x:row>
    <x:row r="5">
      <x:c r="A5" s="168" t="n">
        <x:f>COUNTA(Candidates!$A$5:$A$193)</x:f>
        <x:v>189</x:v>
      </x:c>
      <x:c r="B5" s="169"/>
      <x:c r="C5" s="170" t="n">
        <x:f>COUNTA('Source Anchors'!$A$5:$A$276)</x:f>
        <x:v>272</x:v>
      </x:c>
      <x:c r="D5" s="170"/>
      <x:c r="E5" s="171" t="n">
        <x:f>COUNTA('Anchor Rectangles'!$A$5:$A$1576)</x:f>
        <x:v>1572</x:v>
      </x:c>
      <x:c r="F5" s="171"/>
      <x:c r="G5" s="172" t="n">
        <x:f>COUNTA(Relationships!$A$5:$A$69)</x:f>
        <x:v>65</x:v>
      </x:c>
      <x:c r="H5" s="172"/>
      <x:c r="I5" s="173" t="n">
        <x:f>COUNTA(Unresolved!$A$5:$A$5)</x:f>
        <x:v>0</x:v>
      </x:c>
      <x:c r="J5" s="174"/>
    </x:row>
    <x:row r="6">
      <x:c r="A6" s="175"/>
      <x:c r="B6" s="176"/>
      <x:c r="C6" s="177"/>
      <x:c r="D6" s="177"/>
      <x:c r="E6" s="178"/>
      <x:c r="F6" s="178"/>
      <x:c r="G6" s="179"/>
      <x:c r="H6" s="179"/>
      <x:c r="I6" s="180"/>
      <x:c r="J6" s="181"/>
    </x:row>
    <x:row r="7">
      <x:c r="A7" s="25"/>
      <x:c r="B7" s="25"/>
      <x:c r="C7" s="25"/>
      <x:c r="D7" s="25"/>
      <x:c r="E7" s="25"/>
      <x:c r="F7" s="25"/>
      <x:c r="G7" s="25"/>
      <x:c r="H7" s="25"/>
      <x:c r="I7" s="25"/>
      <x:c r="J7" s="25"/>
    </x:row>
    <x:row r="8">
      <x:c r="A8" s="25"/>
      <x:c r="B8" s="25"/>
      <x:c r="C8" s="25"/>
      <x:c r="D8" s="25"/>
      <x:c r="E8" s="25"/>
      <x:c r="F8" s="25"/>
      <x:c r="G8" s="25"/>
      <x:c r="H8" s="25"/>
      <x:c r="I8" s="25"/>
      <x:c r="J8" s="25"/>
    </x:row>
    <x:row r="9">
      <x:c r="A9" s="182" t="str">
        <x:v>Primary-anchor confidence</x:v>
      </x:c>
      <x:c r="B9" s="182" t="str">
        <x:v>High</x:v>
      </x:c>
      <x:c r="C9" s="182" t="str">
        <x:v>Medium</x:v>
      </x:c>
      <x:c r="D9" s="182" t="str">
        <x:v>Low</x:v>
      </x:c>
      <x:c r="E9" s="25"/>
      <x:c r="F9" s="183" t="str">
        <x:v>Application rules</x:v>
      </x:c>
      <x:c r="G9" s="183"/>
      <x:c r="H9" s="183"/>
      <x:c r="I9" s="183"/>
      <x:c r="J9" s="183"/>
    </x:row>
    <x:row r="10" ht="34" customHeight="1">
      <x:c r="A10" s="184" t="str">
        <x:v>All countries</x:v>
      </x:c>
      <x:c r="B10" s="185" t="n">
        <x:f>COUNTIFS('Source Anchors'!$D$5:$D$276,"Primary Evidence",'Source Anchors'!$AA$5:$AA$276,"High")+COUNTIFS('Source Anchors'!$D$5:$D$276,"Exclusion Evidence",'Source Anchors'!$AA$5:$AA$276,"High")+COUNTIFS('Source Anchors'!$D$5:$D$276,"Duplicate/Sub-action Evidence",'Source Anchors'!$AA$5:$AA$276,"High")</x:f>
        <x:v>154</x:v>
      </x:c>
      <x:c r="C10" s="186" t="n">
        <x:f>COUNTIFS('Source Anchors'!$D$5:$D$276,"Primary Evidence",'Source Anchors'!$AA$5:$AA$276,"Medium")+COUNTIFS('Source Anchors'!$D$5:$D$276,"Exclusion Evidence",'Source Anchors'!$AA$5:$AA$276,"Medium")+COUNTIFS('Source Anchors'!$D$5:$D$276,"Duplicate/Sub-action Evidence",'Source Anchors'!$AA$5:$AA$276,"Medium")</x:f>
        <x:v>33</x:v>
      </x:c>
      <x:c r="D10" s="187" t="n">
        <x:f>COUNTIFS('Source Anchors'!$D$5:$D$276,"Primary Evidence",'Source Anchors'!$AA$5:$AA$276,"Low")+COUNTIFS('Source Anchors'!$D$5:$D$276,"Exclusion Evidence",'Source Anchors'!$AA$5:$AA$276,"Low")+COUNTIFS('Source Anchors'!$D$5:$D$276,"Duplicate/Sub-action Evidence",'Source Anchors'!$AA$5:$AA$276,"Low")</x:f>
        <x:v>2</x:v>
      </x:c>
      <x:c r="E10" s="25"/>
      <x:c r="F10" s="188" t="str">
        <x:v>1</x:v>
      </x:c>
      <x:c r="G10" s="189" t="str">
        <x:v>Verify PDF SHA-256 before enabling geometry highlights.</x:v>
      </x:c>
      <x:c r="H10" s="189"/>
      <x:c r="I10" s="189"/>
      <x:c r="J10" s="189"/>
    </x:row>
    <x:row r="11" ht="34" customHeight="1">
      <x:c r="A11" s="25"/>
      <x:c r="B11" s="25"/>
      <x:c r="C11" s="25"/>
      <x:c r="D11" s="25"/>
      <x:c r="E11" s="25"/>
      <x:c r="F11" s="190" t="str">
        <x:v>2</x:v>
      </x:c>
      <x:c r="G11" s="191" t="str">
        <x:v>Render every rectangle associated with the selected anchor.</x:v>
      </x:c>
      <x:c r="H11" s="191"/>
      <x:c r="I11" s="191"/>
      <x:c r="J11" s="191"/>
    </x:row>
    <x:row r="12" ht="34" customHeight="1">
      <x:c r="A12" s="25"/>
      <x:c r="B12" s="25"/>
      <x:c r="C12" s="25"/>
      <x:c r="D12" s="25"/>
      <x:c r="E12" s="25"/>
      <x:c r="F12" s="190" t="str">
        <x:v>3</x:v>
      </x:c>
      <x:c r="G12" s="191" t="str">
        <x:v>Review aspiration and explicit-mechanism anchors side by side.</x:v>
      </x:c>
      <x:c r="H12" s="191"/>
      <x:c r="I12" s="191"/>
      <x:c r="J12" s="191"/>
    </x:row>
    <x:row r="13" ht="34" customHeight="1">
      <x:c r="A13" s="192" t="str">
        <x:v>Quality controls</x:v>
      </x:c>
      <x:c r="B13" s="192"/>
      <x:c r="C13" s="192"/>
      <x:c r="D13" s="192"/>
      <x:c r="E13" s="25"/>
      <x:c r="F13" s="190" t="str">
        <x:v>4</x:v>
      </x:c>
      <x:c r="G13" s="191" t="str">
        <x:v>Keep extraction evidence immutable; store reviewer events separately.</x:v>
      </x:c>
      <x:c r="H13" s="191"/>
      <x:c r="I13" s="191"/>
      <x:c r="J13" s="191"/>
    </x:row>
    <x:row r="14" ht="34" customHeight="1">
      <x:c r="A14" s="193" t="str">
        <x:v>All A/B candidates have evidence</x:v>
      </x:c>
      <x:c r="B14" s="194" t="str">
        <x:v>Pass</x:v>
      </x:c>
      <x:c r="C14" s="194"/>
      <x:c r="D14" s="194"/>
      <x:c r="E14" s="25"/>
      <x:c r="F14" s="195" t="str">
        <x:v>5</x:v>
      </x:c>
      <x:c r="G14" s="196" t="str">
        <x:v>Anchor confidence measures location quality, not reform classification.</x:v>
      </x:c>
      <x:c r="H14" s="196"/>
      <x:c r="I14" s="196"/>
      <x:c r="J14" s="196"/>
    </x:row>
    <x:row r="15">
      <x:c r="A15" s="197" t="str">
        <x:v>Anchor IDs unique</x:v>
      </x:c>
      <x:c r="B15" s="198" t="str">
        <x:v>Pass</x:v>
      </x:c>
      <x:c r="C15" s="198"/>
      <x:c r="D15" s="198"/>
      <x:c r="E15" s="25"/>
      <x:c r="F15" s="25"/>
      <x:c r="G15" s="25"/>
      <x:c r="H15" s="25"/>
      <x:c r="I15" s="25"/>
      <x:c r="J15" s="25"/>
    </x:row>
    <x:row r="16">
      <x:c r="A16" s="197" t="str">
        <x:v>Rectangles resolve to anchors</x:v>
      </x:c>
      <x:c r="B16" s="198" t="str">
        <x:v>Pass</x:v>
      </x:c>
      <x:c r="C16" s="198"/>
      <x:c r="D16" s="198"/>
      <x:c r="E16" s="25"/>
      <x:c r="F16" s="25"/>
      <x:c r="G16" s="25"/>
      <x:c r="H16" s="25"/>
      <x:c r="I16" s="25"/>
      <x:c r="J16" s="25"/>
    </x:row>
    <x:row r="17">
      <x:c r="A17" s="197" t="str">
        <x:v>Unresolved candidates</x:v>
      </x:c>
      <x:c r="B17" s="198" t="n">
        <x:v>0</x:v>
      </x:c>
      <x:c r="C17" s="198"/>
      <x:c r="D17" s="198"/>
      <x:c r="E17" s="25"/>
      <x:c r="F17" s="25"/>
      <x:c r="G17" s="25"/>
      <x:c r="H17" s="25"/>
      <x:c r="I17" s="25"/>
      <x:c r="J17" s="25"/>
    </x:row>
    <x:row r="18">
      <x:c r="A18" s="199" t="str">
        <x:v>PDF hashes registered</x:v>
      </x:c>
      <x:c r="B18" s="200" t="n">
        <x:v>3</x:v>
      </x:c>
      <x:c r="C18" s="200"/>
      <x:c r="D18" s="200"/>
      <x:c r="E18" s="25"/>
      <x:c r="F18" s="25"/>
      <x:c r="G18" s="25"/>
      <x:c r="H18" s="25"/>
      <x:c r="I18" s="25"/>
      <x:c r="J18" s="25"/>
    </x:row>
    <x:row r="19">
      <x:c r="A19" s="25"/>
      <x:c r="B19" s="25"/>
      <x:c r="C19" s="25"/>
      <x:c r="D19" s="25"/>
      <x:c r="E19" s="25"/>
      <x:c r="F19" s="25"/>
      <x:c r="G19" s="25"/>
      <x:c r="H19" s="25"/>
      <x:c r="I19" s="25"/>
      <x:c r="J19" s="25"/>
    </x:row>
    <x:row r="20">
      <x:c r="A20" s="25"/>
      <x:c r="B20" s="25"/>
      <x:c r="C20" s="25"/>
      <x:c r="D20" s="25"/>
      <x:c r="E20" s="25"/>
      <x:c r="F20" s="25"/>
      <x:c r="G20" s="25"/>
      <x:c r="H20" s="25"/>
      <x:c r="I20" s="25"/>
      <x:c r="J20" s="25"/>
    </x:row>
  </x:sheetData>
  <x:mergeCells>
    <x:mergeCell ref="A1:J1"/>
    <x:mergeCell ref="A2:J2"/>
    <x:mergeCell ref="A5:B6"/>
    <x:mergeCell ref="C5:D6"/>
    <x:mergeCell ref="E5:F6"/>
    <x:mergeCell ref="G5:H6"/>
    <x:mergeCell ref="I5:J6"/>
    <x:mergeCell ref="F9:J9"/>
    <x:mergeCell ref="G10:J10"/>
    <x:mergeCell ref="G11:J11"/>
    <x:mergeCell ref="G12:J12"/>
    <x:mergeCell ref="G13:J13"/>
    <x:mergeCell ref="G14:J14"/>
    <x:mergeCell ref="A13:D13"/>
    <x:mergeCell ref="B14:D14"/>
    <x:mergeCell ref="B15:D15"/>
    <x:mergeCell ref="B16:D16"/>
    <x:mergeCell ref="B17:D17"/>
    <x:mergeCell ref="B18:D18"/>
  </x:mergeCells>
  <x:conditionalFormatting sqref="B14:D16">
    <x:cfRule type="containsText" dxfId="8" priority="1" operator="containsText" text="Pass"/>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1" hidden="0" customWidth="1"/>
    <x:col min="2" max="2" width="16" hidden="0" customWidth="1"/>
    <x:col min="3" max="3" width="34" hidden="0" customWidth="1"/>
    <x:col min="4" max="4" width="34" hidden="0" customWidth="1"/>
    <x:col min="5" max="5" width="36" hidden="0" customWidth="1"/>
    <x:col min="6" max="6" width="66" hidden="0" customWidth="1"/>
    <x:col min="7" max="7" width="68" hidden="0" customWidth="1"/>
    <x:col min="8" max="8" width="17" hidden="0" customWidth="1"/>
    <x:col min="9" max="9" width="12" hidden="0" customWidth="1"/>
    <x:col min="10" max="10" width="25" hidden="0" customWidth="1"/>
    <x:col min="11" max="11" width="27" hidden="0" customWidth="1"/>
    <x:col min="12" max="12" width="27" hidden="0" customWidth="1"/>
    <x:col min="13" max="13" width="23" hidden="0" customWidth="1"/>
    <x:col min="14" max="14" width="23" hidden="0" customWidth="1"/>
    <x:col min="15" max="15" width="46" hidden="0" customWidth="1"/>
    <x:col min="16" max="16" width="25" hidden="0" customWidth="1"/>
  </x:cols>
  <x:sheetData>
    <x:row r="1" ht="31" customHeight="1">
      <x:c r="A1" s="23" t="str">
        <x:v>Document Registry — Fixed PDF Versions</x:v>
      </x:c>
      <x:c r="B1" s="23"/>
      <x:c r="C1" s="23"/>
      <x:c r="D1" s="23"/>
      <x:c r="E1" s="23"/>
      <x:c r="F1" s="23"/>
      <x:c r="G1" s="23"/>
      <x:c r="H1" s="23"/>
      <x:c r="I1" s="23"/>
      <x:c r="J1" s="23"/>
      <x:c r="K1" s="23"/>
      <x:c r="L1" s="23"/>
      <x:c r="M1" s="23"/>
      <x:c r="N1" s="23"/>
      <x:c r="O1" s="23"/>
      <x:c r="P1" s="23"/>
    </x:row>
    <x:row r="2" ht="32" customHeight="1">
      <x:c r="A2" s="24" t="str">
        <x:v>Geometry highlights are valid only when the displayed PDF SHA-256 matches this registry.</x:v>
      </x:c>
      <x:c r="B2" s="24"/>
      <x:c r="C2" s="24"/>
      <x:c r="D2" s="24"/>
      <x:c r="E2" s="24"/>
      <x:c r="F2" s="24"/>
      <x:c r="G2" s="24"/>
      <x:c r="H2" s="24"/>
      <x:c r="I2" s="24"/>
      <x:c r="J2" s="24"/>
      <x:c r="K2" s="24"/>
      <x:c r="L2" s="24"/>
      <x:c r="M2" s="24"/>
      <x:c r="N2" s="24"/>
      <x:c r="O2" s="24"/>
      <x:c r="P2" s="24"/>
    </x:row>
    <x:row r="3">
      <x:c r="A3" s="25"/>
      <x:c r="B3" s="25"/>
      <x:c r="C3" s="25"/>
      <x:c r="D3" s="25"/>
      <x:c r="E3" s="25"/>
      <x:c r="F3" s="25"/>
      <x:c r="G3" s="25"/>
      <x:c r="H3" s="25"/>
      <x:c r="I3" s="25"/>
      <x:c r="J3" s="25"/>
      <x:c r="K3" s="25"/>
      <x:c r="L3" s="25"/>
      <x:c r="M3" s="25"/>
      <x:c r="N3" s="25"/>
      <x:c r="O3" s="25"/>
      <x:c r="P3" s="25"/>
    </x:row>
    <x:row r="4" ht="40" customHeight="1">
      <x:c r="A4" s="26" t="str">
        <x:v>document_id</x:v>
      </x:c>
      <x:c r="B4" s="26" t="str">
        <x:v>country</x:v>
      </x:c>
      <x:c r="C4" s="26" t="str">
        <x:v>document_title</x:v>
      </x:c>
      <x:c r="D4" s="26" t="str">
        <x:v>document_version</x:v>
      </x:c>
      <x:c r="E4" s="26" t="str">
        <x:v>local_filename</x:v>
      </x:c>
      <x:c r="F4" s="26" t="str">
        <x:v>official_source_url</x:v>
      </x:c>
      <x:c r="G4" s="26" t="str">
        <x:v>sha256</x:v>
      </x:c>
      <x:c r="H4" s="26" t="str">
        <x:v>file_size_bytes</x:v>
      </x:c>
      <x:c r="I4" s="26" t="str">
        <x:v>page_count</x:v>
      </x:c>
      <x:c r="J4" s="26" t="str">
        <x:v>page_numbering_basis</x:v>
      </x:c>
      <x:c r="K4" s="26" t="str">
        <x:v>pdf_creator</x:v>
      </x:c>
      <x:c r="L4" s="26" t="str">
        <x:v>pdf_producer</x:v>
      </x:c>
      <x:c r="M4" s="26" t="str">
        <x:v>pdf_creation_date</x:v>
      </x:c>
      <x:c r="N4" s="26" t="str">
        <x:v>pdf_modified_date</x:v>
      </x:c>
      <x:c r="O4" s="26" t="str">
        <x:v>anchor_coordinate_system</x:v>
      </x:c>
      <x:c r="P4" s="26" t="str">
        <x:v>generated_at_utc</x:v>
      </x:c>
    </x:row>
    <x:row r="5" ht="64" customHeight="1">
      <x:c r="A5" s="27" t="str">
        <x:v>DOC-CAM-WC-2026</x:v>
      </x:c>
      <x:c r="B5" s="27" t="str">
        <x:v>Cambodia</x:v>
      </x:c>
      <x:c r="C5" s="27" t="str">
        <x:v>Water Compact Cambodia 2026</x:v>
      </x:c>
      <x:c r="D5" s="27" t="str">
        <x:v>Official 2026 PDF; bytes retrieved 2026-08-04</x:v>
      </x:c>
      <x:c r="E5" s="27" t="str">
        <x:v>Water_Compact_Cambodia_2026.pdf</x:v>
      </x:c>
      <x:c r="F5" s="27" t="str">
        <x:v>https://www.worldbank.org/content/dam/theworldbankgroupasset/document/2026/water-forward-compacts/Water%20Compact%20Cambodia_2026.pdf</x:v>
      </x:c>
      <x:c r="G5" s="27" t="str">
        <x:v>0935dc3aad79c23426dc68078b1739c0c88946e2e94e18fec1bdd2bfb3b8e5d4</x:v>
      </x:c>
      <x:c r="H5" s="27" t="n">
        <x:v>660280</x:v>
      </x:c>
      <x:c r="I5" s="27" t="n">
        <x:v>26</x:v>
      </x:c>
      <x:c r="J5" s="27" t="str">
        <x:v>One-indexed physical PDF pages</x:v>
      </x:c>
      <x:c r="K5" s="27" t="str">
        <x:v>Acrobat PDFMaker 25 for Word</x:v>
      </x:c>
      <x:c r="L5" s="27" t="str">
        <x:v>Adobe PDF Library 25.1.40</x:v>
      </x:c>
      <x:c r="M5" s="27" t="str">
        <x:v>D:20260409140451-04'00'</x:v>
      </x:c>
      <x:c r="N5" s="27" t="str">
        <x:v>D:20260414183211-04'00'</x:v>
      </x:c>
      <x:c r="O5" s="27" t="str">
        <x:v>Top-left origin; PDF points plus normalized 0-1 coordinates</x:v>
      </x:c>
      <x:c r="P5" s="27" t="n">
        <x:v>46238.87231481481</x:v>
      </x:c>
    </x:row>
    <x:row r="6" ht="64" customHeight="1">
      <x:c r="A6" s="28" t="str">
        <x:v>DOC-SLE-WC-2026</x:v>
      </x:c>
      <x:c r="B6" s="28" t="str">
        <x:v>Sierra Leone</x:v>
      </x:c>
      <x:c r="C6" s="28" t="str">
        <x:v>Water Compact Sierra Leone 2026</x:v>
      </x:c>
      <x:c r="D6" s="28" t="str">
        <x:v>Official 2026 PDF; bytes retrieved 2026-08-04</x:v>
      </x:c>
      <x:c r="E6" s="28" t="str">
        <x:v>Water_Compact_Sierra_Leone_2026.pdf</x:v>
      </x:c>
      <x:c r="F6" s="28" t="str">
        <x:v>https://www.worldbank.org/content/dam/theworldbankgroupasset/document/2026/water-forward-compacts/Water%20Compact%20Sierra%20Leone%202026.pdf</x:v>
      </x:c>
      <x:c r="G6" s="28" t="str">
        <x:v>026c887e88362ec453d515f93e34997e715c546f3a1cceb5b609b17ecfaeed15</x:v>
      </x:c>
      <x:c r="H6" s="28" t="n">
        <x:v>1600676</x:v>
      </x:c>
      <x:c r="I6" s="28" t="n">
        <x:v>20</x:v>
      </x:c>
      <x:c r="J6" s="28" t="str">
        <x:v>One-indexed physical PDF pages</x:v>
      </x:c>
      <x:c r="K6" s="28" t="str">
        <x:v>Acrobat PDFMaker 25 for Word</x:v>
      </x:c>
      <x:c r="L6" s="28" t="str">
        <x:v>Adobe PDF Library 25.1.40</x:v>
      </x:c>
      <x:c r="M6" s="28" t="str">
        <x:v>D:20260411102926-04'00'</x:v>
      </x:c>
      <x:c r="N6" s="28" t="str">
        <x:v>D:20260411103558-04'00'</x:v>
      </x:c>
      <x:c r="O6" s="28" t="str">
        <x:v>Top-left origin; PDF points plus normalized 0-1 coordinates</x:v>
      </x:c>
      <x:c r="P6" s="28" t="n">
        <x:v>46238.87231481481</x:v>
      </x:c>
    </x:row>
    <x:row r="7" ht="64" customHeight="1">
      <x:c r="A7" s="29" t="str">
        <x:v>DOC-JAM-WC-2026</x:v>
      </x:c>
      <x:c r="B7" s="29" t="str">
        <x:v>Jamaica</x:v>
      </x:c>
      <x:c r="C7" s="29" t="str">
        <x:v>Water Compact Jamaica 2026</x:v>
      </x:c>
      <x:c r="D7" s="29" t="str">
        <x:v>Official 2026 PDF; bytes retrieved 2026-08-04</x:v>
      </x:c>
      <x:c r="E7" s="29" t="str">
        <x:v>Water_Compact_Jamaica_2026.pdf</x:v>
      </x:c>
      <x:c r="F7" s="29" t="str">
        <x:v>https://www.worldbank.org/content/dam/theworldbankgroupasset/document/2026/water-forward-compacts/Water%20Compact%20Jamaica_2026.pdf</x:v>
      </x:c>
      <x:c r="G7" s="29" t="str">
        <x:v>24b077a5d6c0cae3021836b675ce8da2a96444f81fa249087706a5ffbce0001a</x:v>
      </x:c>
      <x:c r="H7" s="29" t="n">
        <x:v>706728</x:v>
      </x:c>
      <x:c r="I7" s="29" t="n">
        <x:v>12</x:v>
      </x:c>
      <x:c r="J7" s="29" t="str">
        <x:v>One-indexed physical PDF pages</x:v>
      </x:c>
      <x:c r="K7" s="29" t="str">
        <x:v>Microsoft® Word 2016</x:v>
      </x:c>
      <x:c r="L7" s="29" t="str">
        <x:v>Microsoft® Word 2016</x:v>
      </x:c>
      <x:c r="M7" s="29" t="str">
        <x:v>D:20260409124220-05'00'</x:v>
      </x:c>
      <x:c r="N7" s="29" t="str">
        <x:v>D:20260413210021-04'00'</x:v>
      </x:c>
      <x:c r="O7" s="29" t="str">
        <x:v>Top-left origin; PDF points plus normalized 0-1 coordinates</x:v>
      </x:c>
      <x:c r="P7" s="29" t="n">
        <x:v>46238.87231481481</x:v>
      </x:c>
    </x:row>
  </x:sheetData>
  <x:mergeCells>
    <x:mergeCell ref="A1:P1"/>
    <x:mergeCell ref="A2:P2"/>
  </x:mergeCells>
  <x:pageMargins left="0.7" right="0.7" top="0.75" bottom="0.75" header="0.3" footer="0.3"/>
  <x:tableParts count="1">
    <x:tablePart xmlns:r="http://schemas.openxmlformats.org/officeDocument/2006/relationships" r:id="R8a6e019efb4849d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24" hidden="0" customWidth="1"/>
    <x:col min="4" max="4" width="22" hidden="0" customWidth="1"/>
    <x:col min="5" max="5" width="31" hidden="0" customWidth="1"/>
    <x:col min="6" max="6" width="42" hidden="0" customWidth="1"/>
    <x:col min="7" max="7" width="50" hidden="0" customWidth="1"/>
    <x:col min="8" max="8" width="31" hidden="0" customWidth="1"/>
    <x:col min="9" max="9" width="23" hidden="0" customWidth="1"/>
    <x:col min="10" max="10" width="31" hidden="0" customWidth="1"/>
    <x:col min="11" max="11" width="16" hidden="0" customWidth="1"/>
    <x:col min="12" max="12" width="16" hidden="0" customWidth="1"/>
    <x:col min="13" max="13" width="50" hidden="0" customWidth="1"/>
    <x:col min="14" max="14" width="18" hidden="0" customWidth="1"/>
    <x:col min="15" max="15" width="16" hidden="0" customWidth="1"/>
    <x:col min="16" max="16" width="38" hidden="0" customWidth="1"/>
    <x:col min="17" max="17" width="36" hidden="0" customWidth="1"/>
    <x:col min="18" max="18" width="30" hidden="0" customWidth="1"/>
    <x:col min="19" max="19" width="22" hidden="0" customWidth="1"/>
    <x:col min="20" max="20" width="22" hidden="0" customWidth="1"/>
    <x:col min="21" max="21" width="38" hidden="0" customWidth="1"/>
    <x:col min="22" max="22" width="42" hidden="0" customWidth="1"/>
    <x:col min="23" max="23" width="34" hidden="0" customWidth="1"/>
    <x:col min="24" max="24" width="56" hidden="0" customWidth="1"/>
  </x:cols>
  <x:sheetData>
    <x:row r="1" ht="31" customHeight="1">
      <x:c r="A1" s="36" t="str">
        <x:v>Reform-Action Candidates — 24 Methodology Variables</x:v>
      </x:c>
      <x:c r="B1" s="36"/>
      <x:c r="C1" s="36"/>
      <x:c r="D1" s="36"/>
      <x:c r="E1" s="36"/>
      <x:c r="F1" s="36"/>
      <x:c r="G1" s="36"/>
      <x:c r="H1" s="36"/>
      <x:c r="I1" s="36"/>
      <x:c r="J1" s="36"/>
      <x:c r="K1" s="36"/>
      <x:c r="L1" s="36"/>
      <x:c r="M1" s="36"/>
      <x:c r="N1" s="36"/>
      <x:c r="O1" s="36"/>
      <x:c r="P1" s="36"/>
      <x:c r="Q1" s="36"/>
      <x:c r="R1" s="36"/>
      <x:c r="S1" s="36"/>
      <x:c r="T1" s="36"/>
      <x:c r="U1" s="36"/>
      <x:c r="V1" s="36"/>
      <x:c r="W1" s="36"/>
      <x:c r="X1" s="36"/>
    </x:row>
    <x:row r="2" ht="32" customHeight="1">
      <x:c r="A2" s="24" t="str">
        <x:v>These 189 records remain provisional until human review. Classification confidence is separate from anchor-location confidence.</x:v>
      </x:c>
      <x:c r="B2" s="24"/>
      <x:c r="C2" s="24"/>
      <x:c r="D2" s="24"/>
      <x:c r="E2" s="24"/>
      <x:c r="F2" s="24"/>
      <x:c r="G2" s="24"/>
      <x:c r="H2" s="24"/>
      <x:c r="I2" s="24"/>
      <x:c r="J2" s="24"/>
      <x:c r="K2" s="24"/>
      <x:c r="L2" s="24"/>
      <x:c r="M2" s="24"/>
      <x:c r="N2" s="24"/>
      <x:c r="O2" s="24"/>
      <x:c r="P2" s="24"/>
      <x:c r="Q2" s="24"/>
      <x:c r="R2" s="24"/>
      <x:c r="S2" s="24"/>
      <x:c r="T2" s="24"/>
      <x:c r="U2" s="24"/>
      <x:c r="V2" s="24"/>
      <x:c r="W2" s="24"/>
      <x:c r="X2" s="24"/>
    </x:row>
    <x:row r="3">
      <x:c r="A3" s="25"/>
      <x:c r="B3" s="25"/>
      <x:c r="C3" s="25"/>
      <x:c r="D3" s="25"/>
      <x:c r="E3" s="25"/>
      <x:c r="F3" s="25"/>
      <x:c r="G3" s="25"/>
      <x:c r="H3" s="25"/>
      <x:c r="I3" s="25"/>
      <x:c r="J3" s="25"/>
      <x:c r="K3" s="25"/>
      <x:c r="L3" s="25"/>
      <x:c r="M3" s="25"/>
      <x:c r="N3" s="25"/>
      <x:c r="O3" s="25"/>
      <x:c r="P3" s="25"/>
      <x:c r="Q3" s="25"/>
      <x:c r="R3" s="25"/>
      <x:c r="S3" s="25"/>
      <x:c r="T3" s="25"/>
      <x:c r="U3" s="25"/>
      <x:c r="V3" s="25"/>
      <x:c r="W3" s="25"/>
      <x:c r="X3" s="25"/>
    </x:row>
    <x:row r="4" ht="40" customHeight="1">
      <x:c r="A4" s="37" t="str">
        <x:v>candidate_id</x:v>
      </x:c>
      <x:c r="B4" s="37" t="str">
        <x:v>country</x:v>
      </x:c>
      <x:c r="C4" s="37" t="str">
        <x:v>source_reference</x:v>
      </x:c>
      <x:c r="D4" s="37" t="str">
        <x:v>compact_form</x:v>
      </x:c>
      <x:c r="E4" s="37" t="str">
        <x:v>original_compact_text</x:v>
      </x:c>
      <x:c r="F4" s="37" t="str">
        <x:v>standardized_candidate_reform_action</x:v>
      </x:c>
      <x:c r="G4" s="37" t="str">
        <x:v>detailed_description</x:v>
      </x:c>
      <x:c r="H4" s="37" t="str">
        <x:v>candidate_stream</x:v>
      </x:c>
      <x:c r="I4" s="37" t="str">
        <x:v>inclusion_decision</x:v>
      </x:c>
      <x:c r="J4" s="37" t="str">
        <x:v>reform_action_tag</x:v>
      </x:c>
      <x:c r="K4" s="37" t="str">
        <x:v>count_in_reform_total</x:v>
      </x:c>
      <x:c r="L4" s="37" t="str">
        <x:v>confidence_level</x:v>
      </x:c>
      <x:c r="M4" s="37" t="str">
        <x:v>decision_rationale</x:v>
      </x:c>
      <x:c r="N4" s="37" t="str">
        <x:v>water_security_pillar</x:v>
      </x:c>
      <x:c r="O4" s="37" t="str">
        <x:v>solution_area</x:v>
      </x:c>
      <x:c r="P4" s="37" t="str">
        <x:v>reform_type_tier_1</x:v>
      </x:c>
      <x:c r="Q4" s="37" t="str">
        <x:v>reform_type_tier_2</x:v>
      </x:c>
      <x:c r="R4" s="37" t="str">
        <x:v>responsible_entity</x:v>
      </x:c>
      <x:c r="S4" s="37" t="str">
        <x:v>related_parent_id</x:v>
      </x:c>
      <x:c r="T4" s="37" t="str">
        <x:v>human_review_status</x:v>
      </x:c>
      <x:c r="U4" s="37" t="str">
        <x:v>reviewer_comment</x:v>
      </x:c>
      <x:c r="V4" s="37" t="str">
        <x:v>final_validated_action</x:v>
      </x:c>
      <x:c r="W4" s="37" t="str">
        <x:v>reform_aspiration_status</x:v>
      </x:c>
      <x:c r="X4" s="37" t="str">
        <x:v>criterion_assessment</x:v>
      </x:c>
    </x:row>
    <x:row r="5" ht="52" customHeight="1">
      <x:c r="A5" s="27" t="str">
        <x:v>CAM-001</x:v>
      </x:c>
      <x:c r="B5" s="27" t="str">
        <x:v>Cambodia</x:v>
      </x:c>
      <x:c r="C5" s="27" t="str">
        <x:v>PDF p. 6, Table 2</x:v>
      </x:c>
      <x:c r="D5" s="27" t="str">
        <x:v>Priority reform table</x:v>
      </x:c>
      <x:c r="E5" s="27" t="str">
        <x:v>Update national WSS policy</x:v>
      </x:c>
      <x:c r="F5" s="27" t="str">
        <x:v>Update the National Policy on Water Supply and Sanitation</x:v>
      </x:c>
      <x:c r="G5" s="27" t="str">
        <x:v>Revise national WSS policy to incorporate the Compact's regulatory reforms and service-delivery models.</x:v>
      </x:c>
      <x:c r="H5" s="27" t="str">
        <x:v>A — High-confidence Reform Action</x:v>
      </x:c>
      <x:c r="I5" s="27" t="str">
        <x:v>Provisionally Included</x:v>
      </x:c>
      <x:c r="J5" s="27" t="str">
        <x:v>Core Reform Action</x:v>
      </x:c>
      <x:c r="K5" s="27" t="str">
        <x:v>No</x:v>
      </x:c>
      <x:c r="L5" s="27" t="str">
        <x:v>High</x:v>
      </x:c>
      <x:c r="M5" s="27" t="str">
        <x:v>The Compact states a discrete, durable mechanism that changes or materially strengthens sector rules, institutions, financing, planning, accountability, or service-delivery systems.</x:v>
      </x:c>
      <x:c r="N5" s="27" t="str">
        <x:v>Water for People</x:v>
      </x:c>
      <x:c r="O5" s="27" t="str">
        <x:v>S1; S3</x:v>
      </x:c>
      <x:c r="P5" s="27" t="str">
        <x:v>Policy &amp; Strategic Frameworks</x:v>
      </x:c>
      <x:c r="Q5" s="27" t="str">
        <x:v>Water supply and sanitation policy</x:v>
      </x:c>
      <x:c r="R5" s="27" t="str">
        <x:v>MISTI; MPWT; MRD</x:v>
      </x:c>
      <x:c r="S5" s="27" t="str"/>
      <x:c r="T5" s="27" t="str">
        <x:v>Pending human review</x:v>
      </x:c>
      <x:c r="U5" s="27" t="str"/>
      <x:c r="V5" s="27" t="str"/>
      <x:c r="W5" s="27" t="str">
        <x:v>Not an Aspiration</x:v>
      </x:c>
      <x:c r="X5" s="27" t="str">
        <x:v>Commitment=Yes; Actionable Mechanism=Yes; System Change=Yes; Not Merely Implementation=Yes; Distinct/Aggregated=Yes</x:v>
      </x:c>
    </x:row>
    <x:row r="6" ht="52" customHeight="1">
      <x:c r="A6" s="28" t="str">
        <x:v>CAM-002</x:v>
      </x:c>
      <x:c r="B6" s="28" t="str">
        <x:v>Cambodia</x:v>
      </x:c>
      <x:c r="C6" s="28" t="str">
        <x:v>PDF p. 6, Table 2</x:v>
      </x:c>
      <x:c r="D6" s="28" t="str">
        <x:v>Priority reform table</x:v>
      </x:c>
      <x:c r="E6" s="28" t="str">
        <x:v>Develop new Water Supply Law</x:v>
      </x:c>
      <x:c r="F6" s="28" t="str">
        <x:v>Enact a new Water Supply Law</x:v>
      </x:c>
      <x:c r="G6" s="28" t="str">
        <x:v>Create a law that clearly separates policymaking, regulation, and service-provision responsibilities.</x:v>
      </x:c>
      <x:c r="H6" s="28" t="str">
        <x:v>A — High-confidence Reform Action</x:v>
      </x:c>
      <x:c r="I6" s="28" t="str">
        <x:v>Provisionally Included</x:v>
      </x:c>
      <x:c r="J6" s="28" t="str">
        <x:v>Core Reform Action</x:v>
      </x:c>
      <x:c r="K6" s="28" t="str">
        <x:v>No</x:v>
      </x:c>
      <x:c r="L6" s="28" t="str">
        <x:v>High</x:v>
      </x:c>
      <x:c r="M6" s="28" t="str">
        <x:v>The Compact states a discrete, durable mechanism that changes or materially strengthens sector rules, institutions, financing, planning, accountability, or service-delivery systems.</x:v>
      </x:c>
      <x:c r="N6" s="28" t="str">
        <x:v>Water for People</x:v>
      </x:c>
      <x:c r="O6" s="28" t="str">
        <x:v>S1</x:v>
      </x:c>
      <x:c r="P6" s="28" t="str">
        <x:v>Legal &amp; Regulatory Reform</x:v>
      </x:c>
      <x:c r="Q6" s="28" t="str">
        <x:v>Water supply legislation</x:v>
      </x:c>
      <x:c r="R6" s="28" t="str">
        <x:v>MISTI</x:v>
      </x:c>
      <x:c r="S6" s="28" t="str"/>
      <x:c r="T6" s="28" t="str">
        <x:v>Pending human review</x:v>
      </x:c>
      <x:c r="U6" s="28" t="str"/>
      <x:c r="V6" s="28" t="str"/>
      <x:c r="W6" s="28" t="str">
        <x:v>Not an Aspiration</x:v>
      </x:c>
      <x:c r="X6" s="28" t="str">
        <x:v>Commitment=Yes; Actionable Mechanism=Yes; System Change=Yes; Not Merely Implementation=Yes; Distinct/Aggregated=Yes</x:v>
      </x:c>
    </x:row>
    <x:row r="7" ht="52" customHeight="1">
      <x:c r="A7" s="28" t="str">
        <x:v>CAM-003</x:v>
      </x:c>
      <x:c r="B7" s="28" t="str">
        <x:v>Cambodia</x:v>
      </x:c>
      <x:c r="C7" s="28" t="str">
        <x:v>PDF p. 6, Table 2</x:v>
      </x:c>
      <x:c r="D7" s="28" t="str">
        <x:v>Priority reform table</x:v>
      </x:c>
      <x:c r="E7" s="28" t="str">
        <x:v>Establish autonomous water supply regulator</x:v>
      </x:c>
      <x:c r="F7" s="28" t="str">
        <x:v>Establish an autonomous water-supply regulator</x:v>
      </x:c>
      <x:c r="G7" s="28" t="str">
        <x:v>Separate economic and service regulation from policymaking and service provision.</x:v>
      </x:c>
      <x:c r="H7" s="28" t="str">
        <x:v>A — High-confidence Reform Action</x:v>
      </x:c>
      <x:c r="I7" s="28" t="str">
        <x:v>Provisionally Included</x:v>
      </x:c>
      <x:c r="J7" s="28" t="str">
        <x:v>Core Reform Action</x:v>
      </x:c>
      <x:c r="K7" s="28" t="str">
        <x:v>No</x:v>
      </x:c>
      <x:c r="L7" s="28" t="str">
        <x:v>High</x:v>
      </x:c>
      <x:c r="M7" s="28" t="str">
        <x:v>The Compact states a discrete, durable mechanism that changes or materially strengthens sector rules, institutions, financing, planning, accountability, or service-delivery systems.</x:v>
      </x:c>
      <x:c r="N7" s="28" t="str">
        <x:v>Water for People</x:v>
      </x:c>
      <x:c r="O7" s="28" t="str">
        <x:v>S1</x:v>
      </x:c>
      <x:c r="P7" s="28" t="str">
        <x:v>Sector Governance &amp; Institutional Architecture</x:v>
      </x:c>
      <x:c r="Q7" s="28" t="str">
        <x:v>Independent regulatory authority</x:v>
      </x:c>
      <x:c r="R7" s="28" t="str">
        <x:v>MISTI</x:v>
      </x:c>
      <x:c r="S7" s="28" t="str"/>
      <x:c r="T7" s="28" t="str">
        <x:v>Pending human review</x:v>
      </x:c>
      <x:c r="U7" s="28" t="str"/>
      <x:c r="V7" s="28" t="str"/>
      <x:c r="W7" s="28" t="str">
        <x:v>Not an Aspiration</x:v>
      </x:c>
      <x:c r="X7" s="28" t="str">
        <x:v>Commitment=Yes; Actionable Mechanism=Yes; System Change=Yes; Not Merely Implementation=Yes; Distinct/Aggregated=Yes</x:v>
      </x:c>
    </x:row>
    <x:row r="8" ht="52" customHeight="1">
      <x:c r="A8" s="28" t="str">
        <x:v>CAM-004</x:v>
      </x:c>
      <x:c r="B8" s="28" t="str">
        <x:v>Cambodia</x:v>
      </x:c>
      <x:c r="C8" s="28" t="str">
        <x:v>PDF pp. 6–7, Table 2</x:v>
      </x:c>
      <x:c r="D8" s="28" t="str">
        <x:v>Priority reform table</x:v>
      </x:c>
      <x:c r="E8" s="28" t="str">
        <x:v>Sub-decree on allocation and licensing</x:v>
      </x:c>
      <x:c r="F8" s="28" t="str">
        <x:v>Adopt a Water Allocation and Licensing Sub-Decree</x:v>
      </x:c>
      <x:c r="G8" s="28" t="str">
        <x:v>Formalize allocation and licensing for domestic and irrigation uses, source protection, service reliability, water-use rights, and allocation transparency.</x:v>
      </x:c>
      <x:c r="H8" s="28" t="str">
        <x:v>A — High-confidence Reform Action</x:v>
      </x:c>
      <x:c r="I8" s="28" t="str">
        <x:v>Provisionally Included</x:v>
      </x:c>
      <x:c r="J8" s="28" t="str">
        <x:v>Core Reform Action</x:v>
      </x:c>
      <x:c r="K8" s="28" t="str">
        <x:v>No</x:v>
      </x:c>
      <x:c r="L8" s="28" t="str">
        <x:v>High</x:v>
      </x:c>
      <x:c r="M8" s="28" t="str">
        <x:v>The Compact states a discrete, durable mechanism that changes or materially strengthens sector rules, institutions, financing, planning, accountability, or service-delivery systems.</x:v>
      </x:c>
      <x:c r="N8" s="28" t="str">
        <x:v>Cross-cutting</x:v>
      </x:c>
      <x:c r="O8" s="28" t="str">
        <x:v>S1; S5; S7</x:v>
      </x:c>
      <x:c r="P8" s="28" t="str">
        <x:v>Legal &amp; Regulatory Reform</x:v>
      </x:c>
      <x:c r="Q8" s="28" t="str">
        <x:v>Water allocation and licensing</x:v>
      </x:c>
      <x:c r="R8" s="28" t="str">
        <x:v>MOWRAM; MISTI</x:v>
      </x:c>
      <x:c r="S8" s="28" t="str"/>
      <x:c r="T8" s="28" t="str">
        <x:v>Pending human review</x:v>
      </x:c>
      <x:c r="U8" s="28" t="str"/>
      <x:c r="V8" s="28" t="str"/>
      <x:c r="W8" s="28" t="str">
        <x:v>Not an Aspiration</x:v>
      </x:c>
      <x:c r="X8" s="28" t="str">
        <x:v>Commitment=Yes; Actionable Mechanism=Yes; System Change=Yes; Not Merely Implementation=Yes; Distinct/Aggregated=Yes</x:v>
      </x:c>
    </x:row>
    <x:row r="9" ht="52" customHeight="1">
      <x:c r="A9" s="28" t="str">
        <x:v>CAM-005</x:v>
      </x:c>
      <x:c r="B9" s="28" t="str">
        <x:v>Cambodia</x:v>
      </x:c>
      <x:c r="C9" s="28" t="str">
        <x:v>PDF p. 6, Table 2</x:v>
      </x:c>
      <x:c r="D9" s="28" t="str">
        <x:v>Priority reform table</x:v>
      </x:c>
      <x:c r="E9" s="28" t="str">
        <x:v>Clean-water business licensing sub-decree</x:v>
      </x:c>
      <x:c r="F9" s="28" t="str">
        <x:v>Strengthen licensing of clean-water supply operators</x:v>
      </x:c>
      <x:c r="G9" s="28" t="str">
        <x:v>Set conditions and procedures for granting clean-water supply business licenses through a sub-decree.</x:v>
      </x:c>
      <x:c r="H9" s="28" t="str">
        <x:v>A — High-confidence Reform Action</x:v>
      </x:c>
      <x:c r="I9" s="28" t="str">
        <x:v>Provisionally Included</x:v>
      </x:c>
      <x:c r="J9" s="28" t="str">
        <x:v>Core Reform Action</x:v>
      </x:c>
      <x:c r="K9" s="28" t="str">
        <x:v>No</x:v>
      </x:c>
      <x:c r="L9" s="28" t="str">
        <x:v>High</x:v>
      </x:c>
      <x:c r="M9" s="28" t="str">
        <x:v>The Compact states a discrete, durable mechanism that changes or materially strengthens sector rules, institutions, financing, planning, accountability, or service-delivery systems.</x:v>
      </x:c>
      <x:c r="N9" s="28" t="str">
        <x:v>Water for People</x:v>
      </x:c>
      <x:c r="O9" s="28" t="str">
        <x:v>S1</x:v>
      </x:c>
      <x:c r="P9" s="28" t="str">
        <x:v>Legal &amp; Regulatory Reform</x:v>
      </x:c>
      <x:c r="Q9" s="28" t="str">
        <x:v>Service-provider licensing</x:v>
      </x:c>
      <x:c r="R9" s="28" t="str">
        <x:v>MISTI</x:v>
      </x:c>
      <x:c r="S9" s="28" t="str"/>
      <x:c r="T9" s="28" t="str">
        <x:v>Pending human review</x:v>
      </x:c>
      <x:c r="U9" s="28" t="str"/>
      <x:c r="V9" s="28" t="str"/>
      <x:c r="W9" s="28" t="str">
        <x:v>Not an Aspiration</x:v>
      </x:c>
      <x:c r="X9" s="28" t="str">
        <x:v>Commitment=Yes; Actionable Mechanism=Yes; System Change=Yes; Not Merely Implementation=Yes; Distinct/Aggregated=Yes</x:v>
      </x:c>
    </x:row>
    <x:row r="10" ht="52" customHeight="1">
      <x:c r="A10" s="28" t="str">
        <x:v>CAM-006</x:v>
      </x:c>
      <x:c r="B10" s="28" t="str">
        <x:v>Cambodia</x:v>
      </x:c>
      <x:c r="C10" s="28" t="str">
        <x:v>PDF p. 6, Table 2</x:v>
      </x:c>
      <x:c r="D10" s="28" t="str">
        <x:v>Priority reform table</x:v>
      </x:c>
      <x:c r="E10" s="28" t="str">
        <x:v>Clean-water tariff determination regulation</x:v>
      </x:c>
      <x:c r="F10" s="28" t="str">
        <x:v>Adopt a clean-water tariff determination regulation</x:v>
      </x:c>
      <x:c r="G10" s="28" t="str">
        <x:v>Establish a ministerial tariff methodology based on cost recovery and affordability.</x:v>
      </x:c>
      <x:c r="H10" s="28" t="str">
        <x:v>A — High-confidence Reform Action</x:v>
      </x:c>
      <x:c r="I10" s="28" t="str">
        <x:v>Provisionally Included</x:v>
      </x:c>
      <x:c r="J10" s="28" t="str">
        <x:v>Core Reform Action</x:v>
      </x:c>
      <x:c r="K10" s="28" t="str">
        <x:v>No</x:v>
      </x:c>
      <x:c r="L10" s="28" t="str">
        <x:v>High</x:v>
      </x:c>
      <x:c r="M10" s="28" t="str">
        <x:v>The Compact states a discrete, durable mechanism that changes or materially strengthens sector rules, institutions, financing, planning, accountability, or service-delivery systems.</x:v>
      </x:c>
      <x:c r="N10" s="28" t="str">
        <x:v>Water for People</x:v>
      </x:c>
      <x:c r="O10" s="28" t="str">
        <x:v>S1</x:v>
      </x:c>
      <x:c r="P10" s="28" t="str">
        <x:v>Financial Sustainability &amp; Sector Financing</x:v>
      </x:c>
      <x:c r="Q10" s="28" t="str">
        <x:v>Water tariff methodology</x:v>
      </x:c>
      <x:c r="R10" s="28" t="str">
        <x:v>MISTI</x:v>
      </x:c>
      <x:c r="S10" s="28" t="str"/>
      <x:c r="T10" s="28" t="str">
        <x:v>Pending human review</x:v>
      </x:c>
      <x:c r="U10" s="28" t="str"/>
      <x:c r="V10" s="28" t="str"/>
      <x:c r="W10" s="28" t="str">
        <x:v>Not an Aspiration</x:v>
      </x:c>
      <x:c r="X10" s="28" t="str">
        <x:v>Commitment=Yes; Actionable Mechanism=Yes; System Change=Yes; Not Merely Implementation=Yes; Distinct/Aggregated=Yes</x:v>
      </x:c>
    </x:row>
    <x:row r="11" ht="52" customHeight="1">
      <x:c r="A11" s="28" t="str">
        <x:v>CAM-007</x:v>
      </x:c>
      <x:c r="B11" s="28" t="str">
        <x:v>Cambodia</x:v>
      </x:c>
      <x:c r="C11" s="28" t="str">
        <x:v>PDF p. 6, Table 2</x:v>
      </x:c>
      <x:c r="D11" s="28" t="str">
        <x:v>Priority reform table</x:v>
      </x:c>
      <x:c r="E11" s="28" t="str">
        <x:v>Establish Clean Water Development Fund</x:v>
      </x:c>
      <x:c r="F11" s="28" t="str">
        <x:v>Establish the Clean Water Development Fund</x:v>
      </x:c>
      <x:c r="G11" s="28" t="str">
        <x:v>Create a sector fund through a sub-decree to finance service expansion and quality improvement.</x:v>
      </x:c>
      <x:c r="H11" s="28" t="str">
        <x:v>A — High-confidence Reform Action</x:v>
      </x:c>
      <x:c r="I11" s="28" t="str">
        <x:v>Provisionally Included</x:v>
      </x:c>
      <x:c r="J11" s="28" t="str">
        <x:v>Core Reform Action</x:v>
      </x:c>
      <x:c r="K11" s="28" t="str">
        <x:v>No</x:v>
      </x:c>
      <x:c r="L11" s="28" t="str">
        <x:v>High</x:v>
      </x:c>
      <x:c r="M11" s="28" t="str">
        <x:v>The Compact states a discrete, durable mechanism that changes or materially strengthens sector rules, institutions, financing, planning, accountability, or service-delivery systems.</x:v>
      </x:c>
      <x:c r="N11" s="28" t="str">
        <x:v>Water for People</x:v>
      </x:c>
      <x:c r="O11" s="28" t="str">
        <x:v>S2</x:v>
      </x:c>
      <x:c r="P11" s="28" t="str">
        <x:v>Financial Sustainability &amp; Sector Financing</x:v>
      </x:c>
      <x:c r="Q11" s="28" t="str">
        <x:v>Dedicated sector fund</x:v>
      </x:c>
      <x:c r="R11" s="28" t="str">
        <x:v>MISTI</x:v>
      </x:c>
      <x:c r="S11" s="28" t="str"/>
      <x:c r="T11" s="28" t="str">
        <x:v>Pending human review</x:v>
      </x:c>
      <x:c r="U11" s="28" t="str"/>
      <x:c r="V11" s="28" t="str"/>
      <x:c r="W11" s="28" t="str">
        <x:v>Not an Aspiration</x:v>
      </x:c>
      <x:c r="X11" s="28" t="str">
        <x:v>Commitment=Yes; Actionable Mechanism=Yes; System Change=Yes; Not Merely Implementation=Yes; Distinct/Aggregated=Yes</x:v>
      </x:c>
    </x:row>
    <x:row r="12" ht="52" customHeight="1">
      <x:c r="A12" s="28" t="str">
        <x:v>CAM-008</x:v>
      </x:c>
      <x:c r="B12" s="28" t="str">
        <x:v>Cambodia</x:v>
      </x:c>
      <x:c r="C12" s="28" t="str">
        <x:v>PDF p. 6, Table 2</x:v>
      </x:c>
      <x:c r="D12" s="28" t="str">
        <x:v>Priority reform table</x:v>
      </x:c>
      <x:c r="E12" s="28" t="str">
        <x:v>Establish Cambodia National Water Utility</x:v>
      </x:c>
      <x:c r="F12" s="28" t="str">
        <x:v>Establish the Cambodia National Water Utility</x:v>
      </x:c>
      <x:c r="G12" s="28" t="str">
        <x:v>Create a national utility structure to consolidate technical support, provider aggregation, and performance benchmarking.</x:v>
      </x:c>
      <x:c r="H12" s="28" t="str">
        <x:v>A — High-confidence Reform Action</x:v>
      </x:c>
      <x:c r="I12" s="28" t="str">
        <x:v>Provisionally Included</x:v>
      </x:c>
      <x:c r="J12" s="28" t="str">
        <x:v>Core Reform Action</x:v>
      </x:c>
      <x:c r="K12" s="28" t="str">
        <x:v>No</x:v>
      </x:c>
      <x:c r="L12" s="28" t="str">
        <x:v>High</x:v>
      </x:c>
      <x:c r="M12" s="28" t="str">
        <x:v>The Compact states a discrete, durable mechanism that changes or materially strengthens sector rules, institutions, financing, planning, accountability, or service-delivery systems.</x:v>
      </x:c>
      <x:c r="N12" s="28" t="str">
        <x:v>Water for People</x:v>
      </x:c>
      <x:c r="O12" s="28" t="str">
        <x:v>S1</x:v>
      </x:c>
      <x:c r="P12" s="28" t="str">
        <x:v>WSS Service Delivery &amp; Utility Reform</x:v>
      </x:c>
      <x:c r="Q12" s="28" t="str">
        <x:v>Utility aggregation and national support</x:v>
      </x:c>
      <x:c r="R12" s="28" t="str">
        <x:v>MISTI</x:v>
      </x:c>
      <x:c r="S12" s="28" t="str"/>
      <x:c r="T12" s="28" t="str">
        <x:v>Pending human review</x:v>
      </x:c>
      <x:c r="U12" s="28" t="str"/>
      <x:c r="V12" s="28" t="str"/>
      <x:c r="W12" s="28" t="str">
        <x:v>Not an Aspiration</x:v>
      </x:c>
      <x:c r="X12" s="28" t="str">
        <x:v>Commitment=Yes; Actionable Mechanism=Yes; System Change=Yes; Not Merely Implementation=Yes; Distinct/Aggregated=Yes</x:v>
      </x:c>
    </x:row>
    <x:row r="13" ht="52" customHeight="1">
      <x:c r="A13" s="28" t="str">
        <x:v>CAM-009</x:v>
      </x:c>
      <x:c r="B13" s="28" t="str">
        <x:v>Cambodia</x:v>
      </x:c>
      <x:c r="C13" s="28" t="str">
        <x:v>PDF p. 6, Table 2</x:v>
      </x:c>
      <x:c r="D13" s="28" t="str">
        <x:v>Priority reform table</x:v>
      </x:c>
      <x:c r="E13" s="28" t="str">
        <x:v>National rural WSSH strategic plan</x:v>
      </x:c>
      <x:c r="F13" s="28" t="str">
        <x:v>Adopt and implement the 2026–2033 National Rural WSSH Strategic Plan</x:v>
      </x:c>
      <x:c r="G13" s="28" t="str">
        <x:v>Create the national planning framework for rural water supply, sanitation, hygiene, and sustained service delivery.</x:v>
      </x:c>
      <x:c r="H13" s="28" t="str">
        <x:v>A — High-confidence Reform Action</x:v>
      </x:c>
      <x:c r="I13" s="28" t="str">
        <x:v>Provisionally Included</x:v>
      </x:c>
      <x:c r="J13" s="28" t="str">
        <x:v>Core Reform Action</x:v>
      </x:c>
      <x:c r="K13" s="28" t="str">
        <x:v>No</x:v>
      </x:c>
      <x:c r="L13" s="28" t="str">
        <x:v>High</x:v>
      </x:c>
      <x:c r="M13" s="28" t="str">
        <x:v>The Compact states a discrete, durable mechanism that changes or materially strengthens sector rules, institutions, financing, planning, accountability, or service-delivery systems.</x:v>
      </x:c>
      <x:c r="N13" s="28" t="str">
        <x:v>Water for People</x:v>
      </x:c>
      <x:c r="O13" s="28" t="str">
        <x:v>S3</x:v>
      </x:c>
      <x:c r="P13" s="28" t="str">
        <x:v>Policy &amp; Strategic Frameworks</x:v>
      </x:c>
      <x:c r="Q13" s="28" t="str">
        <x:v>Rural WASH strategy</x:v>
      </x:c>
      <x:c r="R13" s="28" t="str">
        <x:v>MRD</x:v>
      </x:c>
      <x:c r="S13" s="28" t="str"/>
      <x:c r="T13" s="28" t="str">
        <x:v>Pending human review</x:v>
      </x:c>
      <x:c r="U13" s="28" t="str"/>
      <x:c r="V13" s="28" t="str"/>
      <x:c r="W13" s="28" t="str">
        <x:v>Not an Aspiration</x:v>
      </x:c>
      <x:c r="X13" s="28" t="str">
        <x:v>Commitment=Yes; Actionable Mechanism=Yes; System Change=Yes; Not Merely Implementation=Yes; Distinct/Aggregated=Yes</x:v>
      </x:c>
    </x:row>
    <x:row r="14" ht="52" customHeight="1">
      <x:c r="A14" s="28" t="str">
        <x:v>CAM-010</x:v>
      </x:c>
      <x:c r="B14" s="28" t="str">
        <x:v>Cambodia</x:v>
      </x:c>
      <x:c r="C14" s="28" t="str">
        <x:v>PDF p. 6, Table 2</x:v>
      </x:c>
      <x:c r="D14" s="28" t="str">
        <x:v>Priority reform table</x:v>
      </x:c>
      <x:c r="E14" s="28" t="str">
        <x:v>Combined billing for wastewater fees</x:v>
      </x:c>
      <x:c r="F14" s="28" t="str">
        <x:v>Introduce combined water and wastewater fee billing</x:v>
      </x:c>
      <x:c r="G14" s="28" t="str">
        <x:v>Adopt a sub-decree procedure that collects wastewater fees through water-supply bills.</x:v>
      </x:c>
      <x:c r="H14" s="28" t="str">
        <x:v>A — High-confidence Reform Action</x:v>
      </x:c>
      <x:c r="I14" s="28" t="str">
        <x:v>Provisionally Included</x:v>
      </x:c>
      <x:c r="J14" s="28" t="str">
        <x:v>Core Reform Action</x:v>
      </x:c>
      <x:c r="K14" s="28" t="str">
        <x:v>No</x:v>
      </x:c>
      <x:c r="L14" s="28" t="str">
        <x:v>High</x:v>
      </x:c>
      <x:c r="M14" s="28" t="str">
        <x:v>The Compact states a discrete, durable mechanism that changes or materially strengthens sector rules, institutions, financing, planning, accountability, or service-delivery systems.</x:v>
      </x:c>
      <x:c r="N14" s="28" t="str">
        <x:v>Water for People</x:v>
      </x:c>
      <x:c r="O14" s="28" t="str">
        <x:v>S1</x:v>
      </x:c>
      <x:c r="P14" s="28" t="str">
        <x:v>Financial Sustainability &amp; Sector Financing</x:v>
      </x:c>
      <x:c r="Q14" s="28" t="str">
        <x:v>Wastewater fee collection mechanism</x:v>
      </x:c>
      <x:c r="R14" s="28" t="str">
        <x:v>MPWT; MISTI</x:v>
      </x:c>
      <x:c r="S14" s="28" t="str"/>
      <x:c r="T14" s="28" t="str">
        <x:v>Pending human review</x:v>
      </x:c>
      <x:c r="U14" s="28" t="str"/>
      <x:c r="V14" s="28" t="str"/>
      <x:c r="W14" s="28" t="str">
        <x:v>Not an Aspiration</x:v>
      </x:c>
      <x:c r="X14" s="28" t="str">
        <x:v>Commitment=Yes; Actionable Mechanism=Yes; System Change=Yes; Not Merely Implementation=Yes; Distinct/Aggregated=Yes</x:v>
      </x:c>
    </x:row>
    <x:row r="15" ht="52" customHeight="1">
      <x:c r="A15" s="28" t="str">
        <x:v>CAM-011</x:v>
      </x:c>
      <x:c r="B15" s="28" t="str">
        <x:v>Cambodia</x:v>
      </x:c>
      <x:c r="C15" s="28" t="str">
        <x:v>PDF p. 6, Table 2</x:v>
      </x:c>
      <x:c r="D15" s="28" t="str">
        <x:v>Priority reform table</x:v>
      </x:c>
      <x:c r="E15" s="28" t="str">
        <x:v>Wastewater tariff determination decree</x:v>
      </x:c>
      <x:c r="F15" s="28" t="str">
        <x:v>Adopt a wastewater tariff determination decree</x:v>
      </x:c>
      <x:c r="G15" s="28" t="str">
        <x:v>Create an interministerial tariff methodology grounded in cost-recovery principles.</x:v>
      </x:c>
      <x:c r="H15" s="28" t="str">
        <x:v>A — High-confidence Reform Action</x:v>
      </x:c>
      <x:c r="I15" s="28" t="str">
        <x:v>Provisionally Included</x:v>
      </x:c>
      <x:c r="J15" s="28" t="str">
        <x:v>Core Reform Action</x:v>
      </x:c>
      <x:c r="K15" s="28" t="str">
        <x:v>No</x:v>
      </x:c>
      <x:c r="L15" s="28" t="str">
        <x:v>High</x:v>
      </x:c>
      <x:c r="M15" s="28" t="str">
        <x:v>The Compact states a discrete, durable mechanism that changes or materially strengthens sector rules, institutions, financing, planning, accountability, or service-delivery systems.</x:v>
      </x:c>
      <x:c r="N15" s="28" t="str">
        <x:v>Water for People</x:v>
      </x:c>
      <x:c r="O15" s="28" t="str">
        <x:v>S1</x:v>
      </x:c>
      <x:c r="P15" s="28" t="str">
        <x:v>Financial Sustainability &amp; Sector Financing</x:v>
      </x:c>
      <x:c r="Q15" s="28" t="str">
        <x:v>Wastewater tariff methodology</x:v>
      </x:c>
      <x:c r="R15" s="28" t="str">
        <x:v>MPWT; MISTI</x:v>
      </x:c>
      <x:c r="S15" s="28" t="str"/>
      <x:c r="T15" s="28" t="str">
        <x:v>Pending human review</x:v>
      </x:c>
      <x:c r="U15" s="28" t="str"/>
      <x:c r="V15" s="28" t="str"/>
      <x:c r="W15" s="28" t="str">
        <x:v>Not an Aspiration</x:v>
      </x:c>
      <x:c r="X15" s="28" t="str">
        <x:v>Commitment=Yes; Actionable Mechanism=Yes; System Change=Yes; Not Merely Implementation=Yes; Distinct/Aggregated=Yes</x:v>
      </x:c>
    </x:row>
    <x:row r="16" ht="52" customHeight="1">
      <x:c r="A16" s="28" t="str">
        <x:v>CAM-012</x:v>
      </x:c>
      <x:c r="B16" s="28" t="str">
        <x:v>Cambodia</x:v>
      </x:c>
      <x:c r="C16" s="28" t="str">
        <x:v>PDF p. 6, Table 2</x:v>
      </x:c>
      <x:c r="D16" s="28" t="str">
        <x:v>Priority reform table</x:v>
      </x:c>
      <x:c r="E16" s="28" t="str">
        <x:v>Wastewater and fecal sludge action plan</x:v>
      </x:c>
      <x:c r="F16" s="28" t="str">
        <x:v>Recognize the completed 2025–2035 Wastewater and Fecal Sludge Management Action Plan</x:v>
      </x:c>
      <x:c r="G16" s="28" t="str">
        <x:v>The plan is system-relevant, but the Compact marks it completed; reviewers should decide whether pre-Compact completed reforms belong in the inventory.</x:v>
      </x:c>
      <x:c r="H16" s="28" t="str">
        <x:v>B — Potential Reform Action — Human Review</x:v>
      </x:c>
      <x:c r="I16" s="28" t="str">
        <x:v>Pending Human Review</x:v>
      </x:c>
      <x:c r="J16" s="28" t="str">
        <x:v>Core Reform Action</x:v>
      </x:c>
      <x:c r="K16" s="28" t="str">
        <x:v>No</x:v>
      </x:c>
      <x:c r="L16" s="28" t="str">
        <x:v>Medium</x:v>
      </x:c>
      <x:c r="M16" s="28" t="str">
        <x:v>The mechanism is explicit and reform-like, but its completed status creates a temporal-scope question rather than an identification question.</x:v>
      </x:c>
      <x:c r="N16" s="28" t="str">
        <x:v>Water for People</x:v>
      </x:c>
      <x:c r="O16" s="28" t="str">
        <x:v>S1</x:v>
      </x:c>
      <x:c r="P16" s="28" t="str">
        <x:v>Policy &amp; Strategic Frameworks</x:v>
      </x:c>
      <x:c r="Q16" s="28" t="str">
        <x:v>Wastewater and fecal sludge strategy</x:v>
      </x:c>
      <x:c r="R16" s="28" t="str">
        <x:v>MPWT</x:v>
      </x:c>
      <x:c r="S16" s="28" t="str"/>
      <x:c r="T16" s="28" t="str">
        <x:v>Pending human review</x:v>
      </x:c>
      <x:c r="U16" s="28" t="str"/>
      <x:c r="V16" s="28" t="str"/>
      <x:c r="W16" s="28" t="str">
        <x:v>Not an Aspiration</x:v>
      </x:c>
      <x:c r="X16" s="28" t="str">
        <x:v>Commitment=Yes/Partial; Actionable Mechanism=Partial; System Change=Partial; Not Merely Implementation=Partial; Distinct/Aggregated=Partial</x:v>
      </x:c>
    </x:row>
    <x:row r="17" ht="52" customHeight="1">
      <x:c r="A17" s="28" t="str">
        <x:v>CAM-013</x:v>
      </x:c>
      <x:c r="B17" s="28" t="str">
        <x:v>Cambodia</x:v>
      </x:c>
      <x:c r="C17" s="28" t="str">
        <x:v>PDF p. 6, Table 2</x:v>
      </x:c>
      <x:c r="D17" s="28" t="str">
        <x:v>Priority reform table</x:v>
      </x:c>
      <x:c r="E17" s="28" t="str">
        <x:v>Improve long-term wastewater planning</x:v>
      </x:c>
      <x:c r="F17" s="28" t="str">
        <x:v>Strengthen long-term wastewater infrastructure planning</x:v>
      </x:c>
      <x:c r="G17" s="28" t="str">
        <x:v>Create a differentiated planning approach for large, medium, and small urban centers; the formal instrument is not specified in Table 2.</x:v>
      </x:c>
      <x:c r="H17" s="28" t="str">
        <x:v>B — Potential Reform Action — Human Review</x:v>
      </x:c>
      <x:c r="I17" s="28" t="str">
        <x:v>Pending Human Review</x:v>
      </x:c>
      <x:c r="J17" s="28" t="str">
        <x:v>Reform Aspiration — Potential</x:v>
      </x:c>
      <x:c r="K17" s="28" t="str">
        <x:v>No</x:v>
      </x:c>
      <x:c r="L17" s="28" t="str">
        <x:v>Low</x:v>
      </x:c>
      <x:c r="M17" s="28" t="str">
        <x:v>The passage signals plausible system change, but the instrument, institutional design, scope, aggregation, or distinction from implementation is not sufficiently clear for high-confidence inclusion.</x:v>
      </x:c>
      <x:c r="N17" s="28" t="str">
        <x:v>Water for People</x:v>
      </x:c>
      <x:c r="O17" s="28" t="str">
        <x:v>S1</x:v>
      </x:c>
      <x:c r="P17" s="28" t="str">
        <x:v>Policy &amp; Strategic Frameworks</x:v>
      </x:c>
      <x:c r="Q17" s="28" t="str">
        <x:v>Urban wastewater planning</x:v>
      </x:c>
      <x:c r="R17" s="28" t="str">
        <x:v>MPWT</x:v>
      </x:c>
      <x:c r="S17" s="28" t="str">
        <x:v>CAM-027</x:v>
      </x:c>
      <x:c r="T17" s="28" t="str">
        <x:v>Pending human review</x:v>
      </x:c>
      <x:c r="U17" s="28" t="str"/>
      <x:c r="V17" s="28" t="str"/>
      <x:c r="W17" s="28" t="str">
        <x:v>Aspiration Linked to Explicit Mechanism</x:v>
      </x:c>
      <x:c r="X17" s="28" t="str">
        <x:v>Commitment=Yes/Partial; Actionable Mechanism=Partial; System Change=Partial; Not Merely Implementation=Partial; Distinct/Aggregated=Partial</x:v>
      </x:c>
    </x:row>
    <x:row r="18" ht="52" customHeight="1">
      <x:c r="A18" s="28" t="str">
        <x:v>CAM-014</x:v>
      </x:c>
      <x:c r="B18" s="28" t="str">
        <x:v>Cambodia</x:v>
      </x:c>
      <x:c r="C18" s="28" t="str">
        <x:v>PDF p. 6, Table 2</x:v>
      </x:c>
      <x:c r="D18" s="28" t="str">
        <x:v>Priority reform table</x:v>
      </x:c>
      <x:c r="E18" s="28" t="str">
        <x:v>PPP guidelines for wastewater service</x:v>
      </x:c>
      <x:c r="F18" s="28" t="str">
        <x:v>Adopt PPP guidelines for wastewater services</x:v>
      </x:c>
      <x:c r="G18" s="28" t="str">
        <x:v>Standardize the enabling framework for private participation in wastewater service delivery.</x:v>
      </x:c>
      <x:c r="H18" s="28" t="str">
        <x:v>A — High-confidence Reform Action</x:v>
      </x:c>
      <x:c r="I18" s="28" t="str">
        <x:v>Provisionally Included</x:v>
      </x:c>
      <x:c r="J18" s="28" t="str">
        <x:v>Core Reform Action</x:v>
      </x:c>
      <x:c r="K18" s="28" t="str">
        <x:v>No</x:v>
      </x:c>
      <x:c r="L18" s="28" t="str">
        <x:v>High</x:v>
      </x:c>
      <x:c r="M18" s="28" t="str">
        <x:v>The Compact states a discrete, durable mechanism that changes or materially strengthens sector rules, institutions, financing, planning, accountability, or service-delivery systems.</x:v>
      </x:c>
      <x:c r="N18" s="28" t="str">
        <x:v>Water for People</x:v>
      </x:c>
      <x:c r="O18" s="28" t="str">
        <x:v>S2</x:v>
      </x:c>
      <x:c r="P18" s="28" t="str">
        <x:v>Private Sector Participation &amp; Financing Enablers</x:v>
      </x:c>
      <x:c r="Q18" s="28" t="str">
        <x:v>Wastewater PPP framework</x:v>
      </x:c>
      <x:c r="R18" s="28" t="str">
        <x:v>MPWT</x:v>
      </x:c>
      <x:c r="S18" s="28" t="str"/>
      <x:c r="T18" s="28" t="str">
        <x:v>Pending human review</x:v>
      </x:c>
      <x:c r="U18" s="28" t="str"/>
      <x:c r="V18" s="28" t="str"/>
      <x:c r="W18" s="28" t="str">
        <x:v>Not an Aspiration</x:v>
      </x:c>
      <x:c r="X18" s="28" t="str">
        <x:v>Commitment=Yes; Actionable Mechanism=Yes; System Change=Yes; Not Merely Implementation=Yes; Distinct/Aggregated=Yes</x:v>
      </x:c>
    </x:row>
    <x:row r="19" ht="52" customHeight="1">
      <x:c r="A19" s="28" t="str">
        <x:v>CAM-015</x:v>
      </x:c>
      <x:c r="B19" s="28" t="str">
        <x:v>Cambodia</x:v>
      </x:c>
      <x:c r="C19" s="28" t="str">
        <x:v>PDF p. 7, Table 2</x:v>
      </x:c>
      <x:c r="D19" s="28" t="str">
        <x:v>Priority reform table</x:v>
      </x:c>
      <x:c r="E19" s="28" t="str">
        <x:v>Strengthen enforcement and investment planning</x:v>
      </x:c>
      <x:c r="F19" s="28" t="str">
        <x:v>Strengthen wastewater regulatory enforcement and investment planning</x:v>
      </x:c>
      <x:c r="G19" s="28" t="str">
        <x:v>Improve enforcement and planning under the wastewater and fecal-sludge framework; the passage bundles functions and lacks a discrete instrument.</x:v>
      </x:c>
      <x:c r="H19" s="28" t="str">
        <x:v>B — Potential Reform Action — Human Review</x:v>
      </x:c>
      <x:c r="I19" s="28" t="str">
        <x:v>Pending Human Review</x:v>
      </x:c>
      <x:c r="J19" s="28" t="str">
        <x:v>Reform Aspiration — Potential</x:v>
      </x:c>
      <x:c r="K19" s="28" t="str">
        <x:v>No</x:v>
      </x:c>
      <x:c r="L19" s="28" t="str">
        <x:v>Low</x:v>
      </x:c>
      <x:c r="M19" s="28" t="str">
        <x:v>The passage signals plausible system change, but the instrument, institutional design, scope, aggregation, or distinction from implementation is not sufficiently clear for high-confidence inclusion.</x:v>
      </x:c>
      <x:c r="N19" s="28" t="str">
        <x:v>Water for People</x:v>
      </x:c>
      <x:c r="O19" s="28" t="str">
        <x:v>S1; S2</x:v>
      </x:c>
      <x:c r="P19" s="28" t="str">
        <x:v>Legal &amp; Regulatory Reform</x:v>
      </x:c>
      <x:c r="Q19" s="28" t="str">
        <x:v>Wastewater regulatory enforcement</x:v>
      </x:c>
      <x:c r="R19" s="28" t="str">
        <x:v>MPWT</x:v>
      </x:c>
      <x:c r="S19" s="28" t="str">
        <x:v>CAM-012</x:v>
      </x:c>
      <x:c r="T19" s="28" t="str">
        <x:v>Pending human review</x:v>
      </x:c>
      <x:c r="U19" s="28" t="str"/>
      <x:c r="V19" s="28" t="str"/>
      <x:c r="W19" s="28" t="str">
        <x:v>Aspiration Linked to Explicit Mechanism</x:v>
      </x:c>
      <x:c r="X19" s="28" t="str">
        <x:v>Commitment=Yes/Partial; Actionable Mechanism=Partial; System Change=Partial; Not Merely Implementation=Partial; Distinct/Aggregated=Partial</x:v>
      </x:c>
    </x:row>
    <x:row r="20" ht="52" customHeight="1">
      <x:c r="A20" s="28" t="str">
        <x:v>CAM-016</x:v>
      </x:c>
      <x:c r="B20" s="28" t="str">
        <x:v>Cambodia</x:v>
      </x:c>
      <x:c r="C20" s="28" t="str">
        <x:v>PDF p. 7, Table 2</x:v>
      </x:c>
      <x:c r="D20" s="28" t="str">
        <x:v>Priority reform table</x:v>
      </x:c>
      <x:c r="E20" s="28" t="str">
        <x:v>Update Water Resources Policy</x:v>
      </x:c>
      <x:c r="F20" s="28" t="str">
        <x:v>Update the National Water Resources Policy</x:v>
      </x:c>
      <x:c r="G20" s="28" t="str">
        <x:v>Integrate water-resources management and planning at river-basin scale into national policy.</x:v>
      </x:c>
      <x:c r="H20" s="28" t="str">
        <x:v>A — High-confidence Reform Action</x:v>
      </x:c>
      <x:c r="I20" s="28" t="str">
        <x:v>Provisionally Included</x:v>
      </x:c>
      <x:c r="J20" s="28" t="str">
        <x:v>Core Reform Action</x:v>
      </x:c>
      <x:c r="K20" s="28" t="str">
        <x:v>No</x:v>
      </x:c>
      <x:c r="L20" s="28" t="str">
        <x:v>High</x:v>
      </x:c>
      <x:c r="M20" s="28" t="str">
        <x:v>The Compact states a discrete, durable mechanism that changes or materially strengthens sector rules, institutions, financing, planning, accountability, or service-delivery systems.</x:v>
      </x:c>
      <x:c r="N20" s="28" t="str">
        <x:v>Water for Planet</x:v>
      </x:c>
      <x:c r="O20" s="28" t="str">
        <x:v>S7</x:v>
      </x:c>
      <x:c r="P20" s="28" t="str">
        <x:v>Policy &amp; Strategic Frameworks</x:v>
      </x:c>
      <x:c r="Q20" s="28" t="str">
        <x:v>National water resources policy</x:v>
      </x:c>
      <x:c r="R20" s="28" t="str">
        <x:v>MOWRAM</x:v>
      </x:c>
      <x:c r="S20" s="28" t="str"/>
      <x:c r="T20" s="28" t="str">
        <x:v>Pending human review</x:v>
      </x:c>
      <x:c r="U20" s="28" t="str"/>
      <x:c r="V20" s="28" t="str"/>
      <x:c r="W20" s="28" t="str">
        <x:v>Not an Aspiration</x:v>
      </x:c>
      <x:c r="X20" s="28" t="str">
        <x:v>Commitment=Yes; Actionable Mechanism=Yes; System Change=Yes; Not Merely Implementation=Yes; Distinct/Aggregated=Yes</x:v>
      </x:c>
    </x:row>
    <x:row r="21" ht="52" customHeight="1">
      <x:c r="A21" s="28" t="str">
        <x:v>CAM-017</x:v>
      </x:c>
      <x:c r="B21" s="28" t="str">
        <x:v>Cambodia</x:v>
      </x:c>
      <x:c r="C21" s="28" t="str">
        <x:v>PDF p. 7, Table 2</x:v>
      </x:c>
      <x:c r="D21" s="28" t="str">
        <x:v>Priority reform table</x:v>
      </x:c>
      <x:c r="E21" s="28" t="str">
        <x:v>Irrigation allocation and licensing sub-decree</x:v>
      </x:c>
      <x:c r="F21" s="28" t="str">
        <x:v>Formalize irrigation water-use rights and allocation transparency</x:v>
      </x:c>
      <x:c r="G21" s="28" t="str">
        <x:v>This is the irrigation-use component of the broader Water Allocation and Licensing Sub-Decree.</x:v>
      </x:c>
      <x:c r="H21" s="28" t="str">
        <x:v>C — High-confidence Non-reform</x:v>
      </x:c>
      <x:c r="I21" s="28" t="str">
        <x:v>Consolidated</x:v>
      </x:c>
      <x:c r="J21" s="28" t="str">
        <x:v>Consolidated/Covered by Broader Reform</x:v>
      </x:c>
      <x:c r="K21" s="28" t="str">
        <x:v>No</x:v>
      </x:c>
      <x:c r="L21" s="28" t="str">
        <x:v>High</x:v>
      </x:c>
      <x:c r="M21" s="28" t="str">
        <x:v>This passage repeats or operationalizes a broader candidate already retained; counting it separately would double count the same reform mechanism.</x:v>
      </x:c>
      <x:c r="N21" s="28" t="str">
        <x:v>Water for Food</x:v>
      </x:c>
      <x:c r="O21" s="28" t="str">
        <x:v>S5</x:v>
      </x:c>
      <x:c r="P21" s="28" t="str">
        <x:v>Legal &amp; Regulatory Reform</x:v>
      </x:c>
      <x:c r="Q21" s="28" t="str">
        <x:v>Irrigation water rights and allocation</x:v>
      </x:c>
      <x:c r="R21" s="28" t="str">
        <x:v>MOWRAM</x:v>
      </x:c>
      <x:c r="S21" s="28" t="str">
        <x:v>CAM-004</x:v>
      </x:c>
      <x:c r="T21" s="28" t="str">
        <x:v>Pending human review</x:v>
      </x:c>
      <x:c r="U21" s="28" t="str"/>
      <x:c r="V21" s="28" t="str"/>
      <x:c r="W21" s="28" t="str">
        <x:v>Not an Aspiration</x:v>
      </x:c>
      <x:c r="X21" s="28" t="str">
        <x:v>Commitment=Yes; Actionable Mechanism=Yes; System Change=Yes; Not Merely Implementation=Yes; Distinct/Aggregated=No</x:v>
      </x:c>
    </x:row>
    <x:row r="22" ht="52" customHeight="1">
      <x:c r="A22" s="28" t="str">
        <x:v>CAM-018</x:v>
      </x:c>
      <x:c r="B22" s="28" t="str">
        <x:v>Cambodia</x:v>
      </x:c>
      <x:c r="C22" s="28" t="str">
        <x:v>PDF p. 7, Table 2</x:v>
      </x:c>
      <x:c r="D22" s="28" t="str">
        <x:v>Priority reform table</x:v>
      </x:c>
      <x:c r="E22" s="28" t="str">
        <x:v>Revise FWUC sub-decree</x:v>
      </x:c>
      <x:c r="F22" s="28" t="str">
        <x:v>Revise the FWUC establishment and operations sub-decree</x:v>
      </x:c>
      <x:c r="G22" s="28" t="str">
        <x:v>Strengthen Farmer Water User Community governance, accountability, service roles, organizational structure, and operational arrangements.</x:v>
      </x:c>
      <x:c r="H22" s="28" t="str">
        <x:v>A — High-confidence Reform Action</x:v>
      </x:c>
      <x:c r="I22" s="28" t="str">
        <x:v>Provisionally Included</x:v>
      </x:c>
      <x:c r="J22" s="28" t="str">
        <x:v>Core Reform Action</x:v>
      </x:c>
      <x:c r="K22" s="28" t="str">
        <x:v>No</x:v>
      </x:c>
      <x:c r="L22" s="28" t="str">
        <x:v>High</x:v>
      </x:c>
      <x:c r="M22" s="28" t="str">
        <x:v>The Compact states a discrete, durable mechanism that changes or materially strengthens sector rules, institutions, financing, planning, accountability, or service-delivery systems.</x:v>
      </x:c>
      <x:c r="N22" s="28" t="str">
        <x:v>Water for Food</x:v>
      </x:c>
      <x:c r="O22" s="28" t="str">
        <x:v>S4; S5</x:v>
      </x:c>
      <x:c r="P22" s="28" t="str">
        <x:v>Agricultural Water &amp; Irrigation Governance</x:v>
      </x:c>
      <x:c r="Q22" s="28" t="str">
        <x:v>Farmer Water User Community governance</x:v>
      </x:c>
      <x:c r="R22" s="28" t="str">
        <x:v>MOWRAM</x:v>
      </x:c>
      <x:c r="S22" s="28" t="str"/>
      <x:c r="T22" s="28" t="str">
        <x:v>Pending human review</x:v>
      </x:c>
      <x:c r="U22" s="28" t="str"/>
      <x:c r="V22" s="28" t="str"/>
      <x:c r="W22" s="28" t="str">
        <x:v>Not an Aspiration</x:v>
      </x:c>
      <x:c r="X22" s="28" t="str">
        <x:v>Commitment=Yes; Actionable Mechanism=Yes; System Change=Yes; Not Merely Implementation=Yes; Distinct/Aggregated=Yes</x:v>
      </x:c>
    </x:row>
    <x:row r="23" ht="52" customHeight="1">
      <x:c r="A23" s="28" t="str">
        <x:v>CAM-019</x:v>
      </x:c>
      <x:c r="B23" s="28" t="str">
        <x:v>Cambodia</x:v>
      </x:c>
      <x:c r="C23" s="28" t="str">
        <x:v>PDF p. 7, Table 2</x:v>
      </x:c>
      <x:c r="D23" s="28" t="str">
        <x:v>Priority reform table</x:v>
      </x:c>
      <x:c r="E23" s="28" t="str">
        <x:v>Develop National Dam Safety Framework</x:v>
      </x:c>
      <x:c r="F23" s="28" t="str">
        <x:v>Establish a National Dam Safety Framework</x:v>
      </x:c>
      <x:c r="G23" s="28" t="str">
        <x:v>Create the national governance and operational-safety framework for irrigation dams and associated water-security risks.</x:v>
      </x:c>
      <x:c r="H23" s="28" t="str">
        <x:v>A — High-confidence Reform Action</x:v>
      </x:c>
      <x:c r="I23" s="28" t="str">
        <x:v>Provisionally Included</x:v>
      </x:c>
      <x:c r="J23" s="28" t="str">
        <x:v>Core Reform Action</x:v>
      </x:c>
      <x:c r="K23" s="28" t="str">
        <x:v>No</x:v>
      </x:c>
      <x:c r="L23" s="28" t="str">
        <x:v>High</x:v>
      </x:c>
      <x:c r="M23" s="28" t="str">
        <x:v>The Compact states a discrete, durable mechanism that changes or materially strengthens sector rules, institutions, financing, planning, accountability, or service-delivery systems.</x:v>
      </x:c>
      <x:c r="N23" s="28" t="str">
        <x:v>Water for Food</x:v>
      </x:c>
      <x:c r="O23" s="28" t="str">
        <x:v>S5; S6</x:v>
      </x:c>
      <x:c r="P23" s="28" t="str">
        <x:v>Agricultural Water &amp; Irrigation Governance</x:v>
      </x:c>
      <x:c r="Q23" s="28" t="str">
        <x:v>Dam safety governance</x:v>
      </x:c>
      <x:c r="R23" s="28" t="str">
        <x:v>MOWRAM</x:v>
      </x:c>
      <x:c r="S23" s="28" t="str"/>
      <x:c r="T23" s="28" t="str">
        <x:v>Pending human review</x:v>
      </x:c>
      <x:c r="U23" s="28" t="str"/>
      <x:c r="V23" s="28" t="str"/>
      <x:c r="W23" s="28" t="str">
        <x:v>Not an Aspiration</x:v>
      </x:c>
      <x:c r="X23" s="28" t="str">
        <x:v>Commitment=Yes; Actionable Mechanism=Yes; System Change=Yes; Not Merely Implementation=Yes; Distinct/Aggregated=Yes</x:v>
      </x:c>
    </x:row>
    <x:row r="24" ht="52" customHeight="1">
      <x:c r="A24" s="28" t="str">
        <x:v>CAM-020</x:v>
      </x:c>
      <x:c r="B24" s="28" t="str">
        <x:v>Cambodia</x:v>
      </x:c>
      <x:c r="C24" s="28" t="str">
        <x:v>PDF p. 7, Table 2; pp. 11–12 roadmap</x:v>
      </x:c>
      <x:c r="D24" s="28" t="str">
        <x:v>Priority reform table + roadmap</x:v>
      </x:c>
      <x:c r="E24" s="28" t="str">
        <x:v>National irrigation standards</x:v>
      </x:c>
      <x:c r="F24" s="28" t="str">
        <x:v>Adopt national irrigation design, construction, O&amp;M, and performance standards</x:v>
      </x:c>
      <x:c r="G24" s="28" t="str">
        <x:v>Standardize the full irrigation-system lifecycle and performance monitoring, including data-informed guidance.</x:v>
      </x:c>
      <x:c r="H24" s="28" t="str">
        <x:v>A — High-confidence Reform Action</x:v>
      </x:c>
      <x:c r="I24" s="28" t="str">
        <x:v>Provisionally Included</x:v>
      </x:c>
      <x:c r="J24" s="28" t="str">
        <x:v>Core Reform Action</x:v>
      </x:c>
      <x:c r="K24" s="28" t="str">
        <x:v>No</x:v>
      </x:c>
      <x:c r="L24" s="28" t="str">
        <x:v>High</x:v>
      </x:c>
      <x:c r="M24" s="28" t="str">
        <x:v>The Compact states a discrete, durable mechanism that changes or materially strengthens sector rules, institutions, financing, planning, accountability, or service-delivery systems.</x:v>
      </x:c>
      <x:c r="N24" s="28" t="str">
        <x:v>Water for Food</x:v>
      </x:c>
      <x:c r="O24" s="28" t="str">
        <x:v>S5</x:v>
      </x:c>
      <x:c r="P24" s="28" t="str">
        <x:v>Agricultural Water &amp; Irrigation Governance</x:v>
      </x:c>
      <x:c r="Q24" s="28" t="str">
        <x:v>Irrigation technical and performance standards</x:v>
      </x:c>
      <x:c r="R24" s="28" t="str">
        <x:v>MOWRAM</x:v>
      </x:c>
      <x:c r="S24" s="28" t="str"/>
      <x:c r="T24" s="28" t="str">
        <x:v>Pending human review</x:v>
      </x:c>
      <x:c r="U24" s="28" t="str"/>
      <x:c r="V24" s="28" t="str"/>
      <x:c r="W24" s="28" t="str">
        <x:v>Not an Aspiration</x:v>
      </x:c>
      <x:c r="X24" s="28" t="str">
        <x:v>Commitment=Yes; Actionable Mechanism=Yes; System Change=Yes; Not Merely Implementation=Yes; Distinct/Aggregated=Yes</x:v>
      </x:c>
    </x:row>
    <x:row r="25" ht="52" customHeight="1">
      <x:c r="A25" s="28" t="str">
        <x:v>CAM-021</x:v>
      </x:c>
      <x:c r="B25" s="28" t="str">
        <x:v>Cambodia</x:v>
      </x:c>
      <x:c r="C25" s="28" t="str">
        <x:v>PDF p. 7, Table 2</x:v>
      </x:c>
      <x:c r="D25" s="28" t="str">
        <x:v>Priority reform table</x:v>
      </x:c>
      <x:c r="E25" s="28" t="str">
        <x:v>PPP/PSP roadmap for irrigation</x:v>
      </x:c>
      <x:c r="F25" s="28" t="str">
        <x:v>Adopt an irrigation PPP/PSP service-delivery roadmap</x:v>
      </x:c>
      <x:c r="G25" s="28" t="str">
        <x:v>Define performance-based contracting, asset-management, and cost-recovery approaches for private participation in irrigation services.</x:v>
      </x:c>
      <x:c r="H25" s="28" t="str">
        <x:v>A — High-confidence Reform Action</x:v>
      </x:c>
      <x:c r="I25" s="28" t="str">
        <x:v>Provisionally Included</x:v>
      </x:c>
      <x:c r="J25" s="28" t="str">
        <x:v>Core Reform Action</x:v>
      </x:c>
      <x:c r="K25" s="28" t="str">
        <x:v>No</x:v>
      </x:c>
      <x:c r="L25" s="28" t="str">
        <x:v>High</x:v>
      </x:c>
      <x:c r="M25" s="28" t="str">
        <x:v>The Compact states a discrete, durable mechanism that changes or materially strengthens sector rules, institutions, financing, planning, accountability, or service-delivery systems.</x:v>
      </x:c>
      <x:c r="N25" s="28" t="str">
        <x:v>Water for Food</x:v>
      </x:c>
      <x:c r="O25" s="28" t="str">
        <x:v>S4; S5</x:v>
      </x:c>
      <x:c r="P25" s="28" t="str">
        <x:v>Private Sector Participation &amp; Financing Enablers</x:v>
      </x:c>
      <x:c r="Q25" s="28" t="str">
        <x:v>Irrigation PPP/PSP roadmap</x:v>
      </x:c>
      <x:c r="R25" s="28" t="str">
        <x:v>MOWRAM</x:v>
      </x:c>
      <x:c r="S25" s="28" t="str"/>
      <x:c r="T25" s="28" t="str">
        <x:v>Pending human review</x:v>
      </x:c>
      <x:c r="U25" s="28" t="str"/>
      <x:c r="V25" s="28" t="str"/>
      <x:c r="W25" s="28" t="str">
        <x:v>Not an Aspiration</x:v>
      </x:c>
      <x:c r="X25" s="28" t="str">
        <x:v>Commitment=Yes; Actionable Mechanism=Yes; System Change=Yes; Not Merely Implementation=Yes; Distinct/Aggregated=Yes</x:v>
      </x:c>
    </x:row>
    <x:row r="26" ht="52" customHeight="1">
      <x:c r="A26" s="28" t="str">
        <x:v>CAM-022</x:v>
      </x:c>
      <x:c r="B26" s="28" t="str">
        <x:v>Cambodia</x:v>
      </x:c>
      <x:c r="C26" s="28" t="str">
        <x:v>PDF p. 7, Table 2</x:v>
      </x:c>
      <x:c r="D26" s="28" t="str">
        <x:v>Priority reform table</x:v>
      </x:c>
      <x:c r="E26" s="28" t="str">
        <x:v>Promote efficient irrigation technologies</x:v>
      </x:c>
      <x:c r="F26" s="28" t="str">
        <x:v>Promote gravity-fed and high-efficiency irrigation technologies</x:v>
      </x:c>
      <x:c r="G26" s="28" t="str">
        <x:v>The passage concerns technology deployment and safeguards rather than a rule, institution, financing mechanism, or management system.</x:v>
      </x:c>
      <x:c r="H26" s="28" t="str">
        <x:v>C — High-confidence Non-reform</x:v>
      </x:c>
      <x:c r="I26" s="28" t="str">
        <x:v>Excluded by LLM</x:v>
      </x:c>
      <x:c r="J26" s="28" t="str">
        <x:v>Implementation/Investment Activity</x:v>
      </x:c>
      <x:c r="K26" s="28" t="str">
        <x:v>No</x:v>
      </x:c>
      <x:c r="L26" s="28" t="str">
        <x:v>High</x:v>
      </x:c>
      <x:c r="M26" s="28" t="str">
        <x:v>This is an investment, construction, operational, training, study, or implementation output rather than a discrete system-change commitment.</x:v>
      </x:c>
      <x:c r="N26" s="28" t="str">
        <x:v>Water for Food</x:v>
      </x:c>
      <x:c r="O26" s="28" t="str">
        <x:v>S4; S5</x:v>
      </x:c>
      <x:c r="P26" s="28" t="str">
        <x:v>Agricultural Water &amp; Irrigation Governance</x:v>
      </x:c>
      <x:c r="Q26" s="28" t="str">
        <x:v>Irrigation technology deployment</x:v>
      </x:c>
      <x:c r="R26" s="28" t="str">
        <x:v>MOWRAM</x:v>
      </x:c>
      <x:c r="S26" s="28" t="str"/>
      <x:c r="T26" s="28" t="str">
        <x:v>Pending human review</x:v>
      </x:c>
      <x:c r="U26" s="28" t="str"/>
      <x:c r="V26" s="28" t="str"/>
      <x:c r="W26" s="28" t="str">
        <x:v>Not an Aspiration</x:v>
      </x:c>
      <x:c r="X26" s="28" t="str">
        <x:v>Commitment=Yes; Actionable Mechanism=Partial; System Change=No; Not Merely Implementation=No; Distinct/Aggregated=Yes</x:v>
      </x:c>
    </x:row>
    <x:row r="27" ht="52" customHeight="1">
      <x:c r="A27" s="28" t="str">
        <x:v>CAM-023</x:v>
      </x:c>
      <x:c r="B27" s="28" t="str">
        <x:v>Cambodia</x:v>
      </x:c>
      <x:c r="C27" s="28" t="str">
        <x:v>PDF p. 7, Table 2</x:v>
      </x:c>
      <x:c r="D27" s="28" t="str">
        <x:v>Priority reform table</x:v>
      </x:c>
      <x:c r="E27" s="28" t="str">
        <x:v>Sub-decree on Hydrometeorology</x:v>
      </x:c>
      <x:c r="F27" s="28" t="str">
        <x:v>Adopt a Hydrometeorology Sub-Decree</x:v>
      </x:c>
      <x:c r="G27" s="28" t="str">
        <x:v>Strengthen hydrometeorological-service mandates, data sharing, and early-warning systems.</x:v>
      </x:c>
      <x:c r="H27" s="28" t="str">
        <x:v>A — High-confidence Reform Action</x:v>
      </x:c>
      <x:c r="I27" s="28" t="str">
        <x:v>Provisionally Included</x:v>
      </x:c>
      <x:c r="J27" s="28" t="str">
        <x:v>Core Reform Action</x:v>
      </x:c>
      <x:c r="K27" s="28" t="str">
        <x:v>No</x:v>
      </x:c>
      <x:c r="L27" s="28" t="str">
        <x:v>High</x:v>
      </x:c>
      <x:c r="M27" s="28" t="str">
        <x:v>The Compact states a discrete, durable mechanism that changes or materially strengthens sector rules, institutions, financing, planning, accountability, or service-delivery systems.</x:v>
      </x:c>
      <x:c r="N27" s="28" t="str">
        <x:v>Water for Planet</x:v>
      </x:c>
      <x:c r="O27" s="28" t="str">
        <x:v>S6</x:v>
      </x:c>
      <x:c r="P27" s="28" t="str">
        <x:v>Legal &amp; Regulatory Reform</x:v>
      </x:c>
      <x:c r="Q27" s="28" t="str">
        <x:v>Hydrometeorological governance</x:v>
      </x:c>
      <x:c r="R27" s="28" t="str">
        <x:v>MOWRAM</x:v>
      </x:c>
      <x:c r="S27" s="28" t="str"/>
      <x:c r="T27" s="28" t="str">
        <x:v>Pending human review</x:v>
      </x:c>
      <x:c r="U27" s="28" t="str"/>
      <x:c r="V27" s="28" t="str"/>
      <x:c r="W27" s="28" t="str">
        <x:v>Not an Aspiration</x:v>
      </x:c>
      <x:c r="X27" s="28" t="str">
        <x:v>Commitment=Yes; Actionable Mechanism=Yes; System Change=Yes; Not Merely Implementation=Yes; Distinct/Aggregated=Yes</x:v>
      </x:c>
    </x:row>
    <x:row r="28" ht="52" customHeight="1">
      <x:c r="A28" s="28" t="str">
        <x:v>CAM-024</x:v>
      </x:c>
      <x:c r="B28" s="28" t="str">
        <x:v>Cambodia</x:v>
      </x:c>
      <x:c r="C28" s="28" t="str">
        <x:v>PDF p. 8, Table 2</x:v>
      </x:c>
      <x:c r="D28" s="28" t="str">
        <x:v>Priority reform table</x:v>
      </x:c>
      <x:c r="E28" s="28" t="str">
        <x:v>Sub-decree on Groundwater Management</x:v>
      </x:c>
      <x:c r="F28" s="28" t="str">
        <x:v>Adopt a Groundwater Management Sub-Decree</x:v>
      </x:c>
      <x:c r="G28" s="28" t="str">
        <x:v>Regulate groundwater abstraction, licensing, monitoring, aquifer protection, domestic-supply security, and drought resilience.</x:v>
      </x:c>
      <x:c r="H28" s="28" t="str">
        <x:v>A — High-confidence Reform Action</x:v>
      </x:c>
      <x:c r="I28" s="28" t="str">
        <x:v>Provisionally Included</x:v>
      </x:c>
      <x:c r="J28" s="28" t="str">
        <x:v>Core Reform Action</x:v>
      </x:c>
      <x:c r="K28" s="28" t="str">
        <x:v>No</x:v>
      </x:c>
      <x:c r="L28" s="28" t="str">
        <x:v>High</x:v>
      </x:c>
      <x:c r="M28" s="28" t="str">
        <x:v>The Compact states a discrete, durable mechanism that changes or materially strengthens sector rules, institutions, financing, planning, accountability, or service-delivery systems.</x:v>
      </x:c>
      <x:c r="N28" s="28" t="str">
        <x:v>Water for Planet</x:v>
      </x:c>
      <x:c r="O28" s="28" t="str">
        <x:v>S7</x:v>
      </x:c>
      <x:c r="P28" s="28" t="str">
        <x:v>Legal &amp; Regulatory Reform</x:v>
      </x:c>
      <x:c r="Q28" s="28" t="str">
        <x:v>Groundwater regulation</x:v>
      </x:c>
      <x:c r="R28" s="28" t="str">
        <x:v>MOWRAM</x:v>
      </x:c>
      <x:c r="S28" s="28" t="str"/>
      <x:c r="T28" s="28" t="str">
        <x:v>Pending human review</x:v>
      </x:c>
      <x:c r="U28" s="28" t="str"/>
      <x:c r="V28" s="28" t="str"/>
      <x:c r="W28" s="28" t="str">
        <x:v>Not an Aspiration</x:v>
      </x:c>
      <x:c r="X28" s="28" t="str">
        <x:v>Commitment=Yes; Actionable Mechanism=Yes; System Change=Yes; Not Merely Implementation=Yes; Distinct/Aggregated=Yes</x:v>
      </x:c>
    </x:row>
    <x:row r="29" ht="52" customHeight="1">
      <x:c r="A29" s="28" t="str">
        <x:v>CAM-025</x:v>
      </x:c>
      <x:c r="B29" s="28" t="str">
        <x:v>Cambodia</x:v>
      </x:c>
      <x:c r="C29" s="28" t="str">
        <x:v>PDF p. 8, Table 2</x:v>
      </x:c>
      <x:c r="D29" s="28" t="str">
        <x:v>Priority reform table</x:v>
      </x:c>
      <x:c r="E29" s="28" t="str">
        <x:v>Sub-decree on river basin committees</x:v>
      </x:c>
      <x:c r="F29" s="28" t="str">
        <x:v>Adopt a river-basin governance and planning sub-decree</x:v>
      </x:c>
      <x:c r="G29" s="28" t="str">
        <x:v>Establish river-basin committees and management plans and place five major basin groups under a national master-planning framework.</x:v>
      </x:c>
      <x:c r="H29" s="28" t="str">
        <x:v>A — High-confidence Reform Action</x:v>
      </x:c>
      <x:c r="I29" s="28" t="str">
        <x:v>Provisionally Included</x:v>
      </x:c>
      <x:c r="J29" s="28" t="str">
        <x:v>Core Reform Action</x:v>
      </x:c>
      <x:c r="K29" s="28" t="str">
        <x:v>No</x:v>
      </x:c>
      <x:c r="L29" s="28" t="str">
        <x:v>High</x:v>
      </x:c>
      <x:c r="M29" s="28" t="str">
        <x:v>The Compact states a discrete, durable mechanism that changes or materially strengthens sector rules, institutions, financing, planning, accountability, or service-delivery systems.</x:v>
      </x:c>
      <x:c r="N29" s="28" t="str">
        <x:v>Water for Planet</x:v>
      </x:c>
      <x:c r="O29" s="28" t="str">
        <x:v>S7</x:v>
      </x:c>
      <x:c r="P29" s="28" t="str">
        <x:v>Water Resources &amp; Climate Governance</x:v>
      </x:c>
      <x:c r="Q29" s="28" t="str">
        <x:v>River-basin institutions and planning</x:v>
      </x:c>
      <x:c r="R29" s="28" t="str">
        <x:v>MOWRAM</x:v>
      </x:c>
      <x:c r="S29" s="28" t="str"/>
      <x:c r="T29" s="28" t="str">
        <x:v>Pending human review</x:v>
      </x:c>
      <x:c r="U29" s="28" t="str"/>
      <x:c r="V29" s="28" t="str"/>
      <x:c r="W29" s="28" t="str">
        <x:v>Not an Aspiration</x:v>
      </x:c>
      <x:c r="X29" s="28" t="str">
        <x:v>Commitment=Yes; Actionable Mechanism=Yes; System Change=Yes; Not Merely Implementation=Yes; Distinct/Aggregated=Yes</x:v>
      </x:c>
    </x:row>
    <x:row r="30" ht="52" customHeight="1">
      <x:c r="A30" s="28" t="str">
        <x:v>CAM-026</x:v>
      </x:c>
      <x:c r="B30" s="28" t="str">
        <x:v>Cambodia</x:v>
      </x:c>
      <x:c r="C30" s="28" t="str">
        <x:v>PDF p. 10, Table 3</x:v>
      </x:c>
      <x:c r="D30" s="28" t="str">
        <x:v>Activity roadmap</x:v>
      </x:c>
      <x:c r="E30" s="28" t="str">
        <x:v>Establish fecal-sludge management framework</x:v>
      </x:c>
      <x:c r="F30" s="28" t="str">
        <x:v>Establish a fecal-sludge management framework</x:v>
      </x:c>
      <x:c r="G30" s="28" t="str">
        <x:v>Create the institutional and operational framework for fecal-sludge services.</x:v>
      </x:c>
      <x:c r="H30" s="28" t="str">
        <x:v>A — High-confidence Reform Action</x:v>
      </x:c>
      <x:c r="I30" s="28" t="str">
        <x:v>Provisionally Included</x:v>
      </x:c>
      <x:c r="J30" s="28" t="str">
        <x:v>Core Reform Action</x:v>
      </x:c>
      <x:c r="K30" s="28" t="str">
        <x:v>No</x:v>
      </x:c>
      <x:c r="L30" s="28" t="str">
        <x:v>High</x:v>
      </x:c>
      <x:c r="M30" s="28" t="str">
        <x:v>The Compact states a discrete, durable mechanism that changes or materially strengthens sector rules, institutions, financing, planning, accountability, or service-delivery systems.</x:v>
      </x:c>
      <x:c r="N30" s="28" t="str">
        <x:v>Water for People</x:v>
      </x:c>
      <x:c r="O30" s="28" t="str">
        <x:v>S1</x:v>
      </x:c>
      <x:c r="P30" s="28" t="str">
        <x:v>WSS Service Delivery &amp; Utility Reform</x:v>
      </x:c>
      <x:c r="Q30" s="28" t="str">
        <x:v>Fecal-sludge management framework</x:v>
      </x:c>
      <x:c r="R30" s="28" t="str">
        <x:v>MPWT</x:v>
      </x:c>
      <x:c r="S30" s="28" t="str"/>
      <x:c r="T30" s="28" t="str">
        <x:v>Pending human review</x:v>
      </x:c>
      <x:c r="U30" s="28" t="str"/>
      <x:c r="V30" s="28" t="str"/>
      <x:c r="W30" s="28" t="str">
        <x:v>Not an Aspiration</x:v>
      </x:c>
      <x:c r="X30" s="28" t="str">
        <x:v>Commitment=Yes; Actionable Mechanism=Yes; System Change=Yes; Not Merely Implementation=Yes; Distinct/Aggregated=Yes</x:v>
      </x:c>
    </x:row>
    <x:row r="31" ht="52" customHeight="1">
      <x:c r="A31" s="28" t="str">
        <x:v>CAM-027</x:v>
      </x:c>
      <x:c r="B31" s="28" t="str">
        <x:v>Cambodia</x:v>
      </x:c>
      <x:c r="C31" s="28" t="str">
        <x:v>PDF p. 10, Table 3</x:v>
      </x:c>
      <x:c r="D31" s="28" t="str">
        <x:v>Activity roadmap</x:v>
      </x:c>
      <x:c r="E31" s="28" t="str">
        <x:v>Ten-year urban sanitation strategy</x:v>
      </x:c>
      <x:c r="F31" s="28" t="str">
        <x:v>Adopt a ten-year national urban and peri-urban sanitation strategy and master plan</x:v>
      </x:c>
      <x:c r="G31" s="28" t="str">
        <x:v>Set differentiated service approaches for large, medium, and small urban centers.</x:v>
      </x:c>
      <x:c r="H31" s="28" t="str">
        <x:v>A — High-confidence Reform Action</x:v>
      </x:c>
      <x:c r="I31" s="28" t="str">
        <x:v>Provisionally Included</x:v>
      </x:c>
      <x:c r="J31" s="28" t="str">
        <x:v>Core Reform Action</x:v>
      </x:c>
      <x:c r="K31" s="28" t="str">
        <x:v>No</x:v>
      </x:c>
      <x:c r="L31" s="28" t="str">
        <x:v>High</x:v>
      </x:c>
      <x:c r="M31" s="28" t="str">
        <x:v>The Compact states a discrete, durable mechanism that changes or materially strengthens sector rules, institutions, financing, planning, accountability, or service-delivery systems.</x:v>
      </x:c>
      <x:c r="N31" s="28" t="str">
        <x:v>Water for People</x:v>
      </x:c>
      <x:c r="O31" s="28" t="str">
        <x:v>S1</x:v>
      </x:c>
      <x:c r="P31" s="28" t="str">
        <x:v>Policy &amp; Strategic Frameworks</x:v>
      </x:c>
      <x:c r="Q31" s="28" t="str">
        <x:v>Urban sanitation strategy and master planning</x:v>
      </x:c>
      <x:c r="R31" s="28" t="str">
        <x:v>MPWT</x:v>
      </x:c>
      <x:c r="S31" s="28" t="str"/>
      <x:c r="T31" s="28" t="str">
        <x:v>Pending human review</x:v>
      </x:c>
      <x:c r="U31" s="28" t="str"/>
      <x:c r="V31" s="28" t="str"/>
      <x:c r="W31" s="28" t="str">
        <x:v>Not an Aspiration</x:v>
      </x:c>
      <x:c r="X31" s="28" t="str">
        <x:v>Commitment=Yes; Actionable Mechanism=Yes; System Change=Yes; Not Merely Implementation=Yes; Distinct/Aggregated=Yes</x:v>
      </x:c>
    </x:row>
    <x:row r="32" ht="52" customHeight="1">
      <x:c r="A32" s="28" t="str">
        <x:v>CAM-028</x:v>
      </x:c>
      <x:c r="B32" s="28" t="str">
        <x:v>Cambodia</x:v>
      </x:c>
      <x:c r="C32" s="28" t="str">
        <x:v>PDF p. 10, Table 3</x:v>
      </x:c>
      <x:c r="D32" s="28" t="str">
        <x:v>Activity roadmap</x:v>
      </x:c>
      <x:c r="E32" s="28" t="str">
        <x:v>Provincial wastewater utilities</x:v>
      </x:c>
      <x:c r="F32" s="28" t="str">
        <x:v>Establish provincial wastewater utilities or corporatized structures</x:v>
      </x:c>
      <x:c r="G32" s="28" t="str">
        <x:v>Create durable provincial institutional arrangements for wastewater service delivery.</x:v>
      </x:c>
      <x:c r="H32" s="28" t="str">
        <x:v>A — High-confidence Reform Action</x:v>
      </x:c>
      <x:c r="I32" s="28" t="str">
        <x:v>Provisionally Included</x:v>
      </x:c>
      <x:c r="J32" s="28" t="str">
        <x:v>Core Reform Action</x:v>
      </x:c>
      <x:c r="K32" s="28" t="str">
        <x:v>No</x:v>
      </x:c>
      <x:c r="L32" s="28" t="str">
        <x:v>High</x:v>
      </x:c>
      <x:c r="M32" s="28" t="str">
        <x:v>The Compact states a discrete, durable mechanism that changes or materially strengthens sector rules, institutions, financing, planning, accountability, or service-delivery systems.</x:v>
      </x:c>
      <x:c r="N32" s="28" t="str">
        <x:v>Water for People</x:v>
      </x:c>
      <x:c r="O32" s="28" t="str">
        <x:v>S1</x:v>
      </x:c>
      <x:c r="P32" s="28" t="str">
        <x:v>WSS Service Delivery &amp; Utility Reform</x:v>
      </x:c>
      <x:c r="Q32" s="28" t="str">
        <x:v>Wastewater utility corporatization</x:v>
      </x:c>
      <x:c r="R32" s="28" t="str">
        <x:v>MPWT</x:v>
      </x:c>
      <x:c r="S32" s="28" t="str"/>
      <x:c r="T32" s="28" t="str">
        <x:v>Pending human review</x:v>
      </x:c>
      <x:c r="U32" s="28" t="str"/>
      <x:c r="V32" s="28" t="str"/>
      <x:c r="W32" s="28" t="str">
        <x:v>Not an Aspiration</x:v>
      </x:c>
      <x:c r="X32" s="28" t="str">
        <x:v>Commitment=Yes; Actionable Mechanism=Yes; System Change=Yes; Not Merely Implementation=Yes; Distinct/Aggregated=Yes</x:v>
      </x:c>
    </x:row>
    <x:row r="33" ht="52" customHeight="1">
      <x:c r="A33" s="28" t="str">
        <x:v>CAM-029</x:v>
      </x:c>
      <x:c r="B33" s="28" t="str">
        <x:v>Cambodia</x:v>
      </x:c>
      <x:c r="C33" s="28" t="str">
        <x:v>PDF p. 10, Table 3</x:v>
      </x:c>
      <x:c r="D33" s="28" t="str">
        <x:v>Activity roadmap</x:v>
      </x:c>
      <x:c r="E33" s="28" t="str">
        <x:v>Digital WSS performance monitoring</x:v>
      </x:c>
      <x:c r="F33" s="28" t="str">
        <x:v>Establish digital performance monitoring for WSS providers</x:v>
      </x:c>
      <x:c r="G33" s="28" t="str">
        <x:v>Create digital systems to monitor water-supply and sanitation provider performance and benchmarking.</x:v>
      </x:c>
      <x:c r="H33" s="28" t="str">
        <x:v>A — High-confidence Reform Action</x:v>
      </x:c>
      <x:c r="I33" s="28" t="str">
        <x:v>Provisionally Included</x:v>
      </x:c>
      <x:c r="J33" s="28" t="str">
        <x:v>Core Reform Action</x:v>
      </x:c>
      <x:c r="K33" s="28" t="str">
        <x:v>No</x:v>
      </x:c>
      <x:c r="L33" s="28" t="str">
        <x:v>High</x:v>
      </x:c>
      <x:c r="M33" s="28" t="str">
        <x:v>The Compact states a discrete, durable mechanism that changes or materially strengthens sector rules, institutions, financing, planning, accountability, or service-delivery systems.</x:v>
      </x:c>
      <x:c r="N33" s="28" t="str">
        <x:v>Water for People</x:v>
      </x:c>
      <x:c r="O33" s="28" t="str">
        <x:v>S1</x:v>
      </x:c>
      <x:c r="P33" s="28" t="str">
        <x:v>Data, Digitalization &amp; Sector Intelligence</x:v>
      </x:c>
      <x:c r="Q33" s="28" t="str">
        <x:v>WSS provider performance platform</x:v>
      </x:c>
      <x:c r="R33" s="28" t="str">
        <x:v>MISTI; MPWT</x:v>
      </x:c>
      <x:c r="S33" s="28" t="str"/>
      <x:c r="T33" s="28" t="str">
        <x:v>Pending human review</x:v>
      </x:c>
      <x:c r="U33" s="28" t="str"/>
      <x:c r="V33" s="28" t="str"/>
      <x:c r="W33" s="28" t="str">
        <x:v>Not an Aspiration</x:v>
      </x:c>
      <x:c r="X33" s="28" t="str">
        <x:v>Commitment=Yes; Actionable Mechanism=Yes; System Change=Yes; Not Merely Implementation=Yes; Distinct/Aggregated=Yes</x:v>
      </x:c>
    </x:row>
    <x:row r="34" ht="52" customHeight="1">
      <x:c r="A34" s="28" t="str">
        <x:v>CAM-030</x:v>
      </x:c>
      <x:c r="B34" s="28" t="str">
        <x:v>Cambodia</x:v>
      </x:c>
      <x:c r="C34" s="28" t="str">
        <x:v>PDF p. 10, Table 3</x:v>
      </x:c>
      <x:c r="D34" s="28" t="str">
        <x:v>Activity roadmap</x:v>
      </x:c>
      <x:c r="E34" s="28" t="str">
        <x:v>Wastewater performance benchmarking</x:v>
      </x:c>
      <x:c r="F34" s="28" t="str">
        <x:v>Establish wastewater performance monitoring and benchmarking</x:v>
      </x:c>
      <x:c r="G34" s="28" t="str">
        <x:v>Create a recurring performance-management system for wastewater service providers.</x:v>
      </x:c>
      <x:c r="H34" s="28" t="str">
        <x:v>A — High-confidence Reform Action</x:v>
      </x:c>
      <x:c r="I34" s="28" t="str">
        <x:v>Provisionally Included</x:v>
      </x:c>
      <x:c r="J34" s="28" t="str">
        <x:v>Core Reform Action</x:v>
      </x:c>
      <x:c r="K34" s="28" t="str">
        <x:v>No</x:v>
      </x:c>
      <x:c r="L34" s="28" t="str">
        <x:v>High</x:v>
      </x:c>
      <x:c r="M34" s="28" t="str">
        <x:v>The Compact states a discrete, durable mechanism that changes or materially strengthens sector rules, institutions, financing, planning, accountability, or service-delivery systems.</x:v>
      </x:c>
      <x:c r="N34" s="28" t="str">
        <x:v>Water for People</x:v>
      </x:c>
      <x:c r="O34" s="28" t="str">
        <x:v>S1</x:v>
      </x:c>
      <x:c r="P34" s="28" t="str">
        <x:v>WSS Service Delivery &amp; Utility Reform</x:v>
      </x:c>
      <x:c r="Q34" s="28" t="str">
        <x:v>Wastewater performance benchmarking</x:v>
      </x:c>
      <x:c r="R34" s="28" t="str">
        <x:v>MPWT</x:v>
      </x:c>
      <x:c r="S34" s="28" t="str">
        <x:v>CAM-029</x:v>
      </x:c>
      <x:c r="T34" s="28" t="str">
        <x:v>Pending human review</x:v>
      </x:c>
      <x:c r="U34" s="28" t="str"/>
      <x:c r="V34" s="28" t="str"/>
      <x:c r="W34" s="28" t="str">
        <x:v>Not an Aspiration</x:v>
      </x:c>
      <x:c r="X34" s="28" t="str">
        <x:v>Commitment=Yes; Actionable Mechanism=Yes; System Change=Yes; Not Merely Implementation=Yes; Distinct/Aggregated=Yes</x:v>
      </x:c>
    </x:row>
    <x:row r="35" ht="52" customHeight="1">
      <x:c r="A35" s="28" t="str">
        <x:v>CAM-031</x:v>
      </x:c>
      <x:c r="B35" s="28" t="str">
        <x:v>Cambodia</x:v>
      </x:c>
      <x:c r="C35" s="28" t="str">
        <x:v>PDF p. 10, Table 3</x:v>
      </x:c>
      <x:c r="D35" s="28" t="str">
        <x:v>Activity roadmap</x:v>
      </x:c>
      <x:c r="E35" s="28" t="str">
        <x:v>Aggregate water service providers</x:v>
      </x:c>
      <x:c r="F35" s="28" t="str">
        <x:v>Implement aggregation of water-supply service providers</x:v>
      </x:c>
      <x:c r="G35" s="28" t="str">
        <x:v>Restructure service delivery through provider aggregation and bulk-water arrangements.</x:v>
      </x:c>
      <x:c r="H35" s="28" t="str">
        <x:v>A — High-confidence Reform Action</x:v>
      </x:c>
      <x:c r="I35" s="28" t="str">
        <x:v>Provisionally Included</x:v>
      </x:c>
      <x:c r="J35" s="28" t="str">
        <x:v>Core Reform Action</x:v>
      </x:c>
      <x:c r="K35" s="28" t="str">
        <x:v>No</x:v>
      </x:c>
      <x:c r="L35" s="28" t="str">
        <x:v>High</x:v>
      </x:c>
      <x:c r="M35" s="28" t="str">
        <x:v>The Compact states a discrete, durable mechanism that changes or materially strengthens sector rules, institutions, financing, planning, accountability, or service-delivery systems.</x:v>
      </x:c>
      <x:c r="N35" s="28" t="str">
        <x:v>Water for People</x:v>
      </x:c>
      <x:c r="O35" s="28" t="str">
        <x:v>S1</x:v>
      </x:c>
      <x:c r="P35" s="28" t="str">
        <x:v>WSS Service Delivery &amp; Utility Reform</x:v>
      </x:c>
      <x:c r="Q35" s="28" t="str">
        <x:v>Water-provider aggregation</x:v>
      </x:c>
      <x:c r="R35" s="28" t="str">
        <x:v>MISTI</x:v>
      </x:c>
      <x:c r="S35" s="28" t="str">
        <x:v>CAM-008</x:v>
      </x:c>
      <x:c r="T35" s="28" t="str">
        <x:v>Pending human review</x:v>
      </x:c>
      <x:c r="U35" s="28" t="str"/>
      <x:c r="V35" s="28" t="str"/>
      <x:c r="W35" s="28" t="str">
        <x:v>Not an Aspiration</x:v>
      </x:c>
      <x:c r="X35" s="28" t="str">
        <x:v>Commitment=Yes; Actionable Mechanism=Yes; System Change=Yes; Not Merely Implementation=Yes; Distinct/Aggregated=Yes</x:v>
      </x:c>
    </x:row>
    <x:row r="36" ht="52" customHeight="1">
      <x:c r="A36" s="28" t="str">
        <x:v>CAM-032</x:v>
      </x:c>
      <x:c r="B36" s="28" t="str">
        <x:v>Cambodia</x:v>
      </x:c>
      <x:c r="C36" s="28" t="str">
        <x:v>PDF p. 10, Table 3</x:v>
      </x:c>
      <x:c r="D36" s="28" t="str">
        <x:v>Activity roadmap</x:v>
      </x:c>
      <x:c r="E36" s="28" t="str">
        <x:v>Digital platform for provider monitoring</x:v>
      </x:c>
      <x:c r="F36" s="28" t="str">
        <x:v>Monitor WSS providers through a digital platform</x:v>
      </x:c>
      <x:c r="G36" s="28" t="str">
        <x:v>This operational roadmap item is covered by the retained digital WSS performance system.</x:v>
      </x:c>
      <x:c r="H36" s="28" t="str">
        <x:v>C — High-confidence Non-reform</x:v>
      </x:c>
      <x:c r="I36" s="28" t="str">
        <x:v>Consolidated</x:v>
      </x:c>
      <x:c r="J36" s="28" t="str">
        <x:v>Consolidated/Covered by Broader Reform</x:v>
      </x:c>
      <x:c r="K36" s="28" t="str">
        <x:v>No</x:v>
      </x:c>
      <x:c r="L36" s="28" t="str">
        <x:v>High</x:v>
      </x:c>
      <x:c r="M36" s="28" t="str">
        <x:v>This passage repeats or operationalizes a broader candidate already retained; counting it separately would double count the same reform mechanism.</x:v>
      </x:c>
      <x:c r="N36" s="28" t="str">
        <x:v>Water for People</x:v>
      </x:c>
      <x:c r="O36" s="28" t="str">
        <x:v>S1</x:v>
      </x:c>
      <x:c r="P36" s="28" t="str">
        <x:v>Data, Digitalization &amp; Sector Intelligence</x:v>
      </x:c>
      <x:c r="Q36" s="28" t="str">
        <x:v>WSS provider performance platform</x:v>
      </x:c>
      <x:c r="R36" s="28" t="str">
        <x:v>MISTI; MPWT</x:v>
      </x:c>
      <x:c r="S36" s="28" t="str">
        <x:v>CAM-029</x:v>
      </x:c>
      <x:c r="T36" s="28" t="str">
        <x:v>Pending human review</x:v>
      </x:c>
      <x:c r="U36" s="28" t="str"/>
      <x:c r="V36" s="28" t="str"/>
      <x:c r="W36" s="28" t="str">
        <x:v>Not an Aspiration</x:v>
      </x:c>
      <x:c r="X36" s="28" t="str">
        <x:v>Commitment=Yes; Actionable Mechanism=Yes; System Change=Yes; Not Merely Implementation=Yes; Distinct/Aggregated=No</x:v>
      </x:c>
    </x:row>
    <x:row r="37" ht="52" customHeight="1">
      <x:c r="A37" s="28" t="str">
        <x:v>CAM-033</x:v>
      </x:c>
      <x:c r="B37" s="28" t="str">
        <x:v>Cambodia</x:v>
      </x:c>
      <x:c r="C37" s="28" t="str">
        <x:v>PDF p. 10, Table 3</x:v>
      </x:c>
      <x:c r="D37" s="28" t="str">
        <x:v>Activity roadmap</x:v>
      </x:c>
      <x:c r="E37" s="28" t="str">
        <x:v>Improve utility creditworthiness</x:v>
      </x:c>
      <x:c r="F37" s="28" t="str">
        <x:v>Improve the creditworthiness of water utilities</x:v>
      </x:c>
      <x:c r="G37" s="28" t="str">
        <x:v>The objective is reform-relevant, but the Compact does not specify the financial, governance, or performance mechanism in this line.</x:v>
      </x:c>
      <x:c r="H37" s="28" t="str">
        <x:v>B — Potential Reform Action — Human Review</x:v>
      </x:c>
      <x:c r="I37" s="28" t="str">
        <x:v>Pending Human Review</x:v>
      </x:c>
      <x:c r="J37" s="28" t="str">
        <x:v>Reform Aspiration — Potential</x:v>
      </x:c>
      <x:c r="K37" s="28" t="str">
        <x:v>No</x:v>
      </x:c>
      <x:c r="L37" s="28" t="str">
        <x:v>Low</x:v>
      </x:c>
      <x:c r="M37" s="28" t="str">
        <x:v>The passage signals plausible system change, but the instrument, institutional design, scope, aggregation, or distinction from implementation is not sufficiently clear for high-confidence inclusion.</x:v>
      </x:c>
      <x:c r="N37" s="28" t="str">
        <x:v>Water for People</x:v>
      </x:c>
      <x:c r="O37" s="28" t="str">
        <x:v>S2</x:v>
      </x:c>
      <x:c r="P37" s="28" t="str">
        <x:v>Financial Sustainability &amp; Sector Financing</x:v>
      </x:c>
      <x:c r="Q37" s="28" t="str">
        <x:v>Utility financial viability and creditworthiness</x:v>
      </x:c>
      <x:c r="R37" s="28" t="str">
        <x:v>MISTI</x:v>
      </x:c>
      <x:c r="S37" s="28" t="str"/>
      <x:c r="T37" s="28" t="str">
        <x:v>Pending human review</x:v>
      </x:c>
      <x:c r="U37" s="28" t="str"/>
      <x:c r="V37" s="28" t="str"/>
      <x:c r="W37" s="28" t="str">
        <x:v>Unlinked Reform Aspiration</x:v>
      </x:c>
      <x:c r="X37" s="28" t="str">
        <x:v>Commitment=Yes/Partial; Actionable Mechanism=Partial; System Change=Partial; Not Merely Implementation=Partial; Distinct/Aggregated=Partial</x:v>
      </x:c>
    </x:row>
    <x:row r="38" ht="52" customHeight="1">
      <x:c r="A38" s="28" t="str">
        <x:v>CAM-034</x:v>
      </x:c>
      <x:c r="B38" s="28" t="str">
        <x:v>Cambodia</x:v>
      </x:c>
      <x:c r="C38" s="28" t="str">
        <x:v>PDF pp. 10–11, Table 3</x:v>
      </x:c>
      <x:c r="D38" s="28" t="str">
        <x:v>Activity roadmap</x:v>
      </x:c>
      <x:c r="E38" s="28" t="str">
        <x:v>Credit-guarantee facility for water supply</x:v>
      </x:c>
      <x:c r="F38" s="28" t="str">
        <x:v>Establish credit-enhancement arrangements for water supply</x:v>
      </x:c>
      <x:c r="G38" s="28" t="str">
        <x:v>Use a CGCC guarantee facility and co-financing with state-owned and private financial institutions, with later sector scaling.</x:v>
      </x:c>
      <x:c r="H38" s="28" t="str">
        <x:v>A — High-confidence Reform Action</x:v>
      </x:c>
      <x:c r="I38" s="28" t="str">
        <x:v>Provisionally Included</x:v>
      </x:c>
      <x:c r="J38" s="28" t="str">
        <x:v>Core Reform Action</x:v>
      </x:c>
      <x:c r="K38" s="28" t="str">
        <x:v>No</x:v>
      </x:c>
      <x:c r="L38" s="28" t="str">
        <x:v>High</x:v>
      </x:c>
      <x:c r="M38" s="28" t="str">
        <x:v>The Compact states a discrete, durable mechanism that changes or materially strengthens sector rules, institutions, financing, planning, accountability, or service-delivery systems.</x:v>
      </x:c>
      <x:c r="N38" s="28" t="str">
        <x:v>Water for People</x:v>
      </x:c>
      <x:c r="O38" s="28" t="str">
        <x:v>S2</x:v>
      </x:c>
      <x:c r="P38" s="28" t="str">
        <x:v>Private Sector Participation &amp; Financing Enablers</x:v>
      </x:c>
      <x:c r="Q38" s="28" t="str">
        <x:v>Credit enhancement and guarantees</x:v>
      </x:c>
      <x:c r="R38" s="28" t="str">
        <x:v>MISTI; CGCC; SME Bank</x:v>
      </x:c>
      <x:c r="S38" s="28" t="str"/>
      <x:c r="T38" s="28" t="str">
        <x:v>Pending human review</x:v>
      </x:c>
      <x:c r="U38" s="28" t="str"/>
      <x:c r="V38" s="28" t="str"/>
      <x:c r="W38" s="28" t="str">
        <x:v>Not an Aspiration</x:v>
      </x:c>
      <x:c r="X38" s="28" t="str">
        <x:v>Commitment=Yes; Actionable Mechanism=Yes; System Change=Yes; Not Merely Implementation=Yes; Distinct/Aggregated=Yes</x:v>
      </x:c>
    </x:row>
    <x:row r="39" ht="52" customHeight="1">
      <x:c r="A39" s="28" t="str">
        <x:v>CAM-035</x:v>
      </x:c>
      <x:c r="B39" s="28" t="str">
        <x:v>Cambodia</x:v>
      </x:c>
      <x:c r="C39" s="28" t="str">
        <x:v>PDF p. 10, Table 3</x:v>
      </x:c>
      <x:c r="D39" s="28" t="str">
        <x:v>Activity roadmap</x:v>
      </x:c>
      <x:c r="E39" s="28" t="str">
        <x:v>NRW performance-based contract</x:v>
      </x:c>
      <x:c r="F39" s="28" t="str">
        <x:v>Pilot a non-revenue-water performance-based contract</x:v>
      </x:c>
      <x:c r="G39" s="28" t="str">
        <x:v>Introduce a contractual service-delivery model linking private/operator payment to verified water-loss results.</x:v>
      </x:c>
      <x:c r="H39" s="28" t="str">
        <x:v>A — High-confidence Reform Action</x:v>
      </x:c>
      <x:c r="I39" s="28" t="str">
        <x:v>Provisionally Included</x:v>
      </x:c>
      <x:c r="J39" s="28" t="str">
        <x:v>Core Reform Action</x:v>
      </x:c>
      <x:c r="K39" s="28" t="str">
        <x:v>No</x:v>
      </x:c>
      <x:c r="L39" s="28" t="str">
        <x:v>High</x:v>
      </x:c>
      <x:c r="M39" s="28" t="str">
        <x:v>The Compact states a discrete, durable mechanism that changes or materially strengthens sector rules, institutions, financing, planning, accountability, or service-delivery systems.</x:v>
      </x:c>
      <x:c r="N39" s="28" t="str">
        <x:v>Water for People</x:v>
      </x:c>
      <x:c r="O39" s="28" t="str">
        <x:v>S1; S2</x:v>
      </x:c>
      <x:c r="P39" s="28" t="str">
        <x:v>WSS Service Delivery &amp; Utility Reform</x:v>
      </x:c>
      <x:c r="Q39" s="28" t="str">
        <x:v>Performance-based NRW contracting</x:v>
      </x:c>
      <x:c r="R39" s="28" t="str">
        <x:v>MISTI; water utilities</x:v>
      </x:c>
      <x:c r="S39" s="28" t="str"/>
      <x:c r="T39" s="28" t="str">
        <x:v>Pending human review</x:v>
      </x:c>
      <x:c r="U39" s="28" t="str"/>
      <x:c r="V39" s="28" t="str"/>
      <x:c r="W39" s="28" t="str">
        <x:v>Not an Aspiration</x:v>
      </x:c>
      <x:c r="X39" s="28" t="str">
        <x:v>Commitment=Yes; Actionable Mechanism=Yes; System Change=Yes; Not Merely Implementation=Yes; Distinct/Aggregated=Yes</x:v>
      </x:c>
    </x:row>
    <x:row r="40" ht="52" customHeight="1">
      <x:c r="A40" s="28" t="str">
        <x:v>CAM-036</x:v>
      </x:c>
      <x:c r="B40" s="28" t="str">
        <x:v>Cambodia</x:v>
      </x:c>
      <x:c r="C40" s="28" t="str">
        <x:v>PDF p. 10, Table 3</x:v>
      </x:c>
      <x:c r="D40" s="28" t="str">
        <x:v>Activity roadmap</x:v>
      </x:c>
      <x:c r="E40" s="28" t="str">
        <x:v>Wastewater DBOT and PPP models</x:v>
      </x:c>
      <x:c r="F40" s="28" t="str">
        <x:v>Introduce and scale wastewater PPP delivery models</x:v>
      </x:c>
      <x:c r="G40" s="28" t="str">
        <x:v>Use DBOT and related models as durable wastewater service-delivery and financing arrangements.</x:v>
      </x:c>
      <x:c r="H40" s="28" t="str">
        <x:v>A — High-confidence Reform Action</x:v>
      </x:c>
      <x:c r="I40" s="28" t="str">
        <x:v>Provisionally Included</x:v>
      </x:c>
      <x:c r="J40" s="28" t="str">
        <x:v>Core Reform Action</x:v>
      </x:c>
      <x:c r="K40" s="28" t="str">
        <x:v>No</x:v>
      </x:c>
      <x:c r="L40" s="28" t="str">
        <x:v>High</x:v>
      </x:c>
      <x:c r="M40" s="28" t="str">
        <x:v>The Compact states a discrete, durable mechanism that changes or materially strengthens sector rules, institutions, financing, planning, accountability, or service-delivery systems.</x:v>
      </x:c>
      <x:c r="N40" s="28" t="str">
        <x:v>Water for People</x:v>
      </x:c>
      <x:c r="O40" s="28" t="str">
        <x:v>S2</x:v>
      </x:c>
      <x:c r="P40" s="28" t="str">
        <x:v>Private Sector Participation &amp; Financing Enablers</x:v>
      </x:c>
      <x:c r="Q40" s="28" t="str">
        <x:v>Wastewater PPP delivery models</x:v>
      </x:c>
      <x:c r="R40" s="28" t="str">
        <x:v>MPWT</x:v>
      </x:c>
      <x:c r="S40" s="28" t="str"/>
      <x:c r="T40" s="28" t="str">
        <x:v>Pending human review</x:v>
      </x:c>
      <x:c r="U40" s="28" t="str"/>
      <x:c r="V40" s="28" t="str"/>
      <x:c r="W40" s="28" t="str">
        <x:v>Not an Aspiration</x:v>
      </x:c>
      <x:c r="X40" s="28" t="str">
        <x:v>Commitment=Yes; Actionable Mechanism=Yes; System Change=Yes; Not Merely Implementation=Yes; Distinct/Aggregated=Yes</x:v>
      </x:c>
    </x:row>
    <x:row r="41" ht="52" customHeight="1">
      <x:c r="A41" s="28" t="str">
        <x:v>CAM-037</x:v>
      </x:c>
      <x:c r="B41" s="28" t="str">
        <x:v>Cambodia</x:v>
      </x:c>
      <x:c r="C41" s="28" t="str">
        <x:v>PDF p. 11, Table 3</x:v>
      </x:c>
      <x:c r="D41" s="28" t="str">
        <x:v>Activity roadmap</x:v>
      </x:c>
      <x:c r="E41" s="28" t="str">
        <x:v>Municipal wastewater management contract</x:v>
      </x:c>
      <x:c r="F41" s="28" t="str">
        <x:v>Pilot an O&amp;M or management contract for municipal wastewater</x:v>
      </x:c>
      <x:c r="G41" s="28" t="str">
        <x:v>Test a contractual operating model for municipal wastewater services.</x:v>
      </x:c>
      <x:c r="H41" s="28" t="str">
        <x:v>A — High-confidence Reform Action</x:v>
      </x:c>
      <x:c r="I41" s="28" t="str">
        <x:v>Provisionally Included</x:v>
      </x:c>
      <x:c r="J41" s="28" t="str">
        <x:v>Core Reform Action</x:v>
      </x:c>
      <x:c r="K41" s="28" t="str">
        <x:v>No</x:v>
      </x:c>
      <x:c r="L41" s="28" t="str">
        <x:v>High</x:v>
      </x:c>
      <x:c r="M41" s="28" t="str">
        <x:v>The Compact states a discrete, durable mechanism that changes or materially strengthens sector rules, institutions, financing, planning, accountability, or service-delivery systems.</x:v>
      </x:c>
      <x:c r="N41" s="28" t="str">
        <x:v>Water for People</x:v>
      </x:c>
      <x:c r="O41" s="28" t="str">
        <x:v>S1; S2</x:v>
      </x:c>
      <x:c r="P41" s="28" t="str">
        <x:v>WSS Service Delivery &amp; Utility Reform</x:v>
      </x:c>
      <x:c r="Q41" s="28" t="str">
        <x:v>Wastewater management contracting</x:v>
      </x:c>
      <x:c r="R41" s="28" t="str">
        <x:v>MPWT</x:v>
      </x:c>
      <x:c r="S41" s="28" t="str"/>
      <x:c r="T41" s="28" t="str">
        <x:v>Pending human review</x:v>
      </x:c>
      <x:c r="U41" s="28" t="str"/>
      <x:c r="V41" s="28" t="str"/>
      <x:c r="W41" s="28" t="str">
        <x:v>Not an Aspiration</x:v>
      </x:c>
      <x:c r="X41" s="28" t="str">
        <x:v>Commitment=Yes; Actionable Mechanism=Yes; System Change=Yes; Not Merely Implementation=Yes; Distinct/Aggregated=Yes</x:v>
      </x:c>
    </x:row>
    <x:row r="42" ht="52" customHeight="1">
      <x:c r="A42" s="28" t="str">
        <x:v>CAM-038</x:v>
      </x:c>
      <x:c r="B42" s="28" t="str">
        <x:v>Cambodia</x:v>
      </x:c>
      <x:c r="C42" s="28" t="str">
        <x:v>PDF p. 11, Table 3</x:v>
      </x:c>
      <x:c r="D42" s="28" t="str">
        <x:v>Activity roadmap</x:v>
      </x:c>
      <x:c r="E42" s="28" t="str">
        <x:v>Irrigation inventory and profiles</x:v>
      </x:c>
      <x:c r="F42" s="28" t="str">
        <x:v>Develop an inventory and profiles of irrigation schemes</x:v>
      </x:c>
      <x:c r="G42" s="28" t="str">
        <x:v>The inventory is a diagnostic/data output; it does not by itself establish an enduring decision or management system.</x:v>
      </x:c>
      <x:c r="H42" s="28" t="str">
        <x:v>C — High-confidence Non-reform</x:v>
      </x:c>
      <x:c r="I42" s="28" t="str">
        <x:v>Excluded by LLM</x:v>
      </x:c>
      <x:c r="J42" s="28" t="str">
        <x:v>Implementation/Investment Activity</x:v>
      </x:c>
      <x:c r="K42" s="28" t="str">
        <x:v>No</x:v>
      </x:c>
      <x:c r="L42" s="28" t="str">
        <x:v>High</x:v>
      </x:c>
      <x:c r="M42" s="28" t="str">
        <x:v>This is an investment, construction, operational, training, study, or implementation output rather than a discrete system-change commitment.</x:v>
      </x:c>
      <x:c r="N42" s="28" t="str">
        <x:v>Water for Food</x:v>
      </x:c>
      <x:c r="O42" s="28" t="str">
        <x:v>S5</x:v>
      </x:c>
      <x:c r="P42" s="28" t="str">
        <x:v>Data, Digitalization &amp; Sector Intelligence</x:v>
      </x:c>
      <x:c r="Q42" s="28" t="str">
        <x:v>Irrigation asset inventory</x:v>
      </x:c>
      <x:c r="R42" s="28" t="str">
        <x:v>MOWRAM</x:v>
      </x:c>
      <x:c r="S42" s="28" t="str"/>
      <x:c r="T42" s="28" t="str">
        <x:v>Pending human review</x:v>
      </x:c>
      <x:c r="U42" s="28" t="str"/>
      <x:c r="V42" s="28" t="str"/>
      <x:c r="W42" s="28" t="str">
        <x:v>Not an Aspiration</x:v>
      </x:c>
      <x:c r="X42" s="28" t="str">
        <x:v>Commitment=Yes; Actionable Mechanism=Partial; System Change=No; Not Merely Implementation=No; Distinct/Aggregated=Yes</x:v>
      </x:c>
    </x:row>
    <x:row r="43" ht="52" customHeight="1">
      <x:c r="A43" s="28" t="str">
        <x:v>CAM-039</x:v>
      </x:c>
      <x:c r="B43" s="28" t="str">
        <x:v>Cambodia</x:v>
      </x:c>
      <x:c r="C43" s="28" t="str">
        <x:v>PDF p. 11, Table 3</x:v>
      </x:c>
      <x:c r="D43" s="28" t="str">
        <x:v>Activity roadmap</x:v>
      </x:c>
      <x:c r="E43" s="28" t="str">
        <x:v>National irrigation D-O-M standard</x:v>
      </x:c>
      <x:c r="F43" s="28" t="str">
        <x:v>Develop national irrigation lifecycle standards</x:v>
      </x:c>
      <x:c r="G43" s="28" t="str">
        <x:v>The roadmap entry is covered by the broader standards reform retained from Table 2.</x:v>
      </x:c>
      <x:c r="H43" s="28" t="str">
        <x:v>C — High-confidence Non-reform</x:v>
      </x:c>
      <x:c r="I43" s="28" t="str">
        <x:v>Consolidated</x:v>
      </x:c>
      <x:c r="J43" s="28" t="str">
        <x:v>Consolidated/Covered by Broader Reform</x:v>
      </x:c>
      <x:c r="K43" s="28" t="str">
        <x:v>No</x:v>
      </x:c>
      <x:c r="L43" s="28" t="str">
        <x:v>High</x:v>
      </x:c>
      <x:c r="M43" s="28" t="str">
        <x:v>This passage repeats or operationalizes a broader candidate already retained; counting it separately would double count the same reform mechanism.</x:v>
      </x:c>
      <x:c r="N43" s="28" t="str">
        <x:v>Water for Food</x:v>
      </x:c>
      <x:c r="O43" s="28" t="str">
        <x:v>S5</x:v>
      </x:c>
      <x:c r="P43" s="28" t="str">
        <x:v>Agricultural Water &amp; Irrigation Governance</x:v>
      </x:c>
      <x:c r="Q43" s="28" t="str">
        <x:v>Irrigation technical and performance standards</x:v>
      </x:c>
      <x:c r="R43" s="28" t="str">
        <x:v>MOWRAM</x:v>
      </x:c>
      <x:c r="S43" s="28" t="str">
        <x:v>CAM-020</x:v>
      </x:c>
      <x:c r="T43" s="28" t="str">
        <x:v>Pending human review</x:v>
      </x:c>
      <x:c r="U43" s="28" t="str"/>
      <x:c r="V43" s="28" t="str"/>
      <x:c r="W43" s="28" t="str">
        <x:v>Not an Aspiration</x:v>
      </x:c>
      <x:c r="X43" s="28" t="str">
        <x:v>Commitment=Yes; Actionable Mechanism=Yes; System Change=Yes; Not Merely Implementation=Yes; Distinct/Aggregated=No</x:v>
      </x:c>
    </x:row>
    <x:row r="44" ht="52" customHeight="1">
      <x:c r="A44" s="28" t="str">
        <x:v>CAM-040</x:v>
      </x:c>
      <x:c r="B44" s="28" t="str">
        <x:v>Cambodia</x:v>
      </x:c>
      <x:c r="C44" s="28" t="str">
        <x:v>PDF p. 11, Table 3</x:v>
      </x:c>
      <x:c r="D44" s="28" t="str">
        <x:v>Activity roadmap</x:v>
      </x:c>
      <x:c r="E44" s="28" t="str">
        <x:v>National irrigation information system</x:v>
      </x:c>
      <x:c r="F44" s="28" t="str">
        <x:v>Establish a National Irrigation Information and Monitoring System</x:v>
      </x:c>
      <x:c r="G44" s="28" t="str">
        <x:v>Create an enduring national system for irrigation information, monitoring, and performance management.</x:v>
      </x:c>
      <x:c r="H44" s="28" t="str">
        <x:v>A — High-confidence Reform Action</x:v>
      </x:c>
      <x:c r="I44" s="28" t="str">
        <x:v>Provisionally Included</x:v>
      </x:c>
      <x:c r="J44" s="28" t="str">
        <x:v>Core Reform Action</x:v>
      </x:c>
      <x:c r="K44" s="28" t="str">
        <x:v>No</x:v>
      </x:c>
      <x:c r="L44" s="28" t="str">
        <x:v>High</x:v>
      </x:c>
      <x:c r="M44" s="28" t="str">
        <x:v>The Compact states a discrete, durable mechanism that changes or materially strengthens sector rules, institutions, financing, planning, accountability, or service-delivery systems.</x:v>
      </x:c>
      <x:c r="N44" s="28" t="str">
        <x:v>Water for Food</x:v>
      </x:c>
      <x:c r="O44" s="28" t="str">
        <x:v>S5</x:v>
      </x:c>
      <x:c r="P44" s="28" t="str">
        <x:v>Data, Digitalization &amp; Sector Intelligence</x:v>
      </x:c>
      <x:c r="Q44" s="28" t="str">
        <x:v>Irrigation information and monitoring system</x:v>
      </x:c>
      <x:c r="R44" s="28" t="str">
        <x:v>MOWRAM</x:v>
      </x:c>
      <x:c r="S44" s="28" t="str"/>
      <x:c r="T44" s="28" t="str">
        <x:v>Pending human review</x:v>
      </x:c>
      <x:c r="U44" s="28" t="str"/>
      <x:c r="V44" s="28" t="str"/>
      <x:c r="W44" s="28" t="str">
        <x:v>Not an Aspiration</x:v>
      </x:c>
      <x:c r="X44" s="28" t="str">
        <x:v>Commitment=Yes; Actionable Mechanism=Yes; System Change=Yes; Not Merely Implementation=Yes; Distinct/Aggregated=Yes</x:v>
      </x:c>
    </x:row>
    <x:row r="45" ht="52" customHeight="1">
      <x:c r="A45" s="28" t="str">
        <x:v>CAM-041</x:v>
      </x:c>
      <x:c r="B45" s="28" t="str">
        <x:v>Cambodia</x:v>
      </x:c>
      <x:c r="C45" s="28" t="str">
        <x:v>PDF p. 11, Table 3</x:v>
      </x:c>
      <x:c r="D45" s="28" t="str">
        <x:v>Activity roadmap</x:v>
      </x:c>
      <x:c r="E45" s="28" t="str">
        <x:v>Early-warning systems with procedures</x:v>
      </x:c>
      <x:c r="F45" s="28" t="str">
        <x:v>Institutionalize irrigation flood and drought early-warning procedures</x:v>
      </x:c>
      <x:c r="G45" s="28" t="str">
        <x:v>Pair early-warning technology with operational procedures and AI-enabled decision tools in risk-prone areas.</x:v>
      </x:c>
      <x:c r="H45" s="28" t="str">
        <x:v>A — High-confidence Reform Action</x:v>
      </x:c>
      <x:c r="I45" s="28" t="str">
        <x:v>Provisionally Included</x:v>
      </x:c>
      <x:c r="J45" s="28" t="str">
        <x:v>Core Reform Action</x:v>
      </x:c>
      <x:c r="K45" s="28" t="str">
        <x:v>No</x:v>
      </x:c>
      <x:c r="L45" s="28" t="str">
        <x:v>High</x:v>
      </x:c>
      <x:c r="M45" s="28" t="str">
        <x:v>The Compact states a discrete, durable mechanism that changes or materially strengthens sector rules, institutions, financing, planning, accountability, or service-delivery systems.</x:v>
      </x:c>
      <x:c r="N45" s="28" t="str">
        <x:v>Water for Food</x:v>
      </x:c>
      <x:c r="O45" s="28" t="str">
        <x:v>S6</x:v>
      </x:c>
      <x:c r="P45" s="28" t="str">
        <x:v>Water Resources &amp; Climate Governance</x:v>
      </x:c>
      <x:c r="Q45" s="28" t="str">
        <x:v>Flood and drought early-warning operations</x:v>
      </x:c>
      <x:c r="R45" s="28" t="str">
        <x:v>MOWRAM</x:v>
      </x:c>
      <x:c r="S45" s="28" t="str"/>
      <x:c r="T45" s="28" t="str">
        <x:v>Pending human review</x:v>
      </x:c>
      <x:c r="U45" s="28" t="str"/>
      <x:c r="V45" s="28" t="str"/>
      <x:c r="W45" s="28" t="str">
        <x:v>Not an Aspiration</x:v>
      </x:c>
      <x:c r="X45" s="28" t="str">
        <x:v>Commitment=Yes; Actionable Mechanism=Yes; System Change=Yes; Not Merely Implementation=Yes; Distinct/Aggregated=Yes</x:v>
      </x:c>
    </x:row>
    <x:row r="46" ht="52" customHeight="1">
      <x:c r="A46" s="28" t="str">
        <x:v>CAM-042</x:v>
      </x:c>
      <x:c r="B46" s="28" t="str">
        <x:v>Cambodia</x:v>
      </x:c>
      <x:c r="C46" s="28" t="str">
        <x:v>PDF p. 11, Table 3</x:v>
      </x:c>
      <x:c r="D46" s="28" t="str">
        <x:v>Activity roadmap</x:v>
      </x:c>
      <x:c r="E46" s="28" t="str">
        <x:v>Update irrigation O&amp;M guidelines</x:v>
      </x:c>
      <x:c r="F46" s="28" t="str">
        <x:v>Update irrigation design and O&amp;M guidelines</x:v>
      </x:c>
      <x:c r="G46" s="28" t="str">
        <x:v>This is an implementation component of the broader irrigation standards reform.</x:v>
      </x:c>
      <x:c r="H46" s="28" t="str">
        <x:v>C — High-confidence Non-reform</x:v>
      </x:c>
      <x:c r="I46" s="28" t="str">
        <x:v>Consolidated</x:v>
      </x:c>
      <x:c r="J46" s="28" t="str">
        <x:v>Consolidated/Covered by Broader Reform</x:v>
      </x:c>
      <x:c r="K46" s="28" t="str">
        <x:v>No</x:v>
      </x:c>
      <x:c r="L46" s="28" t="str">
        <x:v>High</x:v>
      </x:c>
      <x:c r="M46" s="28" t="str">
        <x:v>This passage repeats or operationalizes a broader candidate already retained; counting it separately would double count the same reform mechanism.</x:v>
      </x:c>
      <x:c r="N46" s="28" t="str">
        <x:v>Water for Food</x:v>
      </x:c>
      <x:c r="O46" s="28" t="str">
        <x:v>S5</x:v>
      </x:c>
      <x:c r="P46" s="28" t="str">
        <x:v>Agricultural Water &amp; Irrigation Governance</x:v>
      </x:c>
      <x:c r="Q46" s="28" t="str">
        <x:v>Irrigation technical and performance standards</x:v>
      </x:c>
      <x:c r="R46" s="28" t="str">
        <x:v>MOWRAM</x:v>
      </x:c>
      <x:c r="S46" s="28" t="str">
        <x:v>CAM-020</x:v>
      </x:c>
      <x:c r="T46" s="28" t="str">
        <x:v>Pending human review</x:v>
      </x:c>
      <x:c r="U46" s="28" t="str"/>
      <x:c r="V46" s="28" t="str"/>
      <x:c r="W46" s="28" t="str">
        <x:v>Not an Aspiration</x:v>
      </x:c>
      <x:c r="X46" s="28" t="str">
        <x:v>Commitment=Yes; Actionable Mechanism=Yes; System Change=Yes; Not Merely Implementation=Yes; Distinct/Aggregated=No</x:v>
      </x:c>
    </x:row>
    <x:row r="47" ht="52" customHeight="1">
      <x:c r="A47" s="28" t="str">
        <x:v>CAM-043</x:v>
      </x:c>
      <x:c r="B47" s="28" t="str">
        <x:v>Cambodia</x:v>
      </x:c>
      <x:c r="C47" s="28" t="str">
        <x:v>PDF pp. 11–12, Table 3</x:v>
      </x:c>
      <x:c r="D47" s="28" t="str">
        <x:v>Activity roadmap</x:v>
      </x:c>
      <x:c r="E47" s="28" t="str">
        <x:v>Upgrade CISIS with ISAT</x:v>
      </x:c>
      <x:c r="F47" s="28" t="str">
        <x:v>Upgrade the national irrigation scheme information system</x:v>
      </x:c>
      <x:c r="G47" s="28" t="str">
        <x:v>Integrate the Cambodia Irrigation Scheme Information System with a field-based scheme assessment tool.</x:v>
      </x:c>
      <x:c r="H47" s="28" t="str">
        <x:v>A — High-confidence Reform Action</x:v>
      </x:c>
      <x:c r="I47" s="28" t="str">
        <x:v>Provisionally Included</x:v>
      </x:c>
      <x:c r="J47" s="28" t="str">
        <x:v>Core Reform Action</x:v>
      </x:c>
      <x:c r="K47" s="28" t="str">
        <x:v>No</x:v>
      </x:c>
      <x:c r="L47" s="28" t="str">
        <x:v>High</x:v>
      </x:c>
      <x:c r="M47" s="28" t="str">
        <x:v>The Compact states a discrete, durable mechanism that changes or materially strengthens sector rules, institutions, financing, planning, accountability, or service-delivery systems.</x:v>
      </x:c>
      <x:c r="N47" s="28" t="str">
        <x:v>Water for Food</x:v>
      </x:c>
      <x:c r="O47" s="28" t="str">
        <x:v>S5</x:v>
      </x:c>
      <x:c r="P47" s="28" t="str">
        <x:v>Data, Digitalization &amp; Sector Intelligence</x:v>
      </x:c>
      <x:c r="Q47" s="28" t="str">
        <x:v>Irrigation asset intelligence platform</x:v>
      </x:c>
      <x:c r="R47" s="28" t="str">
        <x:v>MOWRAM</x:v>
      </x:c>
      <x:c r="S47" s="28" t="str">
        <x:v>CAM-040</x:v>
      </x:c>
      <x:c r="T47" s="28" t="str">
        <x:v>Pending human review</x:v>
      </x:c>
      <x:c r="U47" s="28" t="str"/>
      <x:c r="V47" s="28" t="str"/>
      <x:c r="W47" s="28" t="str">
        <x:v>Not an Aspiration</x:v>
      </x:c>
      <x:c r="X47" s="28" t="str">
        <x:v>Commitment=Yes; Actionable Mechanism=Yes; System Change=Yes; Not Merely Implementation=Yes; Distinct/Aggregated=Yes</x:v>
      </x:c>
    </x:row>
    <x:row r="48" ht="52" customHeight="1">
      <x:c r="A48" s="28" t="str">
        <x:v>CAM-044</x:v>
      </x:c>
      <x:c r="B48" s="28" t="str">
        <x:v>Cambodia</x:v>
      </x:c>
      <x:c r="C48" s="28" t="str">
        <x:v>PDF p. 12, Table 3</x:v>
      </x:c>
      <x:c r="D48" s="28" t="str">
        <x:v>Activity roadmap</x:v>
      </x:c>
      <x:c r="E48" s="28" t="str">
        <x:v>Irrigation PPP standard operating procedure</x:v>
      </x:c>
      <x:c r="F48" s="28" t="str">
        <x:v>Adopt a standard operating procedure for irrigation PPP/PSP</x:v>
      </x:c>
      <x:c r="G48" s="28" t="str">
        <x:v>Standardize how irrigation PPP/PSP opportunities are prepared and managed.</x:v>
      </x:c>
      <x:c r="H48" s="28" t="str">
        <x:v>A — High-confidence Reform Action</x:v>
      </x:c>
      <x:c r="I48" s="28" t="str">
        <x:v>Provisionally Included</x:v>
      </x:c>
      <x:c r="J48" s="28" t="str">
        <x:v>Core Reform Action</x:v>
      </x:c>
      <x:c r="K48" s="28" t="str">
        <x:v>No</x:v>
      </x:c>
      <x:c r="L48" s="28" t="str">
        <x:v>High</x:v>
      </x:c>
      <x:c r="M48" s="28" t="str">
        <x:v>The Compact states a discrete, durable mechanism that changes or materially strengthens sector rules, institutions, financing, planning, accountability, or service-delivery systems.</x:v>
      </x:c>
      <x:c r="N48" s="28" t="str">
        <x:v>Water for Food</x:v>
      </x:c>
      <x:c r="O48" s="28" t="str">
        <x:v>S4; S5</x:v>
      </x:c>
      <x:c r="P48" s="28" t="str">
        <x:v>Private Sector Participation &amp; Financing Enablers</x:v>
      </x:c>
      <x:c r="Q48" s="28" t="str">
        <x:v>Irrigation PPP procedures</x:v>
      </x:c>
      <x:c r="R48" s="28" t="str">
        <x:v>MOWRAM</x:v>
      </x:c>
      <x:c r="S48" s="28" t="str">
        <x:v>CAM-021</x:v>
      </x:c>
      <x:c r="T48" s="28" t="str">
        <x:v>Pending human review</x:v>
      </x:c>
      <x:c r="U48" s="28" t="str"/>
      <x:c r="V48" s="28" t="str"/>
      <x:c r="W48" s="28" t="str">
        <x:v>Not an Aspiration</x:v>
      </x:c>
      <x:c r="X48" s="28" t="str">
        <x:v>Commitment=Yes; Actionable Mechanism=Yes; System Change=Yes; Not Merely Implementation=Yes; Distinct/Aggregated=Yes</x:v>
      </x:c>
    </x:row>
    <x:row r="49" ht="52" customHeight="1">
      <x:c r="A49" s="28" t="str">
        <x:v>CAM-045</x:v>
      </x:c>
      <x:c r="B49" s="28" t="str">
        <x:v>Cambodia</x:v>
      </x:c>
      <x:c r="C49" s="28" t="str">
        <x:v>PDF p. 12, Table 3</x:v>
      </x:c>
      <x:c r="D49" s="28" t="str">
        <x:v>Activity roadmap</x:v>
      </x:c>
      <x:c r="E49" s="28" t="str">
        <x:v>PPP transaction model design</x:v>
      </x:c>
      <x:c r="F49" s="28" t="str">
        <x:v>Establish irrigation PPP transaction models</x:v>
      </x:c>
      <x:c r="G49" s="28" t="str">
        <x:v>Create standardized transaction designs for private participation in irrigation services.</x:v>
      </x:c>
      <x:c r="H49" s="28" t="str">
        <x:v>A — High-confidence Reform Action</x:v>
      </x:c>
      <x:c r="I49" s="28" t="str">
        <x:v>Provisionally Included</x:v>
      </x:c>
      <x:c r="J49" s="28" t="str">
        <x:v>Core Reform Action</x:v>
      </x:c>
      <x:c r="K49" s="28" t="str">
        <x:v>No</x:v>
      </x:c>
      <x:c r="L49" s="28" t="str">
        <x:v>High</x:v>
      </x:c>
      <x:c r="M49" s="28" t="str">
        <x:v>The Compact states a discrete, durable mechanism that changes or materially strengthens sector rules, institutions, financing, planning, accountability, or service-delivery systems.</x:v>
      </x:c>
      <x:c r="N49" s="28" t="str">
        <x:v>Water for Food</x:v>
      </x:c>
      <x:c r="O49" s="28" t="str">
        <x:v>S4; S5</x:v>
      </x:c>
      <x:c r="P49" s="28" t="str">
        <x:v>Private Sector Participation &amp; Financing Enablers</x:v>
      </x:c>
      <x:c r="Q49" s="28" t="str">
        <x:v>Irrigation PPP transaction models</x:v>
      </x:c>
      <x:c r="R49" s="28" t="str">
        <x:v>MOWRAM</x:v>
      </x:c>
      <x:c r="S49" s="28" t="str">
        <x:v>CAM-021</x:v>
      </x:c>
      <x:c r="T49" s="28" t="str">
        <x:v>Pending human review</x:v>
      </x:c>
      <x:c r="U49" s="28" t="str"/>
      <x:c r="V49" s="28" t="str"/>
      <x:c r="W49" s="28" t="str">
        <x:v>Not an Aspiration</x:v>
      </x:c>
      <x:c r="X49" s="28" t="str">
        <x:v>Commitment=Yes; Actionable Mechanism=Yes; System Change=Yes; Not Merely Implementation=Yes; Distinct/Aggregated=Yes</x:v>
      </x:c>
    </x:row>
    <x:row r="50" ht="52" customHeight="1">
      <x:c r="A50" s="28" t="str">
        <x:v>CAM-046</x:v>
      </x:c>
      <x:c r="B50" s="28" t="str">
        <x:v>Cambodia</x:v>
      </x:c>
      <x:c r="C50" s="28" t="str">
        <x:v>PDF p. 12, Table 3</x:v>
      </x:c>
      <x:c r="D50" s="28" t="str">
        <x:v>Activity roadmap</x:v>
      </x:c>
      <x:c r="E50" s="28" t="str">
        <x:v>Update FWUC establishment sub-decree</x:v>
      </x:c>
      <x:c r="F50" s="28" t="str">
        <x:v>Update FWUC legislation</x:v>
      </x:c>
      <x:c r="G50" s="28" t="str">
        <x:v>This repeats the broader FWUC sub-decree reform retained from Table 2.</x:v>
      </x:c>
      <x:c r="H50" s="28" t="str">
        <x:v>C — High-confidence Non-reform</x:v>
      </x:c>
      <x:c r="I50" s="28" t="str">
        <x:v>Consolidated</x:v>
      </x:c>
      <x:c r="J50" s="28" t="str">
        <x:v>Consolidated/Covered by Broader Reform</x:v>
      </x:c>
      <x:c r="K50" s="28" t="str">
        <x:v>No</x:v>
      </x:c>
      <x:c r="L50" s="28" t="str">
        <x:v>High</x:v>
      </x:c>
      <x:c r="M50" s="28" t="str">
        <x:v>This passage repeats or operationalizes a broader candidate already retained; counting it separately would double count the same reform mechanism.</x:v>
      </x:c>
      <x:c r="N50" s="28" t="str">
        <x:v>Water for Food</x:v>
      </x:c>
      <x:c r="O50" s="28" t="str">
        <x:v>S4; S5</x:v>
      </x:c>
      <x:c r="P50" s="28" t="str">
        <x:v>Agricultural Water &amp; Irrigation Governance</x:v>
      </x:c>
      <x:c r="Q50" s="28" t="str">
        <x:v>Farmer Water User Community governance</x:v>
      </x:c>
      <x:c r="R50" s="28" t="str">
        <x:v>MOWRAM</x:v>
      </x:c>
      <x:c r="S50" s="28" t="str">
        <x:v>CAM-018</x:v>
      </x:c>
      <x:c r="T50" s="28" t="str">
        <x:v>Pending human review</x:v>
      </x:c>
      <x:c r="U50" s="28" t="str"/>
      <x:c r="V50" s="28" t="str"/>
      <x:c r="W50" s="28" t="str">
        <x:v>Not an Aspiration</x:v>
      </x:c>
      <x:c r="X50" s="28" t="str">
        <x:v>Commitment=Yes; Actionable Mechanism=Yes; System Change=Yes; Not Merely Implementation=Yes; Distinct/Aggregated=No</x:v>
      </x:c>
    </x:row>
    <x:row r="51" ht="52" customHeight="1">
      <x:c r="A51" s="28" t="str">
        <x:v>CAM-047</x:v>
      </x:c>
      <x:c r="B51" s="28" t="str">
        <x:v>Cambodia</x:v>
      </x:c>
      <x:c r="C51" s="28" t="str">
        <x:v>PDF p. 12, Table 3</x:v>
      </x:c>
      <x:c r="D51" s="28" t="str">
        <x:v>Activity roadmap</x:v>
      </x:c>
      <x:c r="E51" s="28" t="str">
        <x:v>Professionalize FWUCs</x:v>
      </x:c>
      <x:c r="F51" s="28" t="str">
        <x:v>Restructure and professionalize FWUCs</x:v>
      </x:c>
      <x:c r="G51" s="28" t="str">
        <x:v>Introduce performance modalities and implementation structures for Farmer Water User Communities.</x:v>
      </x:c>
      <x:c r="H51" s="28" t="str">
        <x:v>A — High-confidence Reform Action</x:v>
      </x:c>
      <x:c r="I51" s="28" t="str">
        <x:v>Provisionally Included</x:v>
      </x:c>
      <x:c r="J51" s="28" t="str">
        <x:v>Core Reform Action</x:v>
      </x:c>
      <x:c r="K51" s="28" t="str">
        <x:v>No</x:v>
      </x:c>
      <x:c r="L51" s="28" t="str">
        <x:v>High</x:v>
      </x:c>
      <x:c r="M51" s="28" t="str">
        <x:v>The Compact states a discrete, durable mechanism that changes or materially strengthens sector rules, institutions, financing, planning, accountability, or service-delivery systems.</x:v>
      </x:c>
      <x:c r="N51" s="28" t="str">
        <x:v>Water for Food</x:v>
      </x:c>
      <x:c r="O51" s="28" t="str">
        <x:v>S4; S5</x:v>
      </x:c>
      <x:c r="P51" s="28" t="str">
        <x:v>Agricultural Water &amp; Irrigation Governance</x:v>
      </x:c>
      <x:c r="Q51" s="28" t="str">
        <x:v>FWUC professionalization and performance</x:v>
      </x:c>
      <x:c r="R51" s="28" t="str">
        <x:v>MOWRAM</x:v>
      </x:c>
      <x:c r="S51" s="28" t="str">
        <x:v>CAM-018</x:v>
      </x:c>
      <x:c r="T51" s="28" t="str">
        <x:v>Pending human review</x:v>
      </x:c>
      <x:c r="U51" s="28" t="str"/>
      <x:c r="V51" s="28" t="str"/>
      <x:c r="W51" s="28" t="str">
        <x:v>Not an Aspiration</x:v>
      </x:c>
      <x:c r="X51" s="28" t="str">
        <x:v>Commitment=Yes; Actionable Mechanism=Yes; System Change=Yes; Not Merely Implementation=Yes; Distinct/Aggregated=Yes</x:v>
      </x:c>
    </x:row>
    <x:row r="52" ht="52" customHeight="1">
      <x:c r="A52" s="28" t="str">
        <x:v>CAM-048</x:v>
      </x:c>
      <x:c r="B52" s="28" t="str">
        <x:v>Cambodia</x:v>
      </x:c>
      <x:c r="C52" s="28" t="str">
        <x:v>PDF p. 12, Table 3</x:v>
      </x:c>
      <x:c r="D52" s="28" t="str">
        <x:v>Activity roadmap</x:v>
      </x:c>
      <x:c r="E52" s="28" t="str">
        <x:v>Tailored PDWRAM and FWUC curriculum</x:v>
      </x:c>
      <x:c r="F52" s="28" t="str">
        <x:v>Establish a tailored institutional capacity-development program</x:v>
      </x:c>
      <x:c r="G52" s="28" t="str">
        <x:v>Create a recurring curriculum-based program for provincial water departments and FWUCs, rather than one-off training.</x:v>
      </x:c>
      <x:c r="H52" s="28" t="str">
        <x:v>A — High-confidence Reform Action</x:v>
      </x:c>
      <x:c r="I52" s="28" t="str">
        <x:v>Provisionally Included</x:v>
      </x:c>
      <x:c r="J52" s="28" t="str">
        <x:v>Core Reform Action</x:v>
      </x:c>
      <x:c r="K52" s="28" t="str">
        <x:v>No</x:v>
      </x:c>
      <x:c r="L52" s="28" t="str">
        <x:v>High</x:v>
      </x:c>
      <x:c r="M52" s="28" t="str">
        <x:v>The Compact states a discrete, durable mechanism that changes or materially strengthens sector rules, institutions, financing, planning, accountability, or service-delivery systems.</x:v>
      </x:c>
      <x:c r="N52" s="28" t="str">
        <x:v>Water for Food</x:v>
      </x:c>
      <x:c r="O52" s="28" t="str">
        <x:v>S4; S5</x:v>
      </x:c>
      <x:c r="P52" s="28" t="str">
        <x:v>Sector Governance &amp; Institutional Architecture</x:v>
      </x:c>
      <x:c r="Q52" s="28" t="str">
        <x:v>Enduring sector capacity system</x:v>
      </x:c>
      <x:c r="R52" s="28" t="str">
        <x:v>MOWRAM</x:v>
      </x:c>
      <x:c r="S52" s="28" t="str"/>
      <x:c r="T52" s="28" t="str">
        <x:v>Pending human review</x:v>
      </x:c>
      <x:c r="U52" s="28" t="str"/>
      <x:c r="V52" s="28" t="str"/>
      <x:c r="W52" s="28" t="str">
        <x:v>Not an Aspiration</x:v>
      </x:c>
      <x:c r="X52" s="28" t="str">
        <x:v>Commitment=Yes; Actionable Mechanism=Yes; System Change=Yes; Not Merely Implementation=Yes; Distinct/Aggregated=Yes</x:v>
      </x:c>
    </x:row>
    <x:row r="53" ht="52" customHeight="1">
      <x:c r="A53" s="28" t="str">
        <x:v>CAM-049</x:v>
      </x:c>
      <x:c r="B53" s="28" t="str">
        <x:v>Cambodia</x:v>
      </x:c>
      <x:c r="C53" s="28" t="str">
        <x:v>PDF p. 12, Table 3</x:v>
      </x:c>
      <x:c r="D53" s="28" t="str">
        <x:v>Activity roadmap</x:v>
      </x:c>
      <x:c r="E53" s="28" t="str">
        <x:v>Young Professional Program</x:v>
      </x:c>
      <x:c r="F53" s="28" t="str">
        <x:v>Establish a Young Professional Program in water security and climate resilience</x:v>
      </x:c>
      <x:c r="G53" s="28" t="str">
        <x:v>Create an ongoing entry and deployment mechanism for water-sector professional capacity.</x:v>
      </x:c>
      <x:c r="H53" s="28" t="str">
        <x:v>A — High-confidence Reform Action</x:v>
      </x:c>
      <x:c r="I53" s="28" t="str">
        <x:v>Provisionally Included</x:v>
      </x:c>
      <x:c r="J53" s="28" t="str">
        <x:v>Core Reform Action</x:v>
      </x:c>
      <x:c r="K53" s="28" t="str">
        <x:v>No</x:v>
      </x:c>
      <x:c r="L53" s="28" t="str">
        <x:v>High</x:v>
      </x:c>
      <x:c r="M53" s="28" t="str">
        <x:v>The Compact states a discrete, durable mechanism that changes or materially strengthens sector rules, institutions, financing, planning, accountability, or service-delivery systems.</x:v>
      </x:c>
      <x:c r="N53" s="28" t="str">
        <x:v>Cross-cutting</x:v>
      </x:c>
      <x:c r="O53" s="28" t="str">
        <x:v>S4; S5; S6; S7</x:v>
      </x:c>
      <x:c r="P53" s="28" t="str">
        <x:v>Sector Governance &amp; Institutional Architecture</x:v>
      </x:c>
      <x:c r="Q53" s="28" t="str">
        <x:v>Professional workforce development system</x:v>
      </x:c>
      <x:c r="R53" s="28" t="str">
        <x:v>MOWRAM</x:v>
      </x:c>
      <x:c r="S53" s="28" t="str"/>
      <x:c r="T53" s="28" t="str">
        <x:v>Pending human review</x:v>
      </x:c>
      <x:c r="U53" s="28" t="str"/>
      <x:c r="V53" s="28" t="str"/>
      <x:c r="W53" s="28" t="str">
        <x:v>Not an Aspiration</x:v>
      </x:c>
      <x:c r="X53" s="28" t="str">
        <x:v>Commitment=Yes; Actionable Mechanism=Yes; System Change=Yes; Not Merely Implementation=Yes; Distinct/Aggregated=Yes</x:v>
      </x:c>
    </x:row>
    <x:row r="54" ht="52" customHeight="1">
      <x:c r="A54" s="28" t="str">
        <x:v>CAM-050</x:v>
      </x:c>
      <x:c r="B54" s="28" t="str">
        <x:v>Cambodia</x:v>
      </x:c>
      <x:c r="C54" s="28" t="str">
        <x:v>PDF p. 12, Table 3</x:v>
      </x:c>
      <x:c r="D54" s="28" t="str">
        <x:v>Activity roadmap</x:v>
      </x:c>
      <x:c r="E54" s="28" t="str">
        <x:v>Regional irrigation service training center</x:v>
      </x:c>
      <x:c r="F54" s="28" t="str">
        <x:v>Establish a regional irrigation engineering and O&amp;M training center</x:v>
      </x:c>
      <x:c r="G54" s="28" t="str">
        <x:v>Create a permanent service-training institution at regional offices.</x:v>
      </x:c>
      <x:c r="H54" s="28" t="str">
        <x:v>A — High-confidence Reform Action</x:v>
      </x:c>
      <x:c r="I54" s="28" t="str">
        <x:v>Provisionally Included</x:v>
      </x:c>
      <x:c r="J54" s="28" t="str">
        <x:v>Core Reform Action</x:v>
      </x:c>
      <x:c r="K54" s="28" t="str">
        <x:v>No</x:v>
      </x:c>
      <x:c r="L54" s="28" t="str">
        <x:v>High</x:v>
      </x:c>
      <x:c r="M54" s="28" t="str">
        <x:v>The Compact states a discrete, durable mechanism that changes or materially strengthens sector rules, institutions, financing, planning, accountability, or service-delivery systems.</x:v>
      </x:c>
      <x:c r="N54" s="28" t="str">
        <x:v>Water for Food</x:v>
      </x:c>
      <x:c r="O54" s="28" t="str">
        <x:v>S5</x:v>
      </x:c>
      <x:c r="P54" s="28" t="str">
        <x:v>Sector Governance &amp; Institutional Architecture</x:v>
      </x:c>
      <x:c r="Q54" s="28" t="str">
        <x:v>Permanent technical training institution</x:v>
      </x:c>
      <x:c r="R54" s="28" t="str">
        <x:v>MOWRAM</x:v>
      </x:c>
      <x:c r="S54" s="28" t="str"/>
      <x:c r="T54" s="28" t="str">
        <x:v>Pending human review</x:v>
      </x:c>
      <x:c r="U54" s="28" t="str"/>
      <x:c r="V54" s="28" t="str"/>
      <x:c r="W54" s="28" t="str">
        <x:v>Not an Aspiration</x:v>
      </x:c>
      <x:c r="X54" s="28" t="str">
        <x:v>Commitment=Yes; Actionable Mechanism=Yes; System Change=Yes; Not Merely Implementation=Yes; Distinct/Aggregated=Yes</x:v>
      </x:c>
    </x:row>
    <x:row r="55" ht="52" customHeight="1">
      <x:c r="A55" s="28" t="str">
        <x:v>CAM-051</x:v>
      </x:c>
      <x:c r="B55" s="28" t="str">
        <x:v>Cambodia</x:v>
      </x:c>
      <x:c r="C55" s="28" t="str">
        <x:v>PDF p. 12, Table 3</x:v>
      </x:c>
      <x:c r="D55" s="28" t="str">
        <x:v>Activity roadmap</x:v>
      </x:c>
      <x:c r="E55" s="28" t="str">
        <x:v>Consolidate 39 basins into five groups</x:v>
      </x:c>
      <x:c r="F55" s="28" t="str">
        <x:v>Consolidate 39 sub-basins into five major river-basin groups</x:v>
      </x:c>
      <x:c r="G55" s="28" t="str">
        <x:v>Implement the institutional geography envisaged by the national river-basin governance framework.</x:v>
      </x:c>
      <x:c r="H55" s="28" t="str">
        <x:v>A — High-confidence Reform Action</x:v>
      </x:c>
      <x:c r="I55" s="28" t="str">
        <x:v>Provisionally Included</x:v>
      </x:c>
      <x:c r="J55" s="28" t="str">
        <x:v>Target-form Reform Action</x:v>
      </x:c>
      <x:c r="K55" s="28" t="str">
        <x:v>No</x:v>
      </x:c>
      <x:c r="L55" s="28" t="str">
        <x:v>High</x:v>
      </x:c>
      <x:c r="M55" s="28" t="str">
        <x:v>The Compact states a discrete, durable mechanism that changes or materially strengthens sector rules, institutions, financing, planning, accountability, or service-delivery systems.</x:v>
      </x:c>
      <x:c r="N55" s="28" t="str">
        <x:v>Water for Planet</x:v>
      </x:c>
      <x:c r="O55" s="28" t="str">
        <x:v>S7</x:v>
      </x:c>
      <x:c r="P55" s="28" t="str">
        <x:v>Water Resources &amp; Climate Governance</x:v>
      </x:c>
      <x:c r="Q55" s="28" t="str">
        <x:v>River-basin institutional consolidation</x:v>
      </x:c>
      <x:c r="R55" s="28" t="str">
        <x:v>MOWRAM</x:v>
      </x:c>
      <x:c r="S55" s="28" t="str">
        <x:v>CAM-025</x:v>
      </x:c>
      <x:c r="T55" s="28" t="str">
        <x:v>Pending human review</x:v>
      </x:c>
      <x:c r="U55" s="28" t="str"/>
      <x:c r="V55" s="28" t="str"/>
      <x:c r="W55" s="28" t="str">
        <x:v>Not an Aspiration</x:v>
      </x:c>
      <x:c r="X55" s="28" t="str">
        <x:v>Commitment=Yes; Actionable Mechanism=Yes; System Change=Yes; Not Merely Implementation=Yes; Distinct/Aggregated=Yes</x:v>
      </x:c>
    </x:row>
    <x:row r="56" ht="52" customHeight="1">
      <x:c r="A56" s="28" t="str">
        <x:v>CAM-052</x:v>
      </x:c>
      <x:c r="B56" s="28" t="str">
        <x:v>Cambodia</x:v>
      </x:c>
      <x:c r="C56" s="28" t="str">
        <x:v>PDF pp. 12–13, Table 3</x:v>
      </x:c>
      <x:c r="D56" s="28" t="str">
        <x:v>Activity roadmap</x:v>
      </x:c>
      <x:c r="E56" s="28" t="str">
        <x:v>Integrated river-basin management plans</x:v>
      </x:c>
      <x:c r="F56" s="28" t="str">
        <x:v>Prepare and operationalize integrated river-basin management plans</x:v>
      </x:c>
      <x:c r="G56" s="28" t="str">
        <x:v>Establish cross-ministry strategies and basin-wide allocation rules under the new five-basin structure.</x:v>
      </x:c>
      <x:c r="H56" s="28" t="str">
        <x:v>A — High-confidence Reform Action</x:v>
      </x:c>
      <x:c r="I56" s="28" t="str">
        <x:v>Provisionally Included</x:v>
      </x:c>
      <x:c r="J56" s="28" t="str">
        <x:v>Core Reform Action</x:v>
      </x:c>
      <x:c r="K56" s="28" t="str">
        <x:v>No</x:v>
      </x:c>
      <x:c r="L56" s="28" t="str">
        <x:v>High</x:v>
      </x:c>
      <x:c r="M56" s="28" t="str">
        <x:v>The Compact states a discrete, durable mechanism that changes or materially strengthens sector rules, institutions, financing, planning, accountability, or service-delivery systems.</x:v>
      </x:c>
      <x:c r="N56" s="28" t="str">
        <x:v>Water for Planet</x:v>
      </x:c>
      <x:c r="O56" s="28" t="str">
        <x:v>S7</x:v>
      </x:c>
      <x:c r="P56" s="28" t="str">
        <x:v>Water Resources &amp; Climate Governance</x:v>
      </x:c>
      <x:c r="Q56" s="28" t="str">
        <x:v>Integrated river-basin planning</x:v>
      </x:c>
      <x:c r="R56" s="28" t="str">
        <x:v>MOWRAM; River Basin Secretariats</x:v>
      </x:c>
      <x:c r="S56" s="28" t="str">
        <x:v>CAM-025</x:v>
      </x:c>
      <x:c r="T56" s="28" t="str">
        <x:v>Pending human review</x:v>
      </x:c>
      <x:c r="U56" s="28" t="str"/>
      <x:c r="V56" s="28" t="str"/>
      <x:c r="W56" s="28" t="str">
        <x:v>Not an Aspiration</x:v>
      </x:c>
      <x:c r="X56" s="28" t="str">
        <x:v>Commitment=Yes; Actionable Mechanism=Yes; System Change=Yes; Not Merely Implementation=Yes; Distinct/Aggregated=Yes</x:v>
      </x:c>
    </x:row>
    <x:row r="57" ht="52" customHeight="1">
      <x:c r="A57" s="28" t="str">
        <x:v>CAM-053</x:v>
      </x:c>
      <x:c r="B57" s="28" t="str">
        <x:v>Cambodia</x:v>
      </x:c>
      <x:c r="C57" s="28" t="str">
        <x:v>PDF p. 13, Table 3</x:v>
      </x:c>
      <x:c r="D57" s="28" t="str">
        <x:v>Activity roadmap</x:v>
      </x:c>
      <x:c r="E57" s="28" t="str">
        <x:v>National water data center and protocol</x:v>
      </x:c>
      <x:c r="F57" s="28" t="str">
        <x:v>Establish a national water-resources data, protocol, and decision-support system</x:v>
      </x:c>
      <x:c r="G57" s="28" t="str">
        <x:v>Create an enduring information center, data-sharing protocol, and decision-support operations for water-resource decisions.</x:v>
      </x:c>
      <x:c r="H57" s="28" t="str">
        <x:v>A — High-confidence Reform Action</x:v>
      </x:c>
      <x:c r="I57" s="28" t="str">
        <x:v>Provisionally Included</x:v>
      </x:c>
      <x:c r="J57" s="28" t="str">
        <x:v>Core Reform Action</x:v>
      </x:c>
      <x:c r="K57" s="28" t="str">
        <x:v>No</x:v>
      </x:c>
      <x:c r="L57" s="28" t="str">
        <x:v>High</x:v>
      </x:c>
      <x:c r="M57" s="28" t="str">
        <x:v>The Compact states a discrete, durable mechanism that changes or materially strengthens sector rules, institutions, financing, planning, accountability, or service-delivery systems.</x:v>
      </x:c>
      <x:c r="N57" s="28" t="str">
        <x:v>Water for Planet</x:v>
      </x:c>
      <x:c r="O57" s="28" t="str">
        <x:v>S6; S7</x:v>
      </x:c>
      <x:c r="P57" s="28" t="str">
        <x:v>Data, Digitalization &amp; Sector Intelligence</x:v>
      </x:c>
      <x:c r="Q57" s="28" t="str">
        <x:v>National water-resources information system</x:v>
      </x:c>
      <x:c r="R57" s="28" t="str">
        <x:v>MOWRAM</x:v>
      </x:c>
      <x:c r="S57" s="28" t="str"/>
      <x:c r="T57" s="28" t="str">
        <x:v>Pending human review</x:v>
      </x:c>
      <x:c r="U57" s="28" t="str"/>
      <x:c r="V57" s="28" t="str"/>
      <x:c r="W57" s="28" t="str">
        <x:v>Not an Aspiration</x:v>
      </x:c>
      <x:c r="X57" s="28" t="str">
        <x:v>Commitment=Yes; Actionable Mechanism=Yes; System Change=Yes; Not Merely Implementation=Yes; Distinct/Aggregated=Yes</x:v>
      </x:c>
    </x:row>
    <x:row r="58" ht="52" customHeight="1">
      <x:c r="A58" s="28" t="str">
        <x:v>CAM-054</x:v>
      </x:c>
      <x:c r="B58" s="28" t="str">
        <x:v>Cambodia</x:v>
      </x:c>
      <x:c r="C58" s="28" t="str">
        <x:v>PDF p. 13, Table 3</x:v>
      </x:c>
      <x:c r="D58" s="28" t="str">
        <x:v>Activity roadmap</x:v>
      </x:c>
      <x:c r="E58" s="28" t="str">
        <x:v>Transboundary DSS and data sharing</x:v>
      </x:c>
      <x:c r="F58" s="28" t="str">
        <x:v>Strengthen transboundary water-data decision-support and sharing</x:v>
      </x:c>
      <x:c r="G58" s="28" t="str">
        <x:v>Upgrade integrated data monitoring, transfer, reporting, and systematic Mekong Delta information exchange.</x:v>
      </x:c>
      <x:c r="H58" s="28" t="str">
        <x:v>A — High-confidence Reform Action</x:v>
      </x:c>
      <x:c r="I58" s="28" t="str">
        <x:v>Provisionally Included</x:v>
      </x:c>
      <x:c r="J58" s="28" t="str">
        <x:v>Core Reform Action</x:v>
      </x:c>
      <x:c r="K58" s="28" t="str">
        <x:v>No</x:v>
      </x:c>
      <x:c r="L58" s="28" t="str">
        <x:v>High</x:v>
      </x:c>
      <x:c r="M58" s="28" t="str">
        <x:v>The Compact states a discrete, durable mechanism that changes or materially strengthens sector rules, institutions, financing, planning, accountability, or service-delivery systems.</x:v>
      </x:c>
      <x:c r="N58" s="28" t="str">
        <x:v>Water for Planet</x:v>
      </x:c>
      <x:c r="O58" s="28" t="str">
        <x:v>S7</x:v>
      </x:c>
      <x:c r="P58" s="28" t="str">
        <x:v>Data, Digitalization &amp; Sector Intelligence</x:v>
      </x:c>
      <x:c r="Q58" s="28" t="str">
        <x:v>Transboundary water information cooperation</x:v>
      </x:c>
      <x:c r="R58" s="28" t="str">
        <x:v>MOWRAM; CNMC</x:v>
      </x:c>
      <x:c r="S58" s="28" t="str">
        <x:v>CAM-053</x:v>
      </x:c>
      <x:c r="T58" s="28" t="str">
        <x:v>Pending human review</x:v>
      </x:c>
      <x:c r="U58" s="28" t="str"/>
      <x:c r="V58" s="28" t="str"/>
      <x:c r="W58" s="28" t="str">
        <x:v>Not an Aspiration</x:v>
      </x:c>
      <x:c r="X58" s="28" t="str">
        <x:v>Commitment=Yes; Actionable Mechanism=Yes; System Change=Yes; Not Merely Implementation=Yes; Distinct/Aggregated=Yes</x:v>
      </x:c>
    </x:row>
    <x:row r="59" ht="52" customHeight="1">
      <x:c r="A59" s="28" t="str">
        <x:v>CAM-055</x:v>
      </x:c>
      <x:c r="B59" s="28" t="str">
        <x:v>Cambodia</x:v>
      </x:c>
      <x:c r="C59" s="28" t="str">
        <x:v>PDF p. 13, Table 3</x:v>
      </x:c>
      <x:c r="D59" s="28" t="str">
        <x:v>Activity roadmap</x:v>
      </x:c>
      <x:c r="E59" s="28" t="str">
        <x:v>National flood emergency response framework</x:v>
      </x:c>
      <x:c r="F59" s="28" t="str">
        <x:v>Adopt a national flood emergency-response framework</x:v>
      </x:c>
      <x:c r="G59" s="28" t="str">
        <x:v>Institutionalize preparedness and mitigation arrangements for high-risk river basins.</x:v>
      </x:c>
      <x:c r="H59" s="28" t="str">
        <x:v>A — High-confidence Reform Action</x:v>
      </x:c>
      <x:c r="I59" s="28" t="str">
        <x:v>Provisionally Included</x:v>
      </x:c>
      <x:c r="J59" s="28" t="str">
        <x:v>Core Reform Action</x:v>
      </x:c>
      <x:c r="K59" s="28" t="str">
        <x:v>No</x:v>
      </x:c>
      <x:c r="L59" s="28" t="str">
        <x:v>High</x:v>
      </x:c>
      <x:c r="M59" s="28" t="str">
        <x:v>The Compact states a discrete, durable mechanism that changes or materially strengthens sector rules, institutions, financing, planning, accountability, or service-delivery systems.</x:v>
      </x:c>
      <x:c r="N59" s="28" t="str">
        <x:v>Water for Planet</x:v>
      </x:c>
      <x:c r="O59" s="28" t="str">
        <x:v>S6</x:v>
      </x:c>
      <x:c r="P59" s="28" t="str">
        <x:v>Water Resources &amp; Climate Governance</x:v>
      </x:c>
      <x:c r="Q59" s="28" t="str">
        <x:v>Flood emergency governance</x:v>
      </x:c>
      <x:c r="R59" s="28" t="str">
        <x:v>MOWRAM; CNMC</x:v>
      </x:c>
      <x:c r="S59" s="28" t="str"/>
      <x:c r="T59" s="28" t="str">
        <x:v>Pending human review</x:v>
      </x:c>
      <x:c r="U59" s="28" t="str"/>
      <x:c r="V59" s="28" t="str"/>
      <x:c r="W59" s="28" t="str">
        <x:v>Not an Aspiration</x:v>
      </x:c>
      <x:c r="X59" s="28" t="str">
        <x:v>Commitment=Yes; Actionable Mechanism=Yes; System Change=Yes; Not Merely Implementation=Yes; Distinct/Aggregated=Yes</x:v>
      </x:c>
    </x:row>
    <x:row r="60" ht="52" customHeight="1">
      <x:c r="A60" s="28" t="str">
        <x:v>CAM-056</x:v>
      </x:c>
      <x:c r="B60" s="28" t="str">
        <x:v>Cambodia</x:v>
      </x:c>
      <x:c r="C60" s="28" t="str">
        <x:v>PDF p. 13, Table 3</x:v>
      </x:c>
      <x:c r="D60" s="28" t="str">
        <x:v>Activity roadmap</x:v>
      </x:c>
      <x:c r="E60" s="28" t="str">
        <x:v>Flood and drought early-warning guidelines</x:v>
      </x:c>
      <x:c r="F60" s="28" t="str">
        <x:v>Adopt national and regional flood and drought early-warning guidelines</x:v>
      </x:c>
      <x:c r="G60" s="28" t="str">
        <x:v>Create common operating guidance aligned with regional flood and drought protocols.</x:v>
      </x:c>
      <x:c r="H60" s="28" t="str">
        <x:v>A — High-confidence Reform Action</x:v>
      </x:c>
      <x:c r="I60" s="28" t="str">
        <x:v>Provisionally Included</x:v>
      </x:c>
      <x:c r="J60" s="28" t="str">
        <x:v>Core Reform Action</x:v>
      </x:c>
      <x:c r="K60" s="28" t="str">
        <x:v>No</x:v>
      </x:c>
      <x:c r="L60" s="28" t="str">
        <x:v>High</x:v>
      </x:c>
      <x:c r="M60" s="28" t="str">
        <x:v>The Compact states a discrete, durable mechanism that changes or materially strengthens sector rules, institutions, financing, planning, accountability, or service-delivery systems.</x:v>
      </x:c>
      <x:c r="N60" s="28" t="str">
        <x:v>Water for Planet</x:v>
      </x:c>
      <x:c r="O60" s="28" t="str">
        <x:v>S6</x:v>
      </x:c>
      <x:c r="P60" s="28" t="str">
        <x:v>Policy &amp; Strategic Frameworks</x:v>
      </x:c>
      <x:c r="Q60" s="28" t="str">
        <x:v>Early-warning policy and protocols</x:v>
      </x:c>
      <x:c r="R60" s="28" t="str">
        <x:v>MOWRAM; CNMC</x:v>
      </x:c>
      <x:c r="S60" s="28" t="str">
        <x:v>CAM-055</x:v>
      </x:c>
      <x:c r="T60" s="28" t="str">
        <x:v>Pending human review</x:v>
      </x:c>
      <x:c r="U60" s="28" t="str"/>
      <x:c r="V60" s="28" t="str"/>
      <x:c r="W60" s="28" t="str">
        <x:v>Not an Aspiration</x:v>
      </x:c>
      <x:c r="X60" s="28" t="str">
        <x:v>Commitment=Yes; Actionable Mechanism=Yes; System Change=Yes; Not Merely Implementation=Yes; Distinct/Aggregated=Yes</x:v>
      </x:c>
    </x:row>
    <x:row r="61" ht="52" customHeight="1">
      <x:c r="A61" s="28" t="str">
        <x:v>CAM-057</x:v>
      </x:c>
      <x:c r="B61" s="28" t="str">
        <x:v>Cambodia</x:v>
      </x:c>
      <x:c r="C61" s="28" t="str">
        <x:v>PDF p. 13, Table 3</x:v>
      </x:c>
      <x:c r="D61" s="28" t="str">
        <x:v>Activity roadmap</x:v>
      </x:c>
      <x:c r="E61" s="28" t="str">
        <x:v>Update Water Resources Management Law</x:v>
      </x:c>
      <x:c r="F61" s="28" t="str">
        <x:v>Update the Water Resources Management Law</x:v>
      </x:c>
      <x:c r="G61" s="28" t="str">
        <x:v>Modernize the overarching legal framework for national water-resources management.</x:v>
      </x:c>
      <x:c r="H61" s="28" t="str">
        <x:v>A — High-confidence Reform Action</x:v>
      </x:c>
      <x:c r="I61" s="28" t="str">
        <x:v>Provisionally Included</x:v>
      </x:c>
      <x:c r="J61" s="28" t="str">
        <x:v>Core Reform Action</x:v>
      </x:c>
      <x:c r="K61" s="28" t="str">
        <x:v>No</x:v>
      </x:c>
      <x:c r="L61" s="28" t="str">
        <x:v>High</x:v>
      </x:c>
      <x:c r="M61" s="28" t="str">
        <x:v>The Compact states a discrete, durable mechanism that changes or materially strengthens sector rules, institutions, financing, planning, accountability, or service-delivery systems.</x:v>
      </x:c>
      <x:c r="N61" s="28" t="str">
        <x:v>Water for Planet</x:v>
      </x:c>
      <x:c r="O61" s="28" t="str">
        <x:v>S7</x:v>
      </x:c>
      <x:c r="P61" s="28" t="str">
        <x:v>Legal &amp; Regulatory Reform</x:v>
      </x:c>
      <x:c r="Q61" s="28" t="str">
        <x:v>Water-resources legislation</x:v>
      </x:c>
      <x:c r="R61" s="28" t="str">
        <x:v>MOWRAM</x:v>
      </x:c>
      <x:c r="S61" s="28" t="str"/>
      <x:c r="T61" s="28" t="str">
        <x:v>Pending human review</x:v>
      </x:c>
      <x:c r="U61" s="28" t="str"/>
      <x:c r="V61" s="28" t="str"/>
      <x:c r="W61" s="28" t="str">
        <x:v>Not an Aspiration</x:v>
      </x:c>
      <x:c r="X61" s="28" t="str">
        <x:v>Commitment=Yes; Actionable Mechanism=Yes; System Change=Yes; Not Merely Implementation=Yes; Distinct/Aggregated=Yes</x:v>
      </x:c>
    </x:row>
    <x:row r="62" ht="52" customHeight="1">
      <x:c r="A62" s="28" t="str">
        <x:v>CAM-058</x:v>
      </x:c>
      <x:c r="B62" s="28" t="str">
        <x:v>Cambodia</x:v>
      </x:c>
      <x:c r="C62" s="28" t="str">
        <x:v>PDF p. 13, Table 3</x:v>
      </x:c>
      <x:c r="D62" s="28" t="str">
        <x:v>Activity roadmap</x:v>
      </x:c>
      <x:c r="E62" s="28" t="str">
        <x:v>Revise National Water Resources Policy</x:v>
      </x:c>
      <x:c r="F62" s="28" t="str">
        <x:v>Revise the National Water Resources Management Policy</x:v>
      </x:c>
      <x:c r="G62" s="28" t="str">
        <x:v>This repeats the national water-resources policy update retained from Table 2.</x:v>
      </x:c>
      <x:c r="H62" s="28" t="str">
        <x:v>C — High-confidence Non-reform</x:v>
      </x:c>
      <x:c r="I62" s="28" t="str">
        <x:v>Consolidated</x:v>
      </x:c>
      <x:c r="J62" s="28" t="str">
        <x:v>Consolidated/Covered by Broader Reform</x:v>
      </x:c>
      <x:c r="K62" s="28" t="str">
        <x:v>No</x:v>
      </x:c>
      <x:c r="L62" s="28" t="str">
        <x:v>High</x:v>
      </x:c>
      <x:c r="M62" s="28" t="str">
        <x:v>This passage repeats or operationalizes a broader candidate already retained; counting it separately would double count the same reform mechanism.</x:v>
      </x:c>
      <x:c r="N62" s="28" t="str">
        <x:v>Water for Planet</x:v>
      </x:c>
      <x:c r="O62" s="28" t="str">
        <x:v>S7</x:v>
      </x:c>
      <x:c r="P62" s="28" t="str">
        <x:v>Policy &amp; Strategic Frameworks</x:v>
      </x:c>
      <x:c r="Q62" s="28" t="str">
        <x:v>National water resources policy</x:v>
      </x:c>
      <x:c r="R62" s="28" t="str">
        <x:v>MOWRAM</x:v>
      </x:c>
      <x:c r="S62" s="28" t="str">
        <x:v>CAM-016</x:v>
      </x:c>
      <x:c r="T62" s="28" t="str">
        <x:v>Pending human review</x:v>
      </x:c>
      <x:c r="U62" s="28" t="str"/>
      <x:c r="V62" s="28" t="str"/>
      <x:c r="W62" s="28" t="str">
        <x:v>Not an Aspiration</x:v>
      </x:c>
      <x:c r="X62" s="28" t="str">
        <x:v>Commitment=Yes; Actionable Mechanism=Yes; System Change=Yes; Not Merely Implementation=Yes; Distinct/Aggregated=No</x:v>
      </x:c>
    </x:row>
    <x:row r="63" ht="52" customHeight="1">
      <x:c r="A63" s="28" t="str">
        <x:v>CAM-059</x:v>
      </x:c>
      <x:c r="B63" s="28" t="str">
        <x:v>Cambodia</x:v>
      </x:c>
      <x:c r="C63" s="28" t="str">
        <x:v>PDF p. 13, Table 3</x:v>
      </x:c>
      <x:c r="D63" s="28" t="str">
        <x:v>Activity roadmap</x:v>
      </x:c>
      <x:c r="E63" s="28" t="str">
        <x:v>Legal framework dissemination plan</x:v>
      </x:c>
      <x:c r="F63" s="28" t="str">
        <x:v>Disseminate the regulatory and legal framework in 25 provinces</x:v>
      </x:c>
      <x:c r="G63" s="28" t="str">
        <x:v>Dissemination is implementation of retained legal reforms rather than a distinct reform mechanism.</x:v>
      </x:c>
      <x:c r="H63" s="28" t="str">
        <x:v>C — High-confidence Non-reform</x:v>
      </x:c>
      <x:c r="I63" s="28" t="str">
        <x:v>Excluded by LLM</x:v>
      </x:c>
      <x:c r="J63" s="28" t="str">
        <x:v>Implementation/Investment Activity</x:v>
      </x:c>
      <x:c r="K63" s="28" t="str">
        <x:v>No</x:v>
      </x:c>
      <x:c r="L63" s="28" t="str">
        <x:v>High</x:v>
      </x:c>
      <x:c r="M63" s="28" t="str">
        <x:v>This is an investment, construction, operational, training, study, or implementation output rather than a discrete system-change commitment.</x:v>
      </x:c>
      <x:c r="N63" s="28" t="str">
        <x:v>Cross-cutting</x:v>
      </x:c>
      <x:c r="O63" s="28" t="str">
        <x:v>S1; S3; S4; S5; S6; S7</x:v>
      </x:c>
      <x:c r="P63" s="28" t="str">
        <x:v>Legal &amp; Regulatory Reform</x:v>
      </x:c>
      <x:c r="Q63" s="28" t="str">
        <x:v>Legal dissemination</x:v>
      </x:c>
      <x:c r="R63" s="28" t="str">
        <x:v>MOWRAM</x:v>
      </x:c>
      <x:c r="S63" s="28" t="str">
        <x:v>CAM-057</x:v>
      </x:c>
      <x:c r="T63" s="28" t="str">
        <x:v>Pending human review</x:v>
      </x:c>
      <x:c r="U63" s="28" t="str"/>
      <x:c r="V63" s="28" t="str"/>
      <x:c r="W63" s="28" t="str">
        <x:v>Not an Aspiration</x:v>
      </x:c>
      <x:c r="X63" s="28" t="str">
        <x:v>Commitment=Yes; Actionable Mechanism=Partial; System Change=No; Not Merely Implementation=No; Distinct/Aggregated=Yes</x:v>
      </x:c>
    </x:row>
    <x:row r="64" ht="52" customHeight="1">
      <x:c r="A64" s="28" t="str">
        <x:v>CAM-060</x:v>
      </x:c>
      <x:c r="B64" s="28" t="str">
        <x:v>Cambodia</x:v>
      </x:c>
      <x:c r="C64" s="28" t="str">
        <x:v>PDF p. 4, goals narrative</x:v>
      </x:c>
      <x:c r="D64" s="28" t="str">
        <x:v>Narrative commitment</x:v>
      </x:c>
      <x:c r="E64" s="28" t="str">
        <x:v>Develop comprehensive flood management strategy</x:v>
      </x:c>
      <x:c r="F64" s="28" t="str">
        <x:v>Adopt a comprehensive flood-management strategy</x:v>
      </x:c>
      <x:c r="G64" s="28" t="str">
        <x:v>Combine risk-informed land-use planning, infrastructure, nature-based solutions, and emergency procedures in a national strategic framework.</x:v>
      </x:c>
      <x:c r="H64" s="28" t="str">
        <x:v>A — High-confidence Reform Action</x:v>
      </x:c>
      <x:c r="I64" s="28" t="str">
        <x:v>Provisionally Included</x:v>
      </x:c>
      <x:c r="J64" s="28" t="str">
        <x:v>Core Reform Action</x:v>
      </x:c>
      <x:c r="K64" s="28" t="str">
        <x:v>No</x:v>
      </x:c>
      <x:c r="L64" s="28" t="str">
        <x:v>High</x:v>
      </x:c>
      <x:c r="M64" s="28" t="str">
        <x:v>The Compact states a discrete, durable mechanism that changes or materially strengthens sector rules, institutions, financing, planning, accountability, or service-delivery systems.</x:v>
      </x:c>
      <x:c r="N64" s="28" t="str">
        <x:v>Water for Planet</x:v>
      </x:c>
      <x:c r="O64" s="28" t="str">
        <x:v>S6</x:v>
      </x:c>
      <x:c r="P64" s="28" t="str">
        <x:v>Policy &amp; Strategic Frameworks</x:v>
      </x:c>
      <x:c r="Q64" s="28" t="str">
        <x:v>Integrated flood-management strategy</x:v>
      </x:c>
      <x:c r="R64" s="28" t="str">
        <x:v>MOWRAM; relevant ministries</x:v>
      </x:c>
      <x:c r="S64" s="28" t="str"/>
      <x:c r="T64" s="28" t="str">
        <x:v>Pending human review</x:v>
      </x:c>
      <x:c r="U64" s="28" t="str"/>
      <x:c r="V64" s="28" t="str"/>
      <x:c r="W64" s="28" t="str">
        <x:v>Aspiration Validated as Actionable Reform</x:v>
      </x:c>
      <x:c r="X64" s="28" t="str">
        <x:v>Commitment=Yes; Actionable Mechanism=Yes; System Change=Yes; Not Merely Implementation=Yes; Distinct/Aggregated=Yes</x:v>
      </x:c>
    </x:row>
    <x:row r="65" ht="52" customHeight="1">
      <x:c r="A65" s="28" t="str">
        <x:v>CAM-061</x:v>
      </x:c>
      <x:c r="B65" s="28" t="str">
        <x:v>Cambodia</x:v>
      </x:c>
      <x:c r="C65" s="28" t="str">
        <x:v>PDF p. 4, goals narrative</x:v>
      </x:c>
      <x:c r="D65" s="28" t="str">
        <x:v>Narrative commitment</x:v>
      </x:c>
      <x:c r="E65" s="28" t="str">
        <x:v>Sustainable groundwater assessment and protection</x:v>
      </x:c>
      <x:c r="F65" s="28" t="str">
        <x:v>Strengthen sustainable groundwater assessment, protection, and conjunctive use</x:v>
      </x:c>
      <x:c r="G65" s="28" t="str">
        <x:v>The direction is system-relevant, but the narrative does not itself specify the regulatory or planning instrument.</x:v>
      </x:c>
      <x:c r="H65" s="28" t="str">
        <x:v>B — Potential Reform Action — Human Review</x:v>
      </x:c>
      <x:c r="I65" s="28" t="str">
        <x:v>Pending Human Review</x:v>
      </x:c>
      <x:c r="J65" s="28" t="str">
        <x:v>Reform Aspiration — Potential</x:v>
      </x:c>
      <x:c r="K65" s="28" t="str">
        <x:v>No</x:v>
      </x:c>
      <x:c r="L65" s="28" t="str">
        <x:v>Low</x:v>
      </x:c>
      <x:c r="M65" s="28" t="str">
        <x:v>The passage signals plausible system change, but the instrument, institutional design, scope, aggregation, or distinction from implementation is not sufficiently clear for high-confidence inclusion.</x:v>
      </x:c>
      <x:c r="N65" s="28" t="str">
        <x:v>Water for Planet</x:v>
      </x:c>
      <x:c r="O65" s="28" t="str">
        <x:v>S7</x:v>
      </x:c>
      <x:c r="P65" s="28" t="str">
        <x:v>Water Resources &amp; Climate Governance</x:v>
      </x:c>
      <x:c r="Q65" s="28" t="str">
        <x:v>Groundwater governance</x:v>
      </x:c>
      <x:c r="R65" s="28" t="str">
        <x:v>MOWRAM</x:v>
      </x:c>
      <x:c r="S65" s="28" t="str">
        <x:v>CAM-024</x:v>
      </x:c>
      <x:c r="T65" s="28" t="str">
        <x:v>Pending human review</x:v>
      </x:c>
      <x:c r="U65" s="28" t="str"/>
      <x:c r="V65" s="28" t="str"/>
      <x:c r="W65" s="28" t="str">
        <x:v>Aspiration Linked to Explicit Mechanism</x:v>
      </x:c>
      <x:c r="X65" s="28" t="str">
        <x:v>Commitment=Yes/Partial; Actionable Mechanism=Partial; System Change=Partial; Not Merely Implementation=Partial; Distinct/Aggregated=Partial</x:v>
      </x:c>
    </x:row>
    <x:row r="66" ht="52" customHeight="1">
      <x:c r="A66" s="28" t="str">
        <x:v>CAM-062</x:v>
      </x:c>
      <x:c r="B66" s="28" t="str">
        <x:v>Cambodia</x:v>
      </x:c>
      <x:c r="C66" s="28" t="str">
        <x:v>PDF p. 8, roadmap narrative</x:v>
      </x:c>
      <x:c r="D66" s="28" t="str">
        <x:v>Roadmap narrative</x:v>
      </x:c>
      <x:c r="E66" s="28" t="str">
        <x:v>Introduce dedicated wastewater law</x:v>
      </x:c>
      <x:c r="F66" s="28" t="str">
        <x:v>Enact a dedicated wastewater law</x:v>
      </x:c>
      <x:c r="G66" s="28" t="str">
        <x:v>Create a legal basis for wastewater governance and water-pollution reduction.</x:v>
      </x:c>
      <x:c r="H66" s="28" t="str">
        <x:v>A — High-confidence Reform Action</x:v>
      </x:c>
      <x:c r="I66" s="28" t="str">
        <x:v>Provisionally Included</x:v>
      </x:c>
      <x:c r="J66" s="28" t="str">
        <x:v>Roadmap Enabling Reform</x:v>
      </x:c>
      <x:c r="K66" s="28" t="str">
        <x:v>No</x:v>
      </x:c>
      <x:c r="L66" s="28" t="str">
        <x:v>High</x:v>
      </x:c>
      <x:c r="M66" s="28" t="str">
        <x:v>The Compact states a discrete, durable mechanism that changes or materially strengthens sector rules, institutions, financing, planning, accountability, or service-delivery systems.</x:v>
      </x:c>
      <x:c r="N66" s="28" t="str">
        <x:v>Water for People</x:v>
      </x:c>
      <x:c r="O66" s="28" t="str">
        <x:v>S1</x:v>
      </x:c>
      <x:c r="P66" s="28" t="str">
        <x:v>Legal &amp; Regulatory Reform</x:v>
      </x:c>
      <x:c r="Q66" s="28" t="str">
        <x:v>Wastewater legislation</x:v>
      </x:c>
      <x:c r="R66" s="28" t="str">
        <x:v>MPWT</x:v>
      </x:c>
      <x:c r="S66" s="28" t="str"/>
      <x:c r="T66" s="28" t="str">
        <x:v>Pending human review</x:v>
      </x:c>
      <x:c r="U66" s="28" t="str"/>
      <x:c r="V66" s="28" t="str"/>
      <x:c r="W66" s="28" t="str">
        <x:v>Not an Aspiration</x:v>
      </x:c>
      <x:c r="X66" s="28" t="str">
        <x:v>Commitment=Yes; Actionable Mechanism=Yes; System Change=Yes; Not Merely Implementation=Yes; Distinct/Aggregated=Yes</x:v>
      </x:c>
    </x:row>
    <x:row r="67" ht="52" customHeight="1">
      <x:c r="A67" s="28" t="str">
        <x:v>CAM-063</x:v>
      </x:c>
      <x:c r="B67" s="28" t="str">
        <x:v>Cambodia</x:v>
      </x:c>
      <x:c r="C67" s="28" t="str">
        <x:v>PDF p. 8, roadmap narrative</x:v>
      </x:c>
      <x:c r="D67" s="28" t="str">
        <x:v>Roadmap narrative</x:v>
      </x:c>
      <x:c r="E67" s="28" t="str">
        <x:v>Climate-resilient inclusive WSS framework</x:v>
      </x:c>
      <x:c r="F67" s="28" t="str">
        <x:v>Adopt a climate-resilient and inclusive WSS response framework</x:v>
      </x:c>
      <x:c r="G67" s="28" t="str">
        <x:v>Mainstream climate-risk assessment and inclusive resilience into WSS policy and investment decisions.</x:v>
      </x:c>
      <x:c r="H67" s="28" t="str">
        <x:v>A — High-confidence Reform Action</x:v>
      </x:c>
      <x:c r="I67" s="28" t="str">
        <x:v>Provisionally Included</x:v>
      </x:c>
      <x:c r="J67" s="28" t="str">
        <x:v>Roadmap Enabling Reform</x:v>
      </x:c>
      <x:c r="K67" s="28" t="str">
        <x:v>No</x:v>
      </x:c>
      <x:c r="L67" s="28" t="str">
        <x:v>High</x:v>
      </x:c>
      <x:c r="M67" s="28" t="str">
        <x:v>The Compact states a discrete, durable mechanism that changes or materially strengthens sector rules, institutions, financing, planning, accountability, or service-delivery systems.</x:v>
      </x:c>
      <x:c r="N67" s="28" t="str">
        <x:v>Water for People</x:v>
      </x:c>
      <x:c r="O67" s="28" t="str">
        <x:v>S1; S3; S6</x:v>
      </x:c>
      <x:c r="P67" s="28" t="str">
        <x:v>Policy &amp; Strategic Frameworks</x:v>
      </x:c>
      <x:c r="Q67" s="28" t="str">
        <x:v>Climate-resilient WSS framework</x:v>
      </x:c>
      <x:c r="R67" s="28" t="str">
        <x:v>MISTI; MPWT; MRD</x:v>
      </x:c>
      <x:c r="S67" s="28" t="str"/>
      <x:c r="T67" s="28" t="str">
        <x:v>Pending human review</x:v>
      </x:c>
      <x:c r="U67" s="28" t="str"/>
      <x:c r="V67" s="28" t="str"/>
      <x:c r="W67" s="28" t="str">
        <x:v>Not an Aspiration</x:v>
      </x:c>
      <x:c r="X67" s="28" t="str">
        <x:v>Commitment=Yes; Actionable Mechanism=Yes; System Change=Yes; Not Merely Implementation=Yes; Distinct/Aggregated=Yes</x:v>
      </x:c>
    </x:row>
    <x:row r="68" ht="52" customHeight="1">
      <x:c r="A68" s="28" t="str">
        <x:v>CAM-064</x:v>
      </x:c>
      <x:c r="B68" s="28" t="str">
        <x:v>Cambodia</x:v>
      </x:c>
      <x:c r="C68" s="28" t="str">
        <x:v>PDF p. 8, roadmap narrative</x:v>
      </x:c>
      <x:c r="D68" s="28" t="str">
        <x:v>Roadmap narrative</x:v>
      </x:c>
      <x:c r="E68" s="28" t="str">
        <x:v>Create private-investment incentives</x:v>
      </x:c>
      <x:c r="F68" s="28" t="str">
        <x:v>Create incentives for private water-sector investment</x:v>
      </x:c>
      <x:c r="G68" s="28" t="str">
        <x:v>The Compact specifies priority locations but not the incentive, eligibility rules, or implementing mechanism.</x:v>
      </x:c>
      <x:c r="H68" s="28" t="str">
        <x:v>B — Potential Reform Action — Human Review</x:v>
      </x:c>
      <x:c r="I68" s="28" t="str">
        <x:v>Pending Human Review</x:v>
      </x:c>
      <x:c r="J68" s="28" t="str">
        <x:v>Reform Aspiration — Potential</x:v>
      </x:c>
      <x:c r="K68" s="28" t="str">
        <x:v>No</x:v>
      </x:c>
      <x:c r="L68" s="28" t="str">
        <x:v>Low</x:v>
      </x:c>
      <x:c r="M68" s="28" t="str">
        <x:v>The passage signals plausible system change, but the instrument, institutional design, scope, aggregation, or distinction from implementation is not sufficiently clear for high-confidence inclusion.</x:v>
      </x:c>
      <x:c r="N68" s="28" t="str">
        <x:v>Water for People</x:v>
      </x:c>
      <x:c r="O68" s="28" t="str">
        <x:v>S2</x:v>
      </x:c>
      <x:c r="P68" s="28" t="str">
        <x:v>Private Sector Participation &amp; Financing Enablers</x:v>
      </x:c>
      <x:c r="Q68" s="28" t="str">
        <x:v>Private-investment incentives</x:v>
      </x:c>
      <x:c r="R68" s="28" t="str">
        <x:v>RGC; MISTI</x:v>
      </x:c>
      <x:c r="S68" s="28" t="str"/>
      <x:c r="T68" s="28" t="str">
        <x:v>Pending human review</x:v>
      </x:c>
      <x:c r="U68" s="28" t="str"/>
      <x:c r="V68" s="28" t="str"/>
      <x:c r="W68" s="28" t="str">
        <x:v>Unlinked Reform Aspiration</x:v>
      </x:c>
      <x:c r="X68" s="28" t="str">
        <x:v>Commitment=Yes/Partial; Actionable Mechanism=Partial; System Change=Partial; Not Merely Implementation=Partial; Distinct/Aggregated=Partial</x:v>
      </x:c>
    </x:row>
    <x:row r="69" ht="52" customHeight="1">
      <x:c r="A69" s="28" t="str">
        <x:v>CAM-065</x:v>
      </x:c>
      <x:c r="B69" s="28" t="str">
        <x:v>Cambodia</x:v>
      </x:c>
      <x:c r="C69" s="28" t="str">
        <x:v>PDF p. 9, roadmap narrative</x:v>
      </x:c>
      <x:c r="D69" s="28" t="str">
        <x:v>Roadmap narrative</x:v>
      </x:c>
      <x:c r="E69" s="28" t="str">
        <x:v>Strengthen governance across five basins</x:v>
      </x:c>
      <x:c r="F69" s="28" t="str">
        <x:v>Strengthen river-basin governance across five priority basins</x:v>
      </x:c>
      <x:c r="G69" s="28" t="str">
        <x:v>A plausible reform aspiration that is made more concrete by the basin sub-decree and consolidation actions retained elsewhere.</x:v>
      </x:c>
      <x:c r="H69" s="28" t="str">
        <x:v>B — Potential Reform Action — Human Review</x:v>
      </x:c>
      <x:c r="I69" s="28" t="str">
        <x:v>Pending Human Review</x:v>
      </x:c>
      <x:c r="J69" s="28" t="str">
        <x:v>Reform Aspiration — Potential</x:v>
      </x:c>
      <x:c r="K69" s="28" t="str">
        <x:v>No</x:v>
      </x:c>
      <x:c r="L69" s="28" t="str">
        <x:v>Medium</x:v>
      </x:c>
      <x:c r="M69" s="28" t="str">
        <x:v>The passage signals plausible system change, but the instrument, institutional design, scope, aggregation, or distinction from implementation is not sufficiently clear for high-confidence inclusion.</x:v>
      </x:c>
      <x:c r="N69" s="28" t="str">
        <x:v>Water for Planet</x:v>
      </x:c>
      <x:c r="O69" s="28" t="str">
        <x:v>S7</x:v>
      </x:c>
      <x:c r="P69" s="28" t="str">
        <x:v>Water Resources &amp; Climate Governance</x:v>
      </x:c>
      <x:c r="Q69" s="28" t="str">
        <x:v>River-basin governance</x:v>
      </x:c>
      <x:c r="R69" s="28" t="str">
        <x:v>MOWRAM</x:v>
      </x:c>
      <x:c r="S69" s="28" t="str">
        <x:v>CAM-025</x:v>
      </x:c>
      <x:c r="T69" s="28" t="str">
        <x:v>Pending human review</x:v>
      </x:c>
      <x:c r="U69" s="28" t="str"/>
      <x:c r="V69" s="28" t="str"/>
      <x:c r="W69" s="28" t="str">
        <x:v>Aspiration Linked to Explicit Mechanism</x:v>
      </x:c>
      <x:c r="X69" s="28" t="str">
        <x:v>Commitment=Yes/Partial; Actionable Mechanism=Partial; System Change=Partial; Not Merely Implementation=Partial; Distinct/Aggregated=Partial</x:v>
      </x:c>
    </x:row>
    <x:row r="70" ht="52" customHeight="1">
      <x:c r="A70" s="28" t="str">
        <x:v>CAM-066</x:v>
      </x:c>
      <x:c r="B70" s="28" t="str">
        <x:v>Cambodia</x:v>
      </x:c>
      <x:c r="C70" s="28" t="str">
        <x:v>PDF p. 9, roadmap narrative</x:v>
      </x:c>
      <x:c r="D70" s="28" t="str">
        <x:v>Roadmap narrative</x:v>
      </x:c>
      <x:c r="E70" s="28" t="str">
        <x:v>Enhance water-governance financing</x:v>
      </x:c>
      <x:c r="F70" s="28" t="str">
        <x:v>Enhance financing for water governance</x:v>
      </x:c>
      <x:c r="G70" s="28" t="str">
        <x:v>The objective is reform-relevant, but no financing mechanism, revenue source, or allocation rule is specified.</x:v>
      </x:c>
      <x:c r="H70" s="28" t="str">
        <x:v>B — Potential Reform Action — Human Review</x:v>
      </x:c>
      <x:c r="I70" s="28" t="str">
        <x:v>Pending Human Review</x:v>
      </x:c>
      <x:c r="J70" s="28" t="str">
        <x:v>Reform Aspiration — Potential</x:v>
      </x:c>
      <x:c r="K70" s="28" t="str">
        <x:v>No</x:v>
      </x:c>
      <x:c r="L70" s="28" t="str">
        <x:v>Very Low</x:v>
      </x:c>
      <x:c r="M70" s="28" t="str">
        <x:v>The passage signals plausible system change, but the instrument, institutional design, scope, aggregation, or distinction from implementation is not sufficiently clear for high-confidence inclusion.</x:v>
      </x:c>
      <x:c r="N70" s="28" t="str">
        <x:v>Water for Planet</x:v>
      </x:c>
      <x:c r="O70" s="28" t="str">
        <x:v>S7</x:v>
      </x:c>
      <x:c r="P70" s="28" t="str">
        <x:v>Financial Sustainability &amp; Sector Financing</x:v>
      </x:c>
      <x:c r="Q70" s="28" t="str">
        <x:v>Water-governance financing</x:v>
      </x:c>
      <x:c r="R70" s="28" t="str">
        <x:v>MOWRAM</x:v>
      </x:c>
      <x:c r="S70" s="28" t="str"/>
      <x:c r="T70" s="28" t="str">
        <x:v>Pending human review</x:v>
      </x:c>
      <x:c r="U70" s="28" t="str"/>
      <x:c r="V70" s="28" t="str"/>
      <x:c r="W70" s="28" t="str">
        <x:v>Unlinked Reform Aspiration</x:v>
      </x:c>
      <x:c r="X70" s="28" t="str">
        <x:v>Commitment=Yes/Partial; Actionable Mechanism=Partial; System Change=Partial; Not Merely Implementation=Partial; Distinct/Aggregated=Partial</x:v>
      </x:c>
    </x:row>
    <x:row r="71" ht="52" customHeight="1">
      <x:c r="A71" s="28" t="str">
        <x:v>CAM-067</x:v>
      </x:c>
      <x:c r="B71" s="28" t="str">
        <x:v>Cambodia</x:v>
      </x:c>
      <x:c r="C71" s="28" t="str">
        <x:v>PDF p. 5, Table 1</x:v>
      </x:c>
      <x:c r="D71" s="28" t="str">
        <x:v>Target table</x:v>
      </x:c>
      <x:c r="E71" s="28" t="str">
        <x:v>100% safely managed water</x:v>
      </x:c>
      <x:c r="F71" s="28" t="str">
        <x:v>Reach universal safely managed water access</x:v>
      </x:c>
      <x:c r="G71" s="28" t="str">
        <x:v>Service-coverage outcome target.</x:v>
      </x:c>
      <x:c r="H71" s="28" t="str">
        <x:v>C — High-confidence Non-reform</x:v>
      </x:c>
      <x:c r="I71" s="28" t="str">
        <x:v>Excluded by LLM</x:v>
      </x:c>
      <x:c r="J71" s="28" t="str">
        <x:v>Outcome/Coverage Target</x:v>
      </x:c>
      <x:c r="K71" s="28" t="str">
        <x:v>No</x:v>
      </x:c>
      <x:c r="L71" s="28" t="str">
        <x:v>High</x:v>
      </x:c>
      <x:c r="M71" s="28" t="str">
        <x:v>This is a coverage, outcome, or production target without a discrete system-change mechanism.</x:v>
      </x:c>
      <x:c r="N71" s="28" t="str">
        <x:v>Water for People</x:v>
      </x:c>
      <x:c r="O71" s="28" t="str">
        <x:v>S1; S3</x:v>
      </x:c>
      <x:c r="P71" s="28" t="str">
        <x:v>WSS Service Delivery &amp; Utility Reform</x:v>
      </x:c>
      <x:c r="Q71" s="28" t="str">
        <x:v>Water-access target</x:v>
      </x:c>
      <x:c r="R71" s="28" t="str">
        <x:v>RGC</x:v>
      </x:c>
      <x:c r="S71" s="28" t="str"/>
      <x:c r="T71" s="28" t="str">
        <x:v>Pending human review</x:v>
      </x:c>
      <x:c r="U71" s="28" t="str"/>
      <x:c r="V71" s="28" t="str"/>
      <x:c r="W71" s="28" t="str">
        <x:v>Aspiration Excluded as General Ambition</x:v>
      </x:c>
      <x:c r="X71" s="28" t="str">
        <x:v>Commitment=Yes; Actionable Mechanism=No; System Change=No; Not Merely Implementation=No; Distinct/Aggregated=Yes</x:v>
      </x:c>
    </x:row>
    <x:row r="72" ht="52" customHeight="1">
      <x:c r="A72" s="28" t="str">
        <x:v>CAM-068</x:v>
      </x:c>
      <x:c r="B72" s="28" t="str">
        <x:v>Cambodia</x:v>
      </x:c>
      <x:c r="C72" s="28" t="str">
        <x:v>PDF p. 5, Table 1</x:v>
      </x:c>
      <x:c r="D72" s="28" t="str">
        <x:v>Target table</x:v>
      </x:c>
      <x:c r="E72" s="28" t="str">
        <x:v>60% safely managed sanitation</x:v>
      </x:c>
      <x:c r="F72" s="28" t="str">
        <x:v>Reach 60 percent safely managed sanitation</x:v>
      </x:c>
      <x:c r="G72" s="28" t="str">
        <x:v>Service-coverage outcome target.</x:v>
      </x:c>
      <x:c r="H72" s="28" t="str">
        <x:v>C — High-confidence Non-reform</x:v>
      </x:c>
      <x:c r="I72" s="28" t="str">
        <x:v>Excluded by LLM</x:v>
      </x:c>
      <x:c r="J72" s="28" t="str">
        <x:v>Outcome/Coverage Target</x:v>
      </x:c>
      <x:c r="K72" s="28" t="str">
        <x:v>No</x:v>
      </x:c>
      <x:c r="L72" s="28" t="str">
        <x:v>High</x:v>
      </x:c>
      <x:c r="M72" s="28" t="str">
        <x:v>This is a coverage, outcome, or production target without a discrete system-change mechanism.</x:v>
      </x:c>
      <x:c r="N72" s="28" t="str">
        <x:v>Water for People</x:v>
      </x:c>
      <x:c r="O72" s="28" t="str">
        <x:v>S1; S3</x:v>
      </x:c>
      <x:c r="P72" s="28" t="str">
        <x:v>WSS Service Delivery &amp; Utility Reform</x:v>
      </x:c>
      <x:c r="Q72" s="28" t="str">
        <x:v>Sanitation-access target</x:v>
      </x:c>
      <x:c r="R72" s="28" t="str">
        <x:v>RGC</x:v>
      </x:c>
      <x:c r="S72" s="28" t="str"/>
      <x:c r="T72" s="28" t="str">
        <x:v>Pending human review</x:v>
      </x:c>
      <x:c r="U72" s="28" t="str"/>
      <x:c r="V72" s="28" t="str"/>
      <x:c r="W72" s="28" t="str">
        <x:v>Aspiration Excluded as General Ambition</x:v>
      </x:c>
      <x:c r="X72" s="28" t="str">
        <x:v>Commitment=Yes; Actionable Mechanism=No; System Change=No; Not Merely Implementation=No; Distinct/Aggregated=Yes</x:v>
      </x:c>
    </x:row>
    <x:row r="73" ht="52" customHeight="1">
      <x:c r="A73" s="28" t="str">
        <x:v>CAM-069</x:v>
      </x:c>
      <x:c r="B73" s="28" t="str">
        <x:v>Cambodia</x:v>
      </x:c>
      <x:c r="C73" s="28" t="str">
        <x:v>PDF p. 5, Table 1</x:v>
      </x:c>
      <x:c r="D73" s="28" t="str">
        <x:v>Target table</x:v>
      </x:c>
      <x:c r="E73" s="28" t="str">
        <x:v>50% wastewater safely treated</x:v>
      </x:c>
      <x:c r="F73" s="28" t="str">
        <x:v>Safely treat half of municipal wastewater</x:v>
      </x:c>
      <x:c r="G73" s="28" t="str">
        <x:v>Treatment outcome target without a distinct governance mechanism.</x:v>
      </x:c>
      <x:c r="H73" s="28" t="str">
        <x:v>C — High-confidence Non-reform</x:v>
      </x:c>
      <x:c r="I73" s="28" t="str">
        <x:v>Excluded by LLM</x:v>
      </x:c>
      <x:c r="J73" s="28" t="str">
        <x:v>Outcome/Coverage Target</x:v>
      </x:c>
      <x:c r="K73" s="28" t="str">
        <x:v>No</x:v>
      </x:c>
      <x:c r="L73" s="28" t="str">
        <x:v>High</x:v>
      </x:c>
      <x:c r="M73" s="28" t="str">
        <x:v>This is a coverage, outcome, or production target without a discrete system-change mechanism.</x:v>
      </x:c>
      <x:c r="N73" s="28" t="str">
        <x:v>Water for People</x:v>
      </x:c>
      <x:c r="O73" s="28" t="str">
        <x:v>S1</x:v>
      </x:c>
      <x:c r="P73" s="28" t="str">
        <x:v>WSS Service Delivery &amp; Utility Reform</x:v>
      </x:c>
      <x:c r="Q73" s="28" t="str">
        <x:v>Wastewater-treatment target</x:v>
      </x:c>
      <x:c r="R73" s="28" t="str">
        <x:v>RGC</x:v>
      </x:c>
      <x:c r="S73" s="28" t="str"/>
      <x:c r="T73" s="28" t="str">
        <x:v>Pending human review</x:v>
      </x:c>
      <x:c r="U73" s="28" t="str"/>
      <x:c r="V73" s="28" t="str"/>
      <x:c r="W73" s="28" t="str">
        <x:v>Aspiration Excluded as General Ambition</x:v>
      </x:c>
      <x:c r="X73" s="28" t="str">
        <x:v>Commitment=Yes; Actionable Mechanism=No; System Change=No; Not Merely Implementation=No; Distinct/Aggregated=Yes</x:v>
      </x:c>
    </x:row>
    <x:row r="74" ht="52" customHeight="1">
      <x:c r="A74" s="28" t="str">
        <x:v>CAM-070</x:v>
      </x:c>
      <x:c r="B74" s="28" t="str">
        <x:v>Cambodia</x:v>
      </x:c>
      <x:c r="C74" s="28" t="str">
        <x:v>PDF p. 4, goals narrative</x:v>
      </x:c>
      <x:c r="D74" s="28" t="str">
        <x:v>Target narrative</x:v>
      </x:c>
      <x:c r="E74" s="28" t="str">
        <x:v>1.7 million hectares irrigated</x:v>
      </x:c>
      <x:c r="F74" s="28" t="str">
        <x:v>Expand irrigated agricultural land to 1.7 million hectares</x:v>
      </x:c>
      <x:c r="G74" s="28" t="str">
        <x:v>Physical coverage and production target.</x:v>
      </x:c>
      <x:c r="H74" s="28" t="str">
        <x:v>C — High-confidence Non-reform</x:v>
      </x:c>
      <x:c r="I74" s="28" t="str">
        <x:v>Excluded by LLM</x:v>
      </x:c>
      <x:c r="J74" s="28" t="str">
        <x:v>Outcome/Coverage Target</x:v>
      </x:c>
      <x:c r="K74" s="28" t="str">
        <x:v>No</x:v>
      </x:c>
      <x:c r="L74" s="28" t="str">
        <x:v>High</x:v>
      </x:c>
      <x:c r="M74" s="28" t="str">
        <x:v>This is a coverage, outcome, or production target without a discrete system-change mechanism.</x:v>
      </x:c>
      <x:c r="N74" s="28" t="str">
        <x:v>Water for Food</x:v>
      </x:c>
      <x:c r="O74" s="28" t="str">
        <x:v>S4; S5</x:v>
      </x:c>
      <x:c r="P74" s="28" t="str">
        <x:v>Agricultural Water &amp; Irrigation Governance</x:v>
      </x:c>
      <x:c r="Q74" s="28" t="str">
        <x:v>Irrigation-coverage target</x:v>
      </x:c>
      <x:c r="R74" s="28" t="str">
        <x:v>MOWRAM</x:v>
      </x:c>
      <x:c r="S74" s="28" t="str"/>
      <x:c r="T74" s="28" t="str">
        <x:v>Pending human review</x:v>
      </x:c>
      <x:c r="U74" s="28" t="str"/>
      <x:c r="V74" s="28" t="str"/>
      <x:c r="W74" s="28" t="str">
        <x:v>Aspiration Excluded as General Ambition</x:v>
      </x:c>
      <x:c r="X74" s="28" t="str">
        <x:v>Commitment=Yes; Actionable Mechanism=No; System Change=No; Not Merely Implementation=No; Distinct/Aggregated=Yes</x:v>
      </x:c>
    </x:row>
    <x:row r="75" ht="52" customHeight="1">
      <x:c r="A75" s="28" t="str">
        <x:v>CAM-071</x:v>
      </x:c>
      <x:c r="B75" s="28" t="str">
        <x:v>Cambodia</x:v>
      </x:c>
      <x:c r="C75" s="28" t="str">
        <x:v>PDF p. 4, goals narrative</x:v>
      </x:c>
      <x:c r="D75" s="28" t="str">
        <x:v>Target narrative</x:v>
      </x:c>
      <x:c r="E75" s="28" t="str">
        <x:v>Protect 450,000 hectares</x:v>
      </x:c>
      <x:c r="F75" s="28" t="str">
        <x:v>Protect agricultural land from flood and drought damage</x:v>
      </x:c>
      <x:c r="G75" s="28" t="str">
        <x:v>Outcome target; the separate flood strategy is retained as the reform mechanism.</x:v>
      </x:c>
      <x:c r="H75" s="28" t="str">
        <x:v>C — High-confidence Non-reform</x:v>
      </x:c>
      <x:c r="I75" s="28" t="str">
        <x:v>Excluded by LLM</x:v>
      </x:c>
      <x:c r="J75" s="28" t="str">
        <x:v>Outcome/Coverage Target</x:v>
      </x:c>
      <x:c r="K75" s="28" t="str">
        <x:v>No</x:v>
      </x:c>
      <x:c r="L75" s="28" t="str">
        <x:v>High</x:v>
      </x:c>
      <x:c r="M75" s="28" t="str">
        <x:v>This is a coverage, outcome, or production target without a discrete system-change mechanism.</x:v>
      </x:c>
      <x:c r="N75" s="28" t="str">
        <x:v>Water for Planet</x:v>
      </x:c>
      <x:c r="O75" s="28" t="str">
        <x:v>S6</x:v>
      </x:c>
      <x:c r="P75" s="28" t="str">
        <x:v>Water Resources &amp; Climate Governance</x:v>
      </x:c>
      <x:c r="Q75" s="28" t="str">
        <x:v>Flood-and-drought protection target</x:v>
      </x:c>
      <x:c r="R75" s="28" t="str">
        <x:v>RGC</x:v>
      </x:c>
      <x:c r="S75" s="28" t="str">
        <x:v>CAM-060</x:v>
      </x:c>
      <x:c r="T75" s="28" t="str">
        <x:v>Pending human review</x:v>
      </x:c>
      <x:c r="U75" s="28" t="str"/>
      <x:c r="V75" s="28" t="str"/>
      <x:c r="W75" s="28" t="str">
        <x:v>Aspiration Excluded as General Ambition</x:v>
      </x:c>
      <x:c r="X75" s="28" t="str">
        <x:v>Commitment=Yes; Actionable Mechanism=No; System Change=No; Not Merely Implementation=No; Distinct/Aggregated=Yes</x:v>
      </x:c>
    </x:row>
    <x:row r="76" ht="52" customHeight="1">
      <x:c r="A76" s="28" t="str">
        <x:v>CAM-072</x:v>
      </x:c>
      <x:c r="B76" s="28" t="str">
        <x:v>Cambodia</x:v>
      </x:c>
      <x:c r="C76" s="28" t="str">
        <x:v>PDF p. 5, Table 1</x:v>
      </x:c>
      <x:c r="D76" s="28" t="str">
        <x:v>Target table</x:v>
      </x:c>
      <x:c r="E76" s="28" t="str">
        <x:v>Hydromet station coverage targets</x:v>
      </x:c>
      <x:c r="F76" s="28" t="str">
        <x:v>Expand automated hydrological and weather stations</x:v>
      </x:c>
      <x:c r="G76" s="28" t="str">
        <x:v>Monitoring-infrastructure output target; governance and data-system reforms are retained separately.</x:v>
      </x:c>
      <x:c r="H76" s="28" t="str">
        <x:v>C — High-confidence Non-reform</x:v>
      </x:c>
      <x:c r="I76" s="28" t="str">
        <x:v>Excluded by LLM</x:v>
      </x:c>
      <x:c r="J76" s="28" t="str">
        <x:v>Outcome/Coverage Target</x:v>
      </x:c>
      <x:c r="K76" s="28" t="str">
        <x:v>No</x:v>
      </x:c>
      <x:c r="L76" s="28" t="str">
        <x:v>High</x:v>
      </x:c>
      <x:c r="M76" s="28" t="str">
        <x:v>This is a coverage, outcome, or production target without a discrete system-change mechanism.</x:v>
      </x:c>
      <x:c r="N76" s="28" t="str">
        <x:v>Water for Planet</x:v>
      </x:c>
      <x:c r="O76" s="28" t="str">
        <x:v>S6</x:v>
      </x:c>
      <x:c r="P76" s="28" t="str">
        <x:v>Data, Digitalization &amp; Sector Intelligence</x:v>
      </x:c>
      <x:c r="Q76" s="28" t="str">
        <x:v>Hydrometeorological network expansion</x:v>
      </x:c>
      <x:c r="R76" s="28" t="str">
        <x:v>MOWRAM</x:v>
      </x:c>
      <x:c r="S76" s="28" t="str">
        <x:v>CAM-023</x:v>
      </x:c>
      <x:c r="T76" s="28" t="str">
        <x:v>Pending human review</x:v>
      </x:c>
      <x:c r="U76" s="28" t="str"/>
      <x:c r="V76" s="28" t="str"/>
      <x:c r="W76" s="28" t="str">
        <x:v>Aspiration Excluded as General Ambition</x:v>
      </x:c>
      <x:c r="X76" s="28" t="str">
        <x:v>Commitment=Yes; Actionable Mechanism=No; System Change=No; Not Merely Implementation=No; Distinct/Aggregated=Yes</x:v>
      </x:c>
    </x:row>
    <x:row r="77" ht="52" customHeight="1">
      <x:c r="A77" s="28" t="str">
        <x:v>CAM-073</x:v>
      </x:c>
      <x:c r="B77" s="28" t="str">
        <x:v>Cambodia</x:v>
      </x:c>
      <x:c r="C77" s="28" t="str">
        <x:v>PDF pp. 8–9, roadmap narrative</x:v>
      </x:c>
      <x:c r="D77" s="28" t="str">
        <x:v>Roadmap narrative</x:v>
      </x:c>
      <x:c r="E77" s="28" t="str">
        <x:v>Expand clean-water networks</x:v>
      </x:c>
      <x:c r="F77" s="28" t="str">
        <x:v>Expand clean-water networks through city master plans</x:v>
      </x:c>
      <x:c r="G77" s="28" t="str">
        <x:v>Infrastructure expansion rather than a discrete system reform.</x:v>
      </x:c>
      <x:c r="H77" s="28" t="str">
        <x:v>C — High-confidence Non-reform</x:v>
      </x:c>
      <x:c r="I77" s="28" t="str">
        <x:v>Excluded by LLM</x:v>
      </x:c>
      <x:c r="J77" s="28" t="str">
        <x:v>Implementation/Investment Activity</x:v>
      </x:c>
      <x:c r="K77" s="28" t="str">
        <x:v>No</x:v>
      </x:c>
      <x:c r="L77" s="28" t="str">
        <x:v>High</x:v>
      </x:c>
      <x:c r="M77" s="28" t="str">
        <x:v>This is an investment, construction, operational, training, study, or implementation output rather than a discrete system-change commitment.</x:v>
      </x:c>
      <x:c r="N77" s="28" t="str">
        <x:v>Water for People</x:v>
      </x:c>
      <x:c r="O77" s="28" t="str">
        <x:v>S1</x:v>
      </x:c>
      <x:c r="P77" s="28" t="str">
        <x:v>WSS Service Delivery &amp; Utility Reform</x:v>
      </x:c>
      <x:c r="Q77" s="28" t="str">
        <x:v>Network expansion</x:v>
      </x:c>
      <x:c r="R77" s="28" t="str">
        <x:v>MISTI; cities</x:v>
      </x:c>
      <x:c r="S77" s="28" t="str"/>
      <x:c r="T77" s="28" t="str">
        <x:v>Pending human review</x:v>
      </x:c>
      <x:c r="U77" s="28" t="str"/>
      <x:c r="V77" s="28" t="str"/>
      <x:c r="W77" s="28" t="str">
        <x:v>Not an Aspiration</x:v>
      </x:c>
      <x:c r="X77" s="28" t="str">
        <x:v>Commitment=Yes; Actionable Mechanism=Partial; System Change=No; Not Merely Implementation=No; Distinct/Aggregated=Yes</x:v>
      </x:c>
    </x:row>
    <x:row r="78" ht="52" customHeight="1">
      <x:c r="A78" s="28" t="str">
        <x:v>CAM-074</x:v>
      </x:c>
      <x:c r="B78" s="28" t="str">
        <x:v>Cambodia</x:v>
      </x:c>
      <x:c r="C78" s="28" t="str">
        <x:v>PDF p. 9, roadmap narrative</x:v>
      </x:c>
      <x:c r="D78" s="28" t="str">
        <x:v>Roadmap narrative</x:v>
      </x:c>
      <x:c r="E78" s="28" t="str">
        <x:v>Rehabilitate and automate irrigation</x:v>
      </x:c>
      <x:c r="F78" s="28" t="str">
        <x:v>Rehabilitate, upgrade, and automate irrigation systems</x:v>
      </x:c>
      <x:c r="G78" s="28" t="str">
        <x:v>Asset rehabilitation and technology deployment.</x:v>
      </x:c>
      <x:c r="H78" s="28" t="str">
        <x:v>C — High-confidence Non-reform</x:v>
      </x:c>
      <x:c r="I78" s="28" t="str">
        <x:v>Excluded by LLM</x:v>
      </x:c>
      <x:c r="J78" s="28" t="str">
        <x:v>Implementation/Investment Activity</x:v>
      </x:c>
      <x:c r="K78" s="28" t="str">
        <x:v>No</x:v>
      </x:c>
      <x:c r="L78" s="28" t="str">
        <x:v>High</x:v>
      </x:c>
      <x:c r="M78" s="28" t="str">
        <x:v>This is an investment, construction, operational, training, study, or implementation output rather than a discrete system-change commitment.</x:v>
      </x:c>
      <x:c r="N78" s="28" t="str">
        <x:v>Water for Food</x:v>
      </x:c>
      <x:c r="O78" s="28" t="str">
        <x:v>S5</x:v>
      </x:c>
      <x:c r="P78" s="28" t="str">
        <x:v>Agricultural Water &amp; Irrigation Governance</x:v>
      </x:c>
      <x:c r="Q78" s="28" t="str">
        <x:v>Irrigation investment</x:v>
      </x:c>
      <x:c r="R78" s="28" t="str">
        <x:v>MOWRAM</x:v>
      </x:c>
      <x:c r="S78" s="28" t="str"/>
      <x:c r="T78" s="28" t="str">
        <x:v>Pending human review</x:v>
      </x:c>
      <x:c r="U78" s="28" t="str"/>
      <x:c r="V78" s="28" t="str"/>
      <x:c r="W78" s="28" t="str">
        <x:v>Not an Aspiration</x:v>
      </x:c>
      <x:c r="X78" s="28" t="str">
        <x:v>Commitment=Yes; Actionable Mechanism=Partial; System Change=No; Not Merely Implementation=No; Distinct/Aggregated=Yes</x:v>
      </x:c>
    </x:row>
    <x:row r="79" ht="52" customHeight="1">
      <x:c r="A79" s="28" t="str">
        <x:v>CAM-075</x:v>
      </x:c>
      <x:c r="B79" s="28" t="str">
        <x:v>Cambodia</x:v>
      </x:c>
      <x:c r="C79" s="28" t="str">
        <x:v>PDF p. 11, Table 3</x:v>
      </x:c>
      <x:c r="D79" s="28" t="str">
        <x:v>Activity roadmap</x:v>
      </x:c>
      <x:c r="E79" s="28" t="str">
        <x:v>Update national irrigation investment program</x:v>
      </x:c>
      <x:c r="F79" s="28" t="str">
        <x:v>Update the irrigation investment program</x:v>
      </x:c>
      <x:c r="G79" s="28" t="str">
        <x:v>Investment programming without a clear change to sector rules or governance.</x:v>
      </x:c>
      <x:c r="H79" s="28" t="str">
        <x:v>C — High-confidence Non-reform</x:v>
      </x:c>
      <x:c r="I79" s="28" t="str">
        <x:v>Excluded by LLM</x:v>
      </x:c>
      <x:c r="J79" s="28" t="str">
        <x:v>Investment Pipeline/Project Preparation</x:v>
      </x:c>
      <x:c r="K79" s="28" t="str">
        <x:v>No</x:v>
      </x:c>
      <x:c r="L79" s="28" t="str">
        <x:v>High</x:v>
      </x:c>
      <x:c r="M79" s="28" t="str">
        <x:v>This is an investment, construction, operational, training, study, or implementation output rather than a discrete system-change commitment.</x:v>
      </x:c>
      <x:c r="N79" s="28" t="str">
        <x:v>Water for Food</x:v>
      </x:c>
      <x:c r="O79" s="28" t="str">
        <x:v>S5</x:v>
      </x:c>
      <x:c r="P79" s="28" t="str">
        <x:v>Agricultural Water &amp; Irrigation Governance</x:v>
      </x:c>
      <x:c r="Q79" s="28" t="str">
        <x:v>Investment programming</x:v>
      </x:c>
      <x:c r="R79" s="28" t="str">
        <x:v>MOWRAM</x:v>
      </x:c>
      <x:c r="S79" s="28" t="str"/>
      <x:c r="T79" s="28" t="str">
        <x:v>Pending human review</x:v>
      </x:c>
      <x:c r="U79" s="28" t="str"/>
      <x:c r="V79" s="28" t="str"/>
      <x:c r="W79" s="28" t="str">
        <x:v>Not an Aspiration</x:v>
      </x:c>
      <x:c r="X79" s="28" t="str">
        <x:v>Commitment=Yes; Actionable Mechanism=Partial; System Change=No; Not Merely Implementation=No; Distinct/Aggregated=Yes</x:v>
      </x:c>
    </x:row>
    <x:row r="80" ht="52" customHeight="1">
      <x:c r="A80" s="28" t="str">
        <x:v>CAM-076</x:v>
      </x:c>
      <x:c r="B80" s="28" t="str">
        <x:v>Cambodia</x:v>
      </x:c>
      <x:c r="C80" s="28" t="str">
        <x:v>PDF p. 11, Table 3</x:v>
      </x:c>
      <x:c r="D80" s="28" t="str">
        <x:v>Activity roadmap</x:v>
      </x:c>
      <x:c r="E80" s="28" t="str">
        <x:v>Feasibility studies and engineering designs</x:v>
      </x:c>
      <x:c r="F80" s="28" t="str">
        <x:v>Prepare selected irrigation schemes for investment</x:v>
      </x:c>
      <x:c r="G80" s="28" t="str">
        <x:v>Project preparation and engineering design are expressly excluded.</x:v>
      </x:c>
      <x:c r="H80" s="28" t="str">
        <x:v>C — High-confidence Non-reform</x:v>
      </x:c>
      <x:c r="I80" s="28" t="str">
        <x:v>Excluded by LLM</x:v>
      </x:c>
      <x:c r="J80" s="28" t="str">
        <x:v>Investment Pipeline/Project Preparation</x:v>
      </x:c>
      <x:c r="K80" s="28" t="str">
        <x:v>No</x:v>
      </x:c>
      <x:c r="L80" s="28" t="str">
        <x:v>High</x:v>
      </x:c>
      <x:c r="M80" s="28" t="str">
        <x:v>This is an investment, construction, operational, training, study, or implementation output rather than a discrete system-change commitment.</x:v>
      </x:c>
      <x:c r="N80" s="28" t="str">
        <x:v>Water for Food</x:v>
      </x:c>
      <x:c r="O80" s="28" t="str">
        <x:v>S5</x:v>
      </x:c>
      <x:c r="P80" s="28" t="str">
        <x:v>Agricultural Water &amp; Irrigation Governance</x:v>
      </x:c>
      <x:c r="Q80" s="28" t="str">
        <x:v>Project preparation</x:v>
      </x:c>
      <x:c r="R80" s="28" t="str">
        <x:v>MOWRAM</x:v>
      </x:c>
      <x:c r="S80" s="28" t="str"/>
      <x:c r="T80" s="28" t="str">
        <x:v>Pending human review</x:v>
      </x:c>
      <x:c r="U80" s="28" t="str"/>
      <x:c r="V80" s="28" t="str"/>
      <x:c r="W80" s="28" t="str">
        <x:v>Not an Aspiration</x:v>
      </x:c>
      <x:c r="X80" s="28" t="str">
        <x:v>Commitment=Yes; Actionable Mechanism=Partial; System Change=No; Not Merely Implementation=No; Distinct/Aggregated=Yes</x:v>
      </x:c>
    </x:row>
    <x:row r="81" ht="52" customHeight="1">
      <x:c r="A81" s="28" t="str">
        <x:v>CAM-077</x:v>
      </x:c>
      <x:c r="B81" s="28" t="str">
        <x:v>Cambodia</x:v>
      </x:c>
      <x:c r="C81" s="28" t="str">
        <x:v>PDF p. 13, Table 3</x:v>
      </x:c>
      <x:c r="D81" s="28" t="str">
        <x:v>Activity roadmap</x:v>
      </x:c>
      <x:c r="E81" s="28" t="str">
        <x:v>Construct national data center</x:v>
      </x:c>
      <x:c r="F81" s="28" t="str">
        <x:v>Construct the national water-data center</x:v>
      </x:c>
      <x:c r="G81" s="28" t="str">
        <x:v>The building component is implementation under the retained information-system reform.</x:v>
      </x:c>
      <x:c r="H81" s="28" t="str">
        <x:v>C — High-confidence Non-reform</x:v>
      </x:c>
      <x:c r="I81" s="28" t="str">
        <x:v>Consolidated</x:v>
      </x:c>
      <x:c r="J81" s="28" t="str">
        <x:v>Consolidated/Covered by Broader Reform</x:v>
      </x:c>
      <x:c r="K81" s="28" t="str">
        <x:v>No</x:v>
      </x:c>
      <x:c r="L81" s="28" t="str">
        <x:v>High</x:v>
      </x:c>
      <x:c r="M81" s="28" t="str">
        <x:v>This passage repeats or operationalizes a broader candidate already retained; counting it separately would double count the same reform mechanism.</x:v>
      </x:c>
      <x:c r="N81" s="28" t="str">
        <x:v>Water for Planet</x:v>
      </x:c>
      <x:c r="O81" s="28" t="str">
        <x:v>S6; S7</x:v>
      </x:c>
      <x:c r="P81" s="28" t="str">
        <x:v>Data, Digitalization &amp; Sector Intelligence</x:v>
      </x:c>
      <x:c r="Q81" s="28" t="str">
        <x:v>Data-center construction</x:v>
      </x:c>
      <x:c r="R81" s="28" t="str">
        <x:v>MOWRAM</x:v>
      </x:c>
      <x:c r="S81" s="28" t="str">
        <x:v>CAM-053</x:v>
      </x:c>
      <x:c r="T81" s="28" t="str">
        <x:v>Pending human review</x:v>
      </x:c>
      <x:c r="U81" s="28" t="str"/>
      <x:c r="V81" s="28" t="str"/>
      <x:c r="W81" s="28" t="str">
        <x:v>Not an Aspiration</x:v>
      </x:c>
      <x:c r="X81" s="28" t="str">
        <x:v>Commitment=Yes; Actionable Mechanism=Yes; System Change=Yes; Not Merely Implementation=Yes; Distinct/Aggregated=No</x:v>
      </x:c>
    </x:row>
    <x:row r="82" ht="52" customHeight="1">
      <x:c r="A82" s="28" t="str">
        <x:v>CAM-078</x:v>
      </x:c>
      <x:c r="B82" s="28" t="str">
        <x:v>Cambodia</x:v>
      </x:c>
      <x:c r="C82" s="28" t="str">
        <x:v>PDF p. 12, Table 3</x:v>
      </x:c>
      <x:c r="D82" s="28" t="str">
        <x:v>Activity roadmap</x:v>
      </x:c>
      <x:c r="E82" s="28" t="str">
        <x:v>Deploy young professionals</x:v>
      </x:c>
      <x:c r="F82" s="28" t="str">
        <x:v>Deploy young professionals to provincial departments and FWUCs</x:v>
      </x:c>
      <x:c r="G82" s="28" t="str">
        <x:v>Deployment is implementation under the retained workforce-development program.</x:v>
      </x:c>
      <x:c r="H82" s="28" t="str">
        <x:v>C — High-confidence Non-reform</x:v>
      </x:c>
      <x:c r="I82" s="28" t="str">
        <x:v>Consolidated</x:v>
      </x:c>
      <x:c r="J82" s="28" t="str">
        <x:v>Consolidated/Covered by Broader Reform</x:v>
      </x:c>
      <x:c r="K82" s="28" t="str">
        <x:v>No</x:v>
      </x:c>
      <x:c r="L82" s="28" t="str">
        <x:v>High</x:v>
      </x:c>
      <x:c r="M82" s="28" t="str">
        <x:v>This passage repeats or operationalizes a broader candidate already retained; counting it separately would double count the same reform mechanism.</x:v>
      </x:c>
      <x:c r="N82" s="28" t="str">
        <x:v>Cross-cutting</x:v>
      </x:c>
      <x:c r="O82" s="28" t="str">
        <x:v>S4; S5; S6; S7</x:v>
      </x:c>
      <x:c r="P82" s="28" t="str">
        <x:v>Sector Governance &amp; Institutional Architecture</x:v>
      </x:c>
      <x:c r="Q82" s="28" t="str">
        <x:v>Professional deployment</x:v>
      </x:c>
      <x:c r="R82" s="28" t="str">
        <x:v>MOWRAM</x:v>
      </x:c>
      <x:c r="S82" s="28" t="str">
        <x:v>CAM-049</x:v>
      </x:c>
      <x:c r="T82" s="28" t="str">
        <x:v>Pending human review</x:v>
      </x:c>
      <x:c r="U82" s="28" t="str"/>
      <x:c r="V82" s="28" t="str"/>
      <x:c r="W82" s="28" t="str">
        <x:v>Not an Aspiration</x:v>
      </x:c>
      <x:c r="X82" s="28" t="str">
        <x:v>Commitment=Yes; Actionable Mechanism=Yes; System Change=Yes; Not Merely Implementation=Yes; Distinct/Aggregated=No</x:v>
      </x:c>
    </x:row>
    <x:row r="83" ht="52" customHeight="1">
      <x:c r="A83" s="28" t="str">
        <x:v>CAM-079</x:v>
      </x:c>
      <x:c r="B83" s="28" t="str">
        <x:v>Cambodia</x:v>
      </x:c>
      <x:c r="C83" s="28" t="str">
        <x:v>PDF pp. 14–22, Tables 4–5</x:v>
      </x:c>
      <x:c r="D83" s="28" t="str">
        <x:v>Investment tables</x:v>
      </x:c>
      <x:c r="E83" s="28" t="str">
        <x:v>Ongoing and pipeline investment projects</x:v>
      </x:c>
      <x:c r="F83" s="28" t="str">
        <x:v>Finance and construct compact investment projects</x:v>
      </x:c>
      <x:c r="G83" s="28" t="str">
        <x:v>The tables list projects, financiers, costs, and infrastructure outputs rather than additional reform commitments.</x:v>
      </x:c>
      <x:c r="H83" s="28" t="str">
        <x:v>C — High-confidence Non-reform</x:v>
      </x:c>
      <x:c r="I83" s="28" t="str">
        <x:v>Excluded by LLM</x:v>
      </x:c>
      <x:c r="J83" s="28" t="str">
        <x:v>Investment Pipeline/Project Preparation</x:v>
      </x:c>
      <x:c r="K83" s="28" t="str">
        <x:v>No</x:v>
      </x:c>
      <x:c r="L83" s="28" t="str">
        <x:v>High</x:v>
      </x:c>
      <x:c r="M83" s="28" t="str">
        <x:v>This is an investment, construction, operational, training, study, or implementation output rather than a discrete system-change commitment.</x:v>
      </x:c>
      <x:c r="N83" s="28" t="str">
        <x:v>Cross-cutting</x:v>
      </x:c>
      <x:c r="O83" s="28" t="str">
        <x:v>S1; S2; S3; S4; S5; S6; S7</x:v>
      </x:c>
      <x:c r="P83" s="28" t="str">
        <x:v>Private Sector Participation &amp; Financing Enablers</x:v>
      </x:c>
      <x:c r="Q83" s="28" t="str">
        <x:v>Investment portfolio</x:v>
      </x:c>
      <x:c r="R83" s="28" t="str">
        <x:v>RGC; development partners</x:v>
      </x:c>
      <x:c r="S83" s="28" t="str"/>
      <x:c r="T83" s="28" t="str">
        <x:v>Pending human review</x:v>
      </x:c>
      <x:c r="U83" s="28" t="str"/>
      <x:c r="V83" s="28" t="str"/>
      <x:c r="W83" s="28" t="str">
        <x:v>Not an Aspiration</x:v>
      </x:c>
      <x:c r="X83" s="28" t="str">
        <x:v>Commitment=Yes; Actionable Mechanism=Partial; System Change=No; Not Merely Implementation=No; Distinct/Aggregated=Yes</x:v>
      </x:c>
    </x:row>
    <x:row r="84" ht="52" customHeight="1">
      <x:c r="A84" s="28" t="str">
        <x:v>JAM-001</x:v>
      </x:c>
      <x:c r="B84" s="28" t="str">
        <x:v>Jamaica</x:v>
      </x:c>
      <x:c r="C84" s="28" t="str">
        <x:v>PDF p. 3, Section 2.2</x:v>
      </x:c>
      <x:c r="D84" s="28" t="str">
        <x:v>Target narrative</x:v>
      </x:c>
      <x:c r="E84" s="28" t="str">
        <x:v>Establish Water Resources Advisory Committee</x:v>
      </x:c>
      <x:c r="F84" s="28" t="str">
        <x:v>Establish the Water Resources Advisory Committee</x:v>
      </x:c>
      <x:c r="G84" s="28" t="str">
        <x:v>Create a cross-sector body responsible for policy coordination to achieve IWRM goals.</x:v>
      </x:c>
      <x:c r="H84" s="28" t="str">
        <x:v>A — High-confidence Reform Action</x:v>
      </x:c>
      <x:c r="I84" s="28" t="str">
        <x:v>Provisionally Included</x:v>
      </x:c>
      <x:c r="J84" s="28" t="str">
        <x:v>Target-form Reform Action</x:v>
      </x:c>
      <x:c r="K84" s="28" t="str">
        <x:v>No</x:v>
      </x:c>
      <x:c r="L84" s="28" t="str">
        <x:v>High</x:v>
      </x:c>
      <x:c r="M84" s="28" t="str">
        <x:v>The Compact states a discrete, durable mechanism that changes or materially strengthens sector rules, institutions, financing, planning, accountability, or service-delivery systems.</x:v>
      </x:c>
      <x:c r="N84" s="28" t="str">
        <x:v>Water for Planet</x:v>
      </x:c>
      <x:c r="O84" s="28" t="str">
        <x:v>S7</x:v>
      </x:c>
      <x:c r="P84" s="28" t="str">
        <x:v>Sector Governance &amp; Institutional Architecture</x:v>
      </x:c>
      <x:c r="Q84" s="28" t="str">
        <x:v>IWRM coordination body</x:v>
      </x:c>
      <x:c r="R84" s="28" t="str">
        <x:v>MWECC; WRA</x:v>
      </x:c>
      <x:c r="S84" s="28" t="str"/>
      <x:c r="T84" s="28" t="str">
        <x:v>Pending human review</x:v>
      </x:c>
      <x:c r="U84" s="28" t="str"/>
      <x:c r="V84" s="28" t="str"/>
      <x:c r="W84" s="28" t="str">
        <x:v>Not an Aspiration</x:v>
      </x:c>
      <x:c r="X84" s="28" t="str">
        <x:v>Commitment=Yes; Actionable Mechanism=Yes; System Change=Yes; Not Merely Implementation=Yes; Distinct/Aggregated=Yes</x:v>
      </x:c>
    </x:row>
    <x:row r="85" ht="52" customHeight="1">
      <x:c r="A85" s="28" t="str">
        <x:v>JAM-002</x:v>
      </x:c>
      <x:c r="B85" s="28" t="str">
        <x:v>Jamaica</x:v>
      </x:c>
      <x:c r="C85" s="28" t="str">
        <x:v>PDF p. 4, Section 2.2</x:v>
      </x:c>
      <x:c r="D85" s="28" t="str">
        <x:v>Target narrative</x:v>
      </x:c>
      <x:c r="E85" s="28" t="str">
        <x:v>Automated hydrological data systems</x:v>
      </x:c>
      <x:c r="F85" s="28" t="str">
        <x:v>Transition to automated real-time hydrological data systems</x:v>
      </x:c>
      <x:c r="G85" s="28" t="str">
        <x:v>Replace remote/manual collection with an enduring automated monitoring architecture using radar gauges and real-time systems.</x:v>
      </x:c>
      <x:c r="H85" s="28" t="str">
        <x:v>A — High-confidence Reform Action</x:v>
      </x:c>
      <x:c r="I85" s="28" t="str">
        <x:v>Provisionally Included</x:v>
      </x:c>
      <x:c r="J85" s="28" t="str">
        <x:v>Target-form Reform Action</x:v>
      </x:c>
      <x:c r="K85" s="28" t="str">
        <x:v>No</x:v>
      </x:c>
      <x:c r="L85" s="28" t="str">
        <x:v>High</x:v>
      </x:c>
      <x:c r="M85" s="28" t="str">
        <x:v>The Compact states a discrete, durable mechanism that changes or materially strengthens sector rules, institutions, financing, planning, accountability, or service-delivery systems.</x:v>
      </x:c>
      <x:c r="N85" s="28" t="str">
        <x:v>Water for Planet</x:v>
      </x:c>
      <x:c r="O85" s="28" t="str">
        <x:v>S6; S7</x:v>
      </x:c>
      <x:c r="P85" s="28" t="str">
        <x:v>Data, Digitalization &amp; Sector Intelligence</x:v>
      </x:c>
      <x:c r="Q85" s="28" t="str">
        <x:v>Hydrological data automation</x:v>
      </x:c>
      <x:c r="R85" s="28" t="str">
        <x:v>WRA</x:v>
      </x:c>
      <x:c r="S85" s="28" t="str"/>
      <x:c r="T85" s="28" t="str">
        <x:v>Pending human review</x:v>
      </x:c>
      <x:c r="U85" s="28" t="str"/>
      <x:c r="V85" s="28" t="str"/>
      <x:c r="W85" s="28" t="str">
        <x:v>Not an Aspiration</x:v>
      </x:c>
      <x:c r="X85" s="28" t="str">
        <x:v>Commitment=Yes; Actionable Mechanism=Yes; System Change=Yes; Not Merely Implementation=Yes; Distinct/Aggregated=Yes</x:v>
      </x:c>
    </x:row>
    <x:row r="86" ht="52" customHeight="1">
      <x:c r="A86" s="28" t="str">
        <x:v>JAM-003</x:v>
      </x:c>
      <x:c r="B86" s="28" t="str">
        <x:v>Jamaica</x:v>
      </x:c>
      <x:c r="C86" s="28" t="str">
        <x:v>PDF p. 4, Section 2.2</x:v>
      </x:c>
      <x:c r="D86" s="28" t="str">
        <x:v>Target narrative</x:v>
      </x:c>
      <x:c r="E86" s="28" t="str">
        <x:v>WRA Water Quality Analysis Laboratory</x:v>
      </x:c>
      <x:c r="F86" s="28" t="str">
        <x:v>Establish and operate a WRA water-quality laboratory and collection network</x:v>
      </x:c>
      <x:c r="G86" s="28" t="str">
        <x:v>Create a permanent institutional capability for water-quality analysis and monitoring by 2030.</x:v>
      </x:c>
      <x:c r="H86" s="28" t="str">
        <x:v>A — High-confidence Reform Action</x:v>
      </x:c>
      <x:c r="I86" s="28" t="str">
        <x:v>Provisionally Included</x:v>
      </x:c>
      <x:c r="J86" s="28" t="str">
        <x:v>Target-form Reform Action</x:v>
      </x:c>
      <x:c r="K86" s="28" t="str">
        <x:v>No</x:v>
      </x:c>
      <x:c r="L86" s="28" t="str">
        <x:v>High</x:v>
      </x:c>
      <x:c r="M86" s="28" t="str">
        <x:v>The Compact states a discrete, durable mechanism that changes or materially strengthens sector rules, institutions, financing, planning, accountability, or service-delivery systems.</x:v>
      </x:c>
      <x:c r="N86" s="28" t="str">
        <x:v>Water for Planet</x:v>
      </x:c>
      <x:c r="O86" s="28" t="str">
        <x:v>S7</x:v>
      </x:c>
      <x:c r="P86" s="28" t="str">
        <x:v>Data, Digitalization &amp; Sector Intelligence</x:v>
      </x:c>
      <x:c r="Q86" s="28" t="str">
        <x:v>Water-quality monitoring institution</x:v>
      </x:c>
      <x:c r="R86" s="28" t="str">
        <x:v>WRA</x:v>
      </x:c>
      <x:c r="S86" s="28" t="str"/>
      <x:c r="T86" s="28" t="str">
        <x:v>Pending human review</x:v>
      </x:c>
      <x:c r="U86" s="28" t="str"/>
      <x:c r="V86" s="28" t="str"/>
      <x:c r="W86" s="28" t="str">
        <x:v>Not an Aspiration</x:v>
      </x:c>
      <x:c r="X86" s="28" t="str">
        <x:v>Commitment=Yes; Actionable Mechanism=Yes; System Change=Yes; Not Merely Implementation=Yes; Distinct/Aggregated=Yes</x:v>
      </x:c>
    </x:row>
    <x:row r="87" ht="52" customHeight="1">
      <x:c r="A87" s="28" t="str">
        <x:v>JAM-004</x:v>
      </x:c>
      <x:c r="B87" s="28" t="str">
        <x:v>Jamaica</x:v>
      </x:c>
      <x:c r="C87" s="28" t="str">
        <x:v>PDF p. 4, Section 2.2</x:v>
      </x:c>
      <x:c r="D87" s="28" t="str">
        <x:v>Target narrative</x:v>
      </x:c>
      <x:c r="E87" s="28" t="str">
        <x:v>Integrate climate adaptation into IWRM</x:v>
      </x:c>
      <x:c r="F87" s="28" t="str">
        <x:v>Mainstream climate adaptation across IWRM objectives</x:v>
      </x:c>
      <x:c r="G87" s="28" t="str">
        <x:v>Institutionalize climate-impact forecasting in water planning and infrastructure-design decisions.</x:v>
      </x:c>
      <x:c r="H87" s="28" t="str">
        <x:v>A — High-confidence Reform Action</x:v>
      </x:c>
      <x:c r="I87" s="28" t="str">
        <x:v>Provisionally Included</x:v>
      </x:c>
      <x:c r="J87" s="28" t="str">
        <x:v>Target-form Reform Action</x:v>
      </x:c>
      <x:c r="K87" s="28" t="str">
        <x:v>No</x:v>
      </x:c>
      <x:c r="L87" s="28" t="str">
        <x:v>High</x:v>
      </x:c>
      <x:c r="M87" s="28" t="str">
        <x:v>The Compact states a discrete, durable mechanism that changes or materially strengthens sector rules, institutions, financing, planning, accountability, or service-delivery systems.</x:v>
      </x:c>
      <x:c r="N87" s="28" t="str">
        <x:v>Water for Planet</x:v>
      </x:c>
      <x:c r="O87" s="28" t="str">
        <x:v>S6; S7</x:v>
      </x:c>
      <x:c r="P87" s="28" t="str">
        <x:v>Water Resources &amp; Climate Governance</x:v>
      </x:c>
      <x:c r="Q87" s="28" t="str">
        <x:v>Climate mainstreaming in IWRM</x:v>
      </x:c>
      <x:c r="R87" s="28" t="str">
        <x:v>WRA; MWECC</x:v>
      </x:c>
      <x:c r="S87" s="28" t="str"/>
      <x:c r="T87" s="28" t="str">
        <x:v>Pending human review</x:v>
      </x:c>
      <x:c r="U87" s="28" t="str"/>
      <x:c r="V87" s="28" t="str"/>
      <x:c r="W87" s="28" t="str">
        <x:v>Not an Aspiration</x:v>
      </x:c>
      <x:c r="X87" s="28" t="str">
        <x:v>Commitment=Yes; Actionable Mechanism=Yes; System Change=Yes; Not Merely Implementation=Yes; Distinct/Aggregated=Yes</x:v>
      </x:c>
    </x:row>
    <x:row r="88" ht="52" customHeight="1">
      <x:c r="A88" s="28" t="str">
        <x:v>JAM-005</x:v>
      </x:c>
      <x:c r="B88" s="28" t="str">
        <x:v>Jamaica</x:v>
      </x:c>
      <x:c r="C88" s="28" t="str">
        <x:v>PDF p. 4, Section 2.2</x:v>
      </x:c>
      <x:c r="D88" s="28" t="str">
        <x:v>Target narrative</x:v>
      </x:c>
      <x:c r="E88" s="28" t="str">
        <x:v>Protect 26 Watershed Management Units</x:v>
      </x:c>
      <x:c r="F88" s="28" t="str">
        <x:v>Establish protective measures for all 26 Watershed Management Units</x:v>
      </x:c>
      <x:c r="G88" s="28" t="str">
        <x:v>The commitment is reform-like but does not specify the legal, institutional, financing, or planning mechanism.</x:v>
      </x:c>
      <x:c r="H88" s="28" t="str">
        <x:v>B — Potential Reform Action — Human Review</x:v>
      </x:c>
      <x:c r="I88" s="28" t="str">
        <x:v>Pending Human Review</x:v>
      </x:c>
      <x:c r="J88" s="28" t="str">
        <x:v>Reform Aspiration — Potential</x:v>
      </x:c>
      <x:c r="K88" s="28" t="str">
        <x:v>No</x:v>
      </x:c>
      <x:c r="L88" s="28" t="str">
        <x:v>Very Low</x:v>
      </x:c>
      <x:c r="M88" s="28" t="str">
        <x:v>The passage signals plausible system change, but the instrument, institutional design, scope, aggregation, or distinction from implementation is not sufficiently clear for high-confidence inclusion.</x:v>
      </x:c>
      <x:c r="N88" s="28" t="str">
        <x:v>Water for Planet</x:v>
      </x:c>
      <x:c r="O88" s="28" t="str">
        <x:v>S7</x:v>
      </x:c>
      <x:c r="P88" s="28" t="str">
        <x:v>Water Resources &amp; Climate Governance</x:v>
      </x:c>
      <x:c r="Q88" s="28" t="str">
        <x:v>Watershed protection governance</x:v>
      </x:c>
      <x:c r="R88" s="28" t="str">
        <x:v>WRA; NEPA; MWECC</x:v>
      </x:c>
      <x:c r="S88" s="28" t="str"/>
      <x:c r="T88" s="28" t="str">
        <x:v>Pending human review</x:v>
      </x:c>
      <x:c r="U88" s="28" t="str"/>
      <x:c r="V88" s="28" t="str"/>
      <x:c r="W88" s="28" t="str">
        <x:v>Unlinked Reform Aspiration</x:v>
      </x:c>
      <x:c r="X88" s="28" t="str">
        <x:v>Commitment=Yes/Partial; Actionable Mechanism=Partial; System Change=Partial; Not Merely Implementation=Partial; Distinct/Aggregated=Partial</x:v>
      </x:c>
    </x:row>
    <x:row r="89" ht="52" customHeight="1">
      <x:c r="A89" s="28" t="str">
        <x:v>JAM-006</x:v>
      </x:c>
      <x:c r="B89" s="28" t="str">
        <x:v>Jamaica</x:v>
      </x:c>
      <x:c r="C89" s="28" t="str">
        <x:v>PDF p. 5, Section 2.3</x:v>
      </x:c>
      <x:c r="D89" s="28" t="str">
        <x:v>Target narrative</x:v>
      </x:c>
      <x:c r="E89" s="28" t="str">
        <x:v>Strengthen septage management</x:v>
      </x:c>
      <x:c r="F89" s="28" t="str">
        <x:v>Strengthen septage management</x:v>
      </x:c>
      <x:c r="G89" s="28" t="str">
        <x:v>A system-relevant direction, but the passage does not identify the regulatory, service-delivery, or financing mechanism.</x:v>
      </x:c>
      <x:c r="H89" s="28" t="str">
        <x:v>B — Potential Reform Action — Human Review</x:v>
      </x:c>
      <x:c r="I89" s="28" t="str">
        <x:v>Pending Human Review</x:v>
      </x:c>
      <x:c r="J89" s="28" t="str">
        <x:v>Reform Aspiration — Potential</x:v>
      </x:c>
      <x:c r="K89" s="28" t="str">
        <x:v>No</x:v>
      </x:c>
      <x:c r="L89" s="28" t="str">
        <x:v>Very Low</x:v>
      </x:c>
      <x:c r="M89" s="28" t="str">
        <x:v>The passage signals plausible system change, but the instrument, institutional design, scope, aggregation, or distinction from implementation is not sufficiently clear for high-confidence inclusion.</x:v>
      </x:c>
      <x:c r="N89" s="28" t="str">
        <x:v>Water for People</x:v>
      </x:c>
      <x:c r="O89" s="28" t="str">
        <x:v>S1</x:v>
      </x:c>
      <x:c r="P89" s="28" t="str">
        <x:v>WSS Service Delivery &amp; Utility Reform</x:v>
      </x:c>
      <x:c r="Q89" s="28" t="str">
        <x:v>Septage management</x:v>
      </x:c>
      <x:c r="R89" s="28" t="str">
        <x:v>MWECC; local authorities; NWC</x:v>
      </x:c>
      <x:c r="S89" s="28" t="str"/>
      <x:c r="T89" s="28" t="str">
        <x:v>Pending human review</x:v>
      </x:c>
      <x:c r="U89" s="28" t="str"/>
      <x:c r="V89" s="28" t="str"/>
      <x:c r="W89" s="28" t="str">
        <x:v>Unlinked Reform Aspiration</x:v>
      </x:c>
      <x:c r="X89" s="28" t="str">
        <x:v>Commitment=Yes/Partial; Actionable Mechanism=Partial; System Change=Partial; Not Merely Implementation=Partial; Distinct/Aggregated=Partial</x:v>
      </x:c>
    </x:row>
    <x:row r="90" ht="52" customHeight="1">
      <x:c r="A90" s="28" t="str">
        <x:v>JAM-007</x:v>
      </x:c>
      <x:c r="B90" s="28" t="str">
        <x:v>Jamaica</x:v>
      </x:c>
      <x:c r="C90" s="28" t="str">
        <x:v>PDF p. 6, Section 2.4</x:v>
      </x:c>
      <x:c r="D90" s="28" t="str">
        <x:v>Target narrative</x:v>
      </x:c>
      <x:c r="E90" s="28" t="str">
        <x:v>Explore cost-recovery irrigation tariffs</x:v>
      </x:c>
      <x:c r="F90" s="28" t="str">
        <x:v>Develop cost-recovery tariffs for irrigation services</x:v>
      </x:c>
      <x:c r="G90" s="28" t="str">
        <x:v>The intended financing reform is clear, but the Compact commits only to further exploration and does not specify a tariff methodology or decision.</x:v>
      </x:c>
      <x:c r="H90" s="28" t="str">
        <x:v>B — Potential Reform Action — Human Review</x:v>
      </x:c>
      <x:c r="I90" s="28" t="str">
        <x:v>Pending Human Review</x:v>
      </x:c>
      <x:c r="J90" s="28" t="str">
        <x:v>Reform Aspiration — Potential</x:v>
      </x:c>
      <x:c r="K90" s="28" t="str">
        <x:v>No</x:v>
      </x:c>
      <x:c r="L90" s="28" t="str">
        <x:v>Low</x:v>
      </x:c>
      <x:c r="M90" s="28" t="str">
        <x:v>The passage signals plausible system change, but the instrument, institutional design, scope, aggregation, or distinction from implementation is not sufficiently clear for high-confidence inclusion.</x:v>
      </x:c>
      <x:c r="N90" s="28" t="str">
        <x:v>Water for Food</x:v>
      </x:c>
      <x:c r="O90" s="28" t="str">
        <x:v>S5</x:v>
      </x:c>
      <x:c r="P90" s="28" t="str">
        <x:v>Financial Sustainability &amp; Sector Financing</x:v>
      </x:c>
      <x:c r="Q90" s="28" t="str">
        <x:v>Irrigation tariff reform</x:v>
      </x:c>
      <x:c r="R90" s="28" t="str">
        <x:v>NIC; OUR; MWECC</x:v>
      </x:c>
      <x:c r="S90" s="28" t="str"/>
      <x:c r="T90" s="28" t="str">
        <x:v>Pending human review</x:v>
      </x:c>
      <x:c r="U90" s="28" t="str"/>
      <x:c r="V90" s="28" t="str"/>
      <x:c r="W90" s="28" t="str">
        <x:v>Unlinked Reform Aspiration</x:v>
      </x:c>
      <x:c r="X90" s="28" t="str">
        <x:v>Commitment=Yes/Partial; Actionable Mechanism=Partial; System Change=Partial; Not Merely Implementation=Partial; Distinct/Aggregated=Partial</x:v>
      </x:c>
    </x:row>
    <x:row r="91" ht="52" customHeight="1">
      <x:c r="A91" s="28" t="str">
        <x:v>JAM-008</x:v>
      </x:c>
      <x:c r="B91" s="28" t="str">
        <x:v>Jamaica</x:v>
      </x:c>
      <x:c r="C91" s="28" t="str">
        <x:v>PDF p. 6, Section 3.1</x:v>
      </x:c>
      <x:c r="D91" s="28" t="str">
        <x:v>Infrastructure roadmap</x:v>
      </x:c>
      <x:c r="E91" s="28" t="str">
        <x:v>NRW performance-based contracts</x:v>
      </x:c>
      <x:c r="F91" s="28" t="str">
        <x:v>Use performance-based contracts for NRW reduction</x:v>
      </x:c>
      <x:c r="G91" s="28" t="str">
        <x:v>Institutionalize a service-delivery model that links contractor compensation to verified water-loss reductions.</x:v>
      </x:c>
      <x:c r="H91" s="28" t="str">
        <x:v>A — High-confidence Reform Action</x:v>
      </x:c>
      <x:c r="I91" s="28" t="str">
        <x:v>Provisionally Included</x:v>
      </x:c>
      <x:c r="J91" s="28" t="str">
        <x:v>Core Reform Action</x:v>
      </x:c>
      <x:c r="K91" s="28" t="str">
        <x:v>No</x:v>
      </x:c>
      <x:c r="L91" s="28" t="str">
        <x:v>High</x:v>
      </x:c>
      <x:c r="M91" s="28" t="str">
        <x:v>The Compact states a discrete, durable mechanism that changes or materially strengthens sector rules, institutions, financing, planning, accountability, or service-delivery systems.</x:v>
      </x:c>
      <x:c r="N91" s="28" t="str">
        <x:v>Water for People</x:v>
      </x:c>
      <x:c r="O91" s="28" t="str">
        <x:v>S1; S2</x:v>
      </x:c>
      <x:c r="P91" s="28" t="str">
        <x:v>WSS Service Delivery &amp; Utility Reform</x:v>
      </x:c>
      <x:c r="Q91" s="28" t="str">
        <x:v>Performance-based NRW contracting</x:v>
      </x:c>
      <x:c r="R91" s="28" t="str">
        <x:v>NWC; private operators</x:v>
      </x:c>
      <x:c r="S91" s="28" t="str"/>
      <x:c r="T91" s="28" t="str">
        <x:v>Pending human review</x:v>
      </x:c>
      <x:c r="U91" s="28" t="str"/>
      <x:c r="V91" s="28" t="str"/>
      <x:c r="W91" s="28" t="str">
        <x:v>Not an Aspiration</x:v>
      </x:c>
      <x:c r="X91" s="28" t="str">
        <x:v>Commitment=Yes; Actionable Mechanism=Yes; System Change=Yes; Not Merely Implementation=Yes; Distinct/Aggregated=Yes</x:v>
      </x:c>
    </x:row>
    <x:row r="92" ht="52" customHeight="1">
      <x:c r="A92" s="28" t="str">
        <x:v>JAM-009</x:v>
      </x:c>
      <x:c r="B92" s="28" t="str">
        <x:v>Jamaica</x:v>
      </x:c>
      <x:c r="C92" s="28" t="str">
        <x:v>PDF p. 6, Section 3.1</x:v>
      </x:c>
      <x:c r="D92" s="28" t="str">
        <x:v>Infrastructure roadmap</x:v>
      </x:c>
      <x:c r="E92" s="28" t="str">
        <x:v>Institutionalize world-class NRW practices</x:v>
      </x:c>
      <x:c r="F92" s="28" t="str">
        <x:v>Institutionalize NRW management practices in NWC operations</x:v>
      </x:c>
      <x:c r="G92" s="28" t="str">
        <x:v>Embed durable operational procedures and staff knowledge transfer within the utility.</x:v>
      </x:c>
      <x:c r="H92" s="28" t="str">
        <x:v>A — High-confidence Reform Action</x:v>
      </x:c>
      <x:c r="I92" s="28" t="str">
        <x:v>Provisionally Included</x:v>
      </x:c>
      <x:c r="J92" s="28" t="str">
        <x:v>Core Reform Action</x:v>
      </x:c>
      <x:c r="K92" s="28" t="str">
        <x:v>No</x:v>
      </x:c>
      <x:c r="L92" s="28" t="str">
        <x:v>High</x:v>
      </x:c>
      <x:c r="M92" s="28" t="str">
        <x:v>The Compact states a discrete, durable mechanism that changes or materially strengthens sector rules, institutions, financing, planning, accountability, or service-delivery systems.</x:v>
      </x:c>
      <x:c r="N92" s="28" t="str">
        <x:v>Water for People</x:v>
      </x:c>
      <x:c r="O92" s="28" t="str">
        <x:v>S1</x:v>
      </x:c>
      <x:c r="P92" s="28" t="str">
        <x:v>WSS Service Delivery &amp; Utility Reform</x:v>
      </x:c>
      <x:c r="Q92" s="28" t="str">
        <x:v>Utility NRW management system</x:v>
      </x:c>
      <x:c r="R92" s="28" t="str">
        <x:v>NWC</x:v>
      </x:c>
      <x:c r="S92" s="28" t="str">
        <x:v>JAM-008</x:v>
      </x:c>
      <x:c r="T92" s="28" t="str">
        <x:v>Pending human review</x:v>
      </x:c>
      <x:c r="U92" s="28" t="str"/>
      <x:c r="V92" s="28" t="str"/>
      <x:c r="W92" s="28" t="str">
        <x:v>Not an Aspiration</x:v>
      </x:c>
      <x:c r="X92" s="28" t="str">
        <x:v>Commitment=Yes; Actionable Mechanism=Yes; System Change=Yes; Not Merely Implementation=Yes; Distinct/Aggregated=Yes</x:v>
      </x:c>
    </x:row>
    <x:row r="93" ht="52" customHeight="1">
      <x:c r="A93" s="28" t="str">
        <x:v>JAM-010</x:v>
      </x:c>
      <x:c r="B93" s="28" t="str">
        <x:v>Jamaica</x:v>
      </x:c>
      <x:c r="C93" s="28" t="str">
        <x:v>PDF p. 7, Section 3.2</x:v>
      </x:c>
      <x:c r="D93" s="28" t="str">
        <x:v>Institutional reform section</x:v>
      </x:c>
      <x:c r="E93" s="28" t="str">
        <x:v>Strengthen governance and coordination</x:v>
      </x:c>
      <x:c r="F93" s="28" t="str">
        <x:v>Strengthen water-sector governance and inter-agency coordination</x:v>
      </x:c>
      <x:c r="G93" s="28" t="str">
        <x:v>A clear reform aspiration, but the Compact does not specify the coordination body, mandate change, or operating rules in this line.</x:v>
      </x:c>
      <x:c r="H93" s="28" t="str">
        <x:v>B — Potential Reform Action — Human Review</x:v>
      </x:c>
      <x:c r="I93" s="28" t="str">
        <x:v>Pending Human Review</x:v>
      </x:c>
      <x:c r="J93" s="28" t="str">
        <x:v>Reform Aspiration — Potential</x:v>
      </x:c>
      <x:c r="K93" s="28" t="str">
        <x:v>No</x:v>
      </x:c>
      <x:c r="L93" s="28" t="str">
        <x:v>Very Low</x:v>
      </x:c>
      <x:c r="M93" s="28" t="str">
        <x:v>The passage signals plausible system change, but the instrument, institutional design, scope, aggregation, or distinction from implementation is not sufficiently clear for high-confidence inclusion.</x:v>
      </x:c>
      <x:c r="N93" s="28" t="str">
        <x:v>Cross-cutting</x:v>
      </x:c>
      <x:c r="O93" s="28" t="str">
        <x:v>S1; S5; S7</x:v>
      </x:c>
      <x:c r="P93" s="28" t="str">
        <x:v>Sector Governance &amp; Institutional Architecture</x:v>
      </x:c>
      <x:c r="Q93" s="28" t="str">
        <x:v>Inter-agency water governance</x:v>
      </x:c>
      <x:c r="R93" s="28" t="str">
        <x:v>MWECC; sector agencies</x:v>
      </x:c>
      <x:c r="S93" s="28" t="str">
        <x:v>JAM-001; JAM-026</x:v>
      </x:c>
      <x:c r="T93" s="28" t="str">
        <x:v>Pending human review</x:v>
      </x:c>
      <x:c r="U93" s="28" t="str"/>
      <x:c r="V93" s="28" t="str"/>
      <x:c r="W93" s="28" t="str">
        <x:v>Aspiration Linked to Explicit Mechanism</x:v>
      </x:c>
      <x:c r="X93" s="28" t="str">
        <x:v>Commitment=Yes/Partial; Actionable Mechanism=Partial; System Change=Partial; Not Merely Implementation=Partial; Distinct/Aggregated=Partial</x:v>
      </x:c>
    </x:row>
    <x:row r="94" ht="52" customHeight="1">
      <x:c r="A94" s="28" t="str">
        <x:v>JAM-011</x:v>
      </x:c>
      <x:c r="B94" s="28" t="str">
        <x:v>Jamaica</x:v>
      </x:c>
      <x:c r="C94" s="28" t="str">
        <x:v>PDF p. 7, Section 3.2</x:v>
      </x:c>
      <x:c r="D94" s="28" t="str">
        <x:v>Institutional reform section</x:v>
      </x:c>
      <x:c r="E94" s="28" t="str">
        <x:v>Operationalize basin-level institutions</x:v>
      </x:c>
      <x:c r="F94" s="28" t="str">
        <x:v>Strengthen and operationalize basin-level WRM institutions and planning</x:v>
      </x:c>
      <x:c r="G94" s="28" t="str">
        <x:v>The system-change direction and geographic scope are clear, but the Compact does not name the institutions, legal instrument, or planning arrangement.</x:v>
      </x:c>
      <x:c r="H94" s="28" t="str">
        <x:v>B — Potential Reform Action — Human Review</x:v>
      </x:c>
      <x:c r="I94" s="28" t="str">
        <x:v>Pending Human Review</x:v>
      </x:c>
      <x:c r="J94" s="28" t="str">
        <x:v>Reform Aspiration — Potential</x:v>
      </x:c>
      <x:c r="K94" s="28" t="str">
        <x:v>No</x:v>
      </x:c>
      <x:c r="L94" s="28" t="str">
        <x:v>Low</x:v>
      </x:c>
      <x:c r="M94" s="28" t="str">
        <x:v>The passage signals plausible system change, but the instrument, institutional design, scope, aggregation, or distinction from implementation is not sufficiently clear for high-confidence inclusion.</x:v>
      </x:c>
      <x:c r="N94" s="28" t="str">
        <x:v>Water for Planet</x:v>
      </x:c>
      <x:c r="O94" s="28" t="str">
        <x:v>S7</x:v>
      </x:c>
      <x:c r="P94" s="28" t="str">
        <x:v>Water Resources &amp; Climate Governance</x:v>
      </x:c>
      <x:c r="Q94" s="28" t="str">
        <x:v>Basin-level institutions and planning</x:v>
      </x:c>
      <x:c r="R94" s="28" t="str">
        <x:v>WRA; MWECC</x:v>
      </x:c>
      <x:c r="S94" s="28" t="str"/>
      <x:c r="T94" s="28" t="str">
        <x:v>Pending human review</x:v>
      </x:c>
      <x:c r="U94" s="28" t="str"/>
      <x:c r="V94" s="28" t="str"/>
      <x:c r="W94" s="28" t="str">
        <x:v>Unlinked Reform Aspiration</x:v>
      </x:c>
      <x:c r="X94" s="28" t="str">
        <x:v>Commitment=Yes/Partial; Actionable Mechanism=Partial; System Change=Partial; Not Merely Implementation=Partial; Distinct/Aggregated=Partial</x:v>
      </x:c>
    </x:row>
    <x:row r="95" ht="52" customHeight="1">
      <x:c r="A95" s="28" t="str">
        <x:v>JAM-012</x:v>
      </x:c>
      <x:c r="B95" s="28" t="str">
        <x:v>Jamaica</x:v>
      </x:c>
      <x:c r="C95" s="28" t="str">
        <x:v>PDF p. 7, Section 3.2</x:v>
      </x:c>
      <x:c r="D95" s="28" t="str">
        <x:v>Institutional reform section</x:v>
      </x:c>
      <x:c r="E95" s="28" t="str">
        <x:v>Institutional, financing and policy measures</x:v>
      </x:c>
      <x:c r="F95" s="28" t="str">
        <x:v>Reform NWC and NIC institutional, financing, and policy arrangements</x:v>
      </x:c>
      <x:c r="G95" s="28" t="str">
        <x:v>The passage bundles resilience, digitalization, operational efficiency, financial health, and creditworthiness without discrete mechanisms.</x:v>
      </x:c>
      <x:c r="H95" s="28" t="str">
        <x:v>B — Potential Reform Action — Human Review</x:v>
      </x:c>
      <x:c r="I95" s="28" t="str">
        <x:v>Pending Human Review</x:v>
      </x:c>
      <x:c r="J95" s="28" t="str">
        <x:v>Reform Aspiration — Potential</x:v>
      </x:c>
      <x:c r="K95" s="28" t="str">
        <x:v>No</x:v>
      </x:c>
      <x:c r="L95" s="28" t="str">
        <x:v>Very Low</x:v>
      </x:c>
      <x:c r="M95" s="28" t="str">
        <x:v>The passage signals plausible system change, but the instrument, institutional design, scope, aggregation, or distinction from implementation is not sufficiently clear for high-confidence inclusion.</x:v>
      </x:c>
      <x:c r="N95" s="28" t="str">
        <x:v>Cross-cutting</x:v>
      </x:c>
      <x:c r="O95" s="28" t="str">
        <x:v>S1; S2; S5</x:v>
      </x:c>
      <x:c r="P95" s="28" t="str">
        <x:v>Financial Sustainability &amp; Sector Financing</x:v>
      </x:c>
      <x:c r="Q95" s="28" t="str">
        <x:v>Utility financial sustainability and creditworthiness</x:v>
      </x:c>
      <x:c r="R95" s="28" t="str">
        <x:v>MWECC; NWC; NIC; OUR</x:v>
      </x:c>
      <x:c r="S95" s="28" t="str"/>
      <x:c r="T95" s="28" t="str">
        <x:v>Pending human review</x:v>
      </x:c>
      <x:c r="U95" s="28" t="str"/>
      <x:c r="V95" s="28" t="str"/>
      <x:c r="W95" s="28" t="str">
        <x:v>Unlinked Reform Aspiration</x:v>
      </x:c>
      <x:c r="X95" s="28" t="str">
        <x:v>Commitment=Yes/Partial; Actionable Mechanism=Partial; System Change=Partial; Not Merely Implementation=Partial; Distinct/Aggregated=Partial</x:v>
      </x:c>
    </x:row>
    <x:row r="96" ht="52" customHeight="1">
      <x:c r="A96" s="28" t="str">
        <x:v>JAM-013</x:v>
      </x:c>
      <x:c r="B96" s="28" t="str">
        <x:v>Jamaica</x:v>
      </x:c>
      <x:c r="C96" s="28" t="str">
        <x:v>PDF p. 7, Section 3.2</x:v>
      </x:c>
      <x:c r="D96" s="28" t="str">
        <x:v>Institutional reform section</x:v>
      </x:c>
      <x:c r="E96" s="28" t="str">
        <x:v>OUR regulatory capacity and tariff methodology</x:v>
      </x:c>
      <x:c r="F96" s="28" t="str">
        <x:v>Strengthen OUR water-sector economic and service regulation</x:v>
      </x:c>
      <x:c r="G96" s="28" t="str">
        <x:v>Improve tariff methodology, financial-sustainability oversight, and regulation of water, sewerage, and irrigation services.</x:v>
      </x:c>
      <x:c r="H96" s="28" t="str">
        <x:v>A — High-confidence Reform Action</x:v>
      </x:c>
      <x:c r="I96" s="28" t="str">
        <x:v>Provisionally Included</x:v>
      </x:c>
      <x:c r="J96" s="28" t="str">
        <x:v>Core Reform Action</x:v>
      </x:c>
      <x:c r="K96" s="28" t="str">
        <x:v>No</x:v>
      </x:c>
      <x:c r="L96" s="28" t="str">
        <x:v>High</x:v>
      </x:c>
      <x:c r="M96" s="28" t="str">
        <x:v>The Compact states a discrete, durable mechanism that changes or materially strengthens sector rules, institutions, financing, planning, accountability, or service-delivery systems.</x:v>
      </x:c>
      <x:c r="N96" s="28" t="str">
        <x:v>Water for People</x:v>
      </x:c>
      <x:c r="O96" s="28" t="str">
        <x:v>S1; S2</x:v>
      </x:c>
      <x:c r="P96" s="28" t="str">
        <x:v>Legal &amp; Regulatory Reform</x:v>
      </x:c>
      <x:c r="Q96" s="28" t="str">
        <x:v>Economic and service regulation</x:v>
      </x:c>
      <x:c r="R96" s="28" t="str">
        <x:v>OUR</x:v>
      </x:c>
      <x:c r="S96" s="28" t="str"/>
      <x:c r="T96" s="28" t="str">
        <x:v>Pending human review</x:v>
      </x:c>
      <x:c r="U96" s="28" t="str"/>
      <x:c r="V96" s="28" t="str"/>
      <x:c r="W96" s="28" t="str">
        <x:v>Not an Aspiration</x:v>
      </x:c>
      <x:c r="X96" s="28" t="str">
        <x:v>Commitment=Yes; Actionable Mechanism=Yes; System Change=Yes; Not Merely Implementation=Yes; Distinct/Aggregated=Yes</x:v>
      </x:c>
    </x:row>
    <x:row r="97" ht="52" customHeight="1">
      <x:c r="A97" s="28" t="str">
        <x:v>JAM-014</x:v>
      </x:c>
      <x:c r="B97" s="28" t="str">
        <x:v>Jamaica</x:v>
      </x:c>
      <x:c r="C97" s="28" t="str">
        <x:v>PDF p. 7, Section 3.2</x:v>
      </x:c>
      <x:c r="D97" s="28" t="str">
        <x:v>Institutional reform section</x:v>
      </x:c>
      <x:c r="E97" s="28" t="str">
        <x:v>NEPA wastewater oversight</x:v>
      </x:c>
      <x:c r="F97" s="28" t="str">
        <x:v>Strengthen NEPA oversight of wastewater treatment and effluent</x:v>
      </x:c>
      <x:c r="G97" s="28" t="str">
        <x:v>The regulatory direction is explicit, but the passage does not specify a new rule, procedure, monitoring system, staffing arrangement, or enforcement mechanism.</x:v>
      </x:c>
      <x:c r="H97" s="28" t="str">
        <x:v>B — Potential Reform Action — Human Review</x:v>
      </x:c>
      <x:c r="I97" s="28" t="str">
        <x:v>Pending Human Review</x:v>
      </x:c>
      <x:c r="J97" s="28" t="str">
        <x:v>Reform Aspiration — Potential</x:v>
      </x:c>
      <x:c r="K97" s="28" t="str">
        <x:v>No</x:v>
      </x:c>
      <x:c r="L97" s="28" t="str">
        <x:v>Very Low</x:v>
      </x:c>
      <x:c r="M97" s="28" t="str">
        <x:v>The passage signals plausible system change, but the instrument, institutional design, scope, aggregation, or distinction from implementation is not sufficiently clear for high-confidence inclusion.</x:v>
      </x:c>
      <x:c r="N97" s="28" t="str">
        <x:v>Water for People</x:v>
      </x:c>
      <x:c r="O97" s="28" t="str">
        <x:v>S1</x:v>
      </x:c>
      <x:c r="P97" s="28" t="str">
        <x:v>Legal &amp; Regulatory Reform</x:v>
      </x:c>
      <x:c r="Q97" s="28" t="str">
        <x:v>Wastewater environmental regulation</x:v>
      </x:c>
      <x:c r="R97" s="28" t="str">
        <x:v>NEPA</x:v>
      </x:c>
      <x:c r="S97" s="28" t="str"/>
      <x:c r="T97" s="28" t="str">
        <x:v>Pending human review</x:v>
      </x:c>
      <x:c r="U97" s="28" t="str"/>
      <x:c r="V97" s="28" t="str"/>
      <x:c r="W97" s="28" t="str">
        <x:v>Unlinked Reform Aspiration</x:v>
      </x:c>
      <x:c r="X97" s="28" t="str">
        <x:v>Commitment=Yes/Partial; Actionable Mechanism=Partial; System Change=Partial; Not Merely Implementation=Partial; Distinct/Aggregated=Partial</x:v>
      </x:c>
    </x:row>
    <x:row r="98" ht="52" customHeight="1">
      <x:c r="A98" s="28" t="str">
        <x:v>JAM-015</x:v>
      </x:c>
      <x:c r="B98" s="28" t="str">
        <x:v>Jamaica</x:v>
      </x:c>
      <x:c r="C98" s="28" t="str">
        <x:v>PDF p. 7, Section 3.2</x:v>
      </x:c>
      <x:c r="D98" s="28" t="str">
        <x:v>Institutional reform section</x:v>
      </x:c>
      <x:c r="E98" s="28" t="str">
        <x:v>WRA abstraction regulation</x:v>
      </x:c>
      <x:c r="F98" s="28" t="str">
        <x:v>Strengthen WRA water-abstraction regulation</x:v>
      </x:c>
      <x:c r="G98" s="28" t="str">
        <x:v>The intended capacity improvement is clear, but the Compact does not specify the regulatory instrument or institutional change in this passage.</x:v>
      </x:c>
      <x:c r="H98" s="28" t="str">
        <x:v>B — Potential Reform Action — Human Review</x:v>
      </x:c>
      <x:c r="I98" s="28" t="str">
        <x:v>Pending Human Review</x:v>
      </x:c>
      <x:c r="J98" s="28" t="str">
        <x:v>Reform Aspiration — Potential</x:v>
      </x:c>
      <x:c r="K98" s="28" t="str">
        <x:v>No</x:v>
      </x:c>
      <x:c r="L98" s="28" t="str">
        <x:v>Very Low</x:v>
      </x:c>
      <x:c r="M98" s="28" t="str">
        <x:v>The passage signals plausible system change, but the instrument, institutional design, scope, aggregation, or distinction from implementation is not sufficiently clear for high-confidence inclusion.</x:v>
      </x:c>
      <x:c r="N98" s="28" t="str">
        <x:v>Water for Planet</x:v>
      </x:c>
      <x:c r="O98" s="28" t="str">
        <x:v>S7</x:v>
      </x:c>
      <x:c r="P98" s="28" t="str">
        <x:v>Legal &amp; Regulatory Reform</x:v>
      </x:c>
      <x:c r="Q98" s="28" t="str">
        <x:v>Water-abstraction regulation</x:v>
      </x:c>
      <x:c r="R98" s="28" t="str">
        <x:v>WRA</x:v>
      </x:c>
      <x:c r="S98" s="28" t="str"/>
      <x:c r="T98" s="28" t="str">
        <x:v>Pending human review</x:v>
      </x:c>
      <x:c r="U98" s="28" t="str"/>
      <x:c r="V98" s="28" t="str"/>
      <x:c r="W98" s="28" t="str">
        <x:v>Unlinked Reform Aspiration</x:v>
      </x:c>
      <x:c r="X98" s="28" t="str">
        <x:v>Commitment=Yes/Partial; Actionable Mechanism=Partial; System Change=Partial; Not Merely Implementation=Partial; Distinct/Aggregated=Partial</x:v>
      </x:c>
    </x:row>
    <x:row r="99" ht="52" customHeight="1">
      <x:c r="A99" s="28" t="str">
        <x:v>JAM-016</x:v>
      </x:c>
      <x:c r="B99" s="28" t="str">
        <x:v>Jamaica</x:v>
      </x:c>
      <x:c r="C99" s="28" t="str">
        <x:v>PDF p. 7, Section 3.2</x:v>
      </x:c>
      <x:c r="D99" s="28" t="str">
        <x:v>Institutional reform section</x:v>
      </x:c>
      <x:c r="E99" s="28" t="str">
        <x:v>MoH drinking-water oversight</x:v>
      </x:c>
      <x:c r="F99" s="28" t="str">
        <x:v>Strengthen Ministry of Health oversight of drinking water and sanitation</x:v>
      </x:c>
      <x:c r="G99" s="28" t="str">
        <x:v>The oversight aspiration is linked to the explicit drinking-water surveillance legislation retained as JAM-023.</x:v>
      </x:c>
      <x:c r="H99" s="28" t="str">
        <x:v>B — Potential Reform Action — Human Review</x:v>
      </x:c>
      <x:c r="I99" s="28" t="str">
        <x:v>Pending Human Review</x:v>
      </x:c>
      <x:c r="J99" s="28" t="str">
        <x:v>Reform Aspiration — Potential</x:v>
      </x:c>
      <x:c r="K99" s="28" t="str">
        <x:v>No</x:v>
      </x:c>
      <x:c r="L99" s="28" t="str">
        <x:v>Low</x:v>
      </x:c>
      <x:c r="M99" s="28" t="str">
        <x:v>The passage signals plausible system change, but the instrument, institutional design, scope, aggregation, or distinction from implementation is not sufficiently clear for high-confidence inclusion.</x:v>
      </x:c>
      <x:c r="N99" s="28" t="str">
        <x:v>Water for People</x:v>
      </x:c>
      <x:c r="O99" s="28" t="str">
        <x:v>S1; S3</x:v>
      </x:c>
      <x:c r="P99" s="28" t="str">
        <x:v>Legal &amp; Regulatory Reform</x:v>
      </x:c>
      <x:c r="Q99" s="28" t="str">
        <x:v>Drinking-water and sanitation oversight</x:v>
      </x:c>
      <x:c r="R99" s="28" t="str">
        <x:v>Ministry of Health</x:v>
      </x:c>
      <x:c r="S99" s="28" t="str">
        <x:v>JAM-023</x:v>
      </x:c>
      <x:c r="T99" s="28" t="str">
        <x:v>Pending human review</x:v>
      </x:c>
      <x:c r="U99" s="28" t="str"/>
      <x:c r="V99" s="28" t="str"/>
      <x:c r="W99" s="28" t="str">
        <x:v>Aspiration Linked to Explicit Mechanism</x:v>
      </x:c>
      <x:c r="X99" s="28" t="str">
        <x:v>Commitment=Yes/Partial; Actionable Mechanism=Partial; System Change=Partial; Not Merely Implementation=Partial; Distinct/Aggregated=Partial</x:v>
      </x:c>
    </x:row>
    <x:row r="100" ht="52" customHeight="1">
      <x:c r="A100" s="28" t="str">
        <x:v>JAM-017</x:v>
      </x:c>
      <x:c r="B100" s="28" t="str">
        <x:v>Jamaica</x:v>
      </x:c>
      <x:c r="C100" s="28" t="str">
        <x:v>PDF p. 7, Section 3.2</x:v>
      </x:c>
      <x:c r="D100" s="28" t="str">
        <x:v>Institutional reform section</x:v>
      </x:c>
      <x:c r="E100" s="28" t="str">
        <x:v>Strengthen data and analytical capacity</x:v>
      </x:c>
      <x:c r="F100" s="28" t="str">
        <x:v>Strengthen sector data systems, monitoring, and analytical capacity</x:v>
      </x:c>
      <x:c r="G100" s="28" t="str">
        <x:v>The objective is system-relevant but lacks a discrete platform, protocol, institutional owner, or data-governance arrangement in this line.</x:v>
      </x:c>
      <x:c r="H100" s="28" t="str">
        <x:v>B — Potential Reform Action — Human Review</x:v>
      </x:c>
      <x:c r="I100" s="28" t="str">
        <x:v>Pending Human Review</x:v>
      </x:c>
      <x:c r="J100" s="28" t="str">
        <x:v>Reform Aspiration — Potential</x:v>
      </x:c>
      <x:c r="K100" s="28" t="str">
        <x:v>No</x:v>
      </x:c>
      <x:c r="L100" s="28" t="str">
        <x:v>Low</x:v>
      </x:c>
      <x:c r="M100" s="28" t="str">
        <x:v>The passage signals plausible system change, but the instrument, institutional design, scope, aggregation, or distinction from implementation is not sufficiently clear for high-confidence inclusion.</x:v>
      </x:c>
      <x:c r="N100" s="28" t="str">
        <x:v>Cross-cutting</x:v>
      </x:c>
      <x:c r="O100" s="28" t="str">
        <x:v>S1; S5; S6; S7</x:v>
      </x:c>
      <x:c r="P100" s="28" t="str">
        <x:v>Data, Digitalization &amp; Sector Intelligence</x:v>
      </x:c>
      <x:c r="Q100" s="28" t="str">
        <x:v>Sector data and analytical systems</x:v>
      </x:c>
      <x:c r="R100" s="28" t="str">
        <x:v>MWECC; sector agencies</x:v>
      </x:c>
      <x:c r="S100" s="28" t="str">
        <x:v>JAM-002; JAM-024; JAM-027</x:v>
      </x:c>
      <x:c r="T100" s="28" t="str">
        <x:v>Pending human review</x:v>
      </x:c>
      <x:c r="U100" s="28" t="str"/>
      <x:c r="V100" s="28" t="str"/>
      <x:c r="W100" s="28" t="str">
        <x:v>Aspiration Linked to Explicit Mechanism</x:v>
      </x:c>
      <x:c r="X100" s="28" t="str">
        <x:v>Commitment=Yes/Partial; Actionable Mechanism=Partial; System Change=Partial; Not Merely Implementation=Partial; Distinct/Aggregated=Partial</x:v>
      </x:c>
    </x:row>
    <x:row r="101" ht="52" customHeight="1">
      <x:c r="A101" s="28" t="str">
        <x:v>JAM-018</x:v>
      </x:c>
      <x:c r="B101" s="28" t="str">
        <x:v>Jamaica</x:v>
      </x:c>
      <x:c r="C101" s="28" t="str">
        <x:v>PDF p. 8, Section 3.4</x:v>
      </x:c>
      <x:c r="D101" s="28" t="str">
        <x:v>Policy and governance reform list</x:v>
      </x:c>
      <x:c r="E101" s="28" t="str">
        <x:v>Sector-wide policy and regulatory legislation</x:v>
      </x:c>
      <x:c r="F101" s="28" t="str">
        <x:v>Enact sector-wide water policy and regulatory legislation</x:v>
      </x:c>
      <x:c r="G101" s="28" t="str">
        <x:v>Define the policy and regulatory framework for the entire water sector and address changes in the industry.</x:v>
      </x:c>
      <x:c r="H101" s="28" t="str">
        <x:v>A — High-confidence Reform Action</x:v>
      </x:c>
      <x:c r="I101" s="28" t="str">
        <x:v>Provisionally Included</x:v>
      </x:c>
      <x:c r="J101" s="28" t="str">
        <x:v>Core Reform Action</x:v>
      </x:c>
      <x:c r="K101" s="28" t="str">
        <x:v>No</x:v>
      </x:c>
      <x:c r="L101" s="28" t="str">
        <x:v>High</x:v>
      </x:c>
      <x:c r="M101" s="28" t="str">
        <x:v>The Compact states a discrete, durable mechanism that changes or materially strengthens sector rules, institutions, financing, planning, accountability, or service-delivery systems.</x:v>
      </x:c>
      <x:c r="N101" s="28" t="str">
        <x:v>Cross-cutting</x:v>
      </x:c>
      <x:c r="O101" s="28" t="str">
        <x:v>S1; S5; S7</x:v>
      </x:c>
      <x:c r="P101" s="28" t="str">
        <x:v>Legal &amp; Regulatory Reform</x:v>
      </x:c>
      <x:c r="Q101" s="28" t="str">
        <x:v>Umbrella water-sector legislation</x:v>
      </x:c>
      <x:c r="R101" s="28" t="str">
        <x:v>MWECC; Parliament</x:v>
      </x:c>
      <x:c r="S101" s="28" t="str"/>
      <x:c r="T101" s="28" t="str">
        <x:v>Pending human review</x:v>
      </x:c>
      <x:c r="U101" s="28" t="str"/>
      <x:c r="V101" s="28" t="str"/>
      <x:c r="W101" s="28" t="str">
        <x:v>Not an Aspiration</x:v>
      </x:c>
      <x:c r="X101" s="28" t="str">
        <x:v>Commitment=Yes; Actionable Mechanism=Yes; System Change=Yes; Not Merely Implementation=Yes; Distinct/Aggregated=Yes</x:v>
      </x:c>
    </x:row>
    <x:row r="102" ht="52" customHeight="1">
      <x:c r="A102" s="28" t="str">
        <x:v>JAM-019</x:v>
      </x:c>
      <x:c r="B102" s="28" t="str">
        <x:v>Jamaica</x:v>
      </x:c>
      <x:c r="C102" s="28" t="str">
        <x:v>PDF pp. 8–9, Section 3.4</x:v>
      </x:c>
      <x:c r="D102" s="28" t="str">
        <x:v>Policy and governance reform list</x:v>
      </x:c>
      <x:c r="E102" s="28" t="str">
        <x:v>Weather and climate services institution</x:v>
      </x:c>
      <x:c r="F102" s="28" t="str">
        <x:v>Establish an institution for weather, climate, and agrometeorological services</x:v>
      </x:c>
      <x:c r="G102" s="28" t="str">
        <x:v>Create a dedicated institution supporting water planning, agriculture, ecological protection, and disaster preparedness.</x:v>
      </x:c>
      <x:c r="H102" s="28" t="str">
        <x:v>A — High-confidence Reform Action</x:v>
      </x:c>
      <x:c r="I102" s="28" t="str">
        <x:v>Provisionally Included</x:v>
      </x:c>
      <x:c r="J102" s="28" t="str">
        <x:v>Core Reform Action</x:v>
      </x:c>
      <x:c r="K102" s="28" t="str">
        <x:v>No</x:v>
      </x:c>
      <x:c r="L102" s="28" t="str">
        <x:v>High</x:v>
      </x:c>
      <x:c r="M102" s="28" t="str">
        <x:v>The Compact states a discrete, durable mechanism that changes or materially strengthens sector rules, institutions, financing, planning, accountability, or service-delivery systems.</x:v>
      </x:c>
      <x:c r="N102" s="28" t="str">
        <x:v>Cross-cutting</x:v>
      </x:c>
      <x:c r="O102" s="28" t="str">
        <x:v>S5; S6; S7</x:v>
      </x:c>
      <x:c r="P102" s="28" t="str">
        <x:v>Sector Governance &amp; Institutional Architecture</x:v>
      </x:c>
      <x:c r="Q102" s="28" t="str">
        <x:v>Hydrometeorological services institution</x:v>
      </x:c>
      <x:c r="R102" s="28" t="str">
        <x:v>Government of Jamaica; MWECC</x:v>
      </x:c>
      <x:c r="S102" s="28" t="str"/>
      <x:c r="T102" s="28" t="str">
        <x:v>Pending human review</x:v>
      </x:c>
      <x:c r="U102" s="28" t="str"/>
      <x:c r="V102" s="28" t="str"/>
      <x:c r="W102" s="28" t="str">
        <x:v>Not an Aspiration</x:v>
      </x:c>
      <x:c r="X102" s="28" t="str">
        <x:v>Commitment=Yes; Actionable Mechanism=Yes; System Change=Yes; Not Merely Implementation=Yes; Distinct/Aggregated=Yes</x:v>
      </x:c>
    </x:row>
    <x:row r="103" ht="52" customHeight="1">
      <x:c r="A103" s="28" t="str">
        <x:v>JAM-020</x:v>
      </x:c>
      <x:c r="B103" s="28" t="str">
        <x:v>Jamaica</x:v>
      </x:c>
      <x:c r="C103" s="28" t="str">
        <x:v>PDF p. 9, Section 3.4</x:v>
      </x:c>
      <x:c r="D103" s="28" t="str">
        <x:v>Policy and governance reform list</x:v>
      </x:c>
      <x:c r="E103" s="28" t="str">
        <x:v>Transfer irrigation regulation to OUR</x:v>
      </x:c>
      <x:c r="F103" s="28" t="str">
        <x:v>Transfer irrigation-service regulation from NIC to OUR</x:v>
      </x:c>
      <x:c r="G103" s="28" t="str">
        <x:v>Amend the OUR and Irrigation Acts to separate service provision from economic and service regulation.</x:v>
      </x:c>
      <x:c r="H103" s="28" t="str">
        <x:v>A — High-confidence Reform Action</x:v>
      </x:c>
      <x:c r="I103" s="28" t="str">
        <x:v>Provisionally Included</x:v>
      </x:c>
      <x:c r="J103" s="28" t="str">
        <x:v>Core Reform Action</x:v>
      </x:c>
      <x:c r="K103" s="28" t="str">
        <x:v>No</x:v>
      </x:c>
      <x:c r="L103" s="28" t="str">
        <x:v>High</x:v>
      </x:c>
      <x:c r="M103" s="28" t="str">
        <x:v>The Compact states a discrete, durable mechanism that changes or materially strengthens sector rules, institutions, financing, planning, accountability, or service-delivery systems.</x:v>
      </x:c>
      <x:c r="N103" s="28" t="str">
        <x:v>Water for Food</x:v>
      </x:c>
      <x:c r="O103" s="28" t="str">
        <x:v>S5</x:v>
      </x:c>
      <x:c r="P103" s="28" t="str">
        <x:v>Legal &amp; Regulatory Reform</x:v>
      </x:c>
      <x:c r="Q103" s="28" t="str">
        <x:v>Irrigation regulatory mandate transfer</x:v>
      </x:c>
      <x:c r="R103" s="28" t="str">
        <x:v>OUR; NIC; Parliament</x:v>
      </x:c>
      <x:c r="S103" s="28" t="str"/>
      <x:c r="T103" s="28" t="str">
        <x:v>Pending human review</x:v>
      </x:c>
      <x:c r="U103" s="28" t="str"/>
      <x:c r="V103" s="28" t="str"/>
      <x:c r="W103" s="28" t="str">
        <x:v>Not an Aspiration</x:v>
      </x:c>
      <x:c r="X103" s="28" t="str">
        <x:v>Commitment=Yes; Actionable Mechanism=Yes; System Change=Yes; Not Merely Implementation=Yes; Distinct/Aggregated=Yes</x:v>
      </x:c>
    </x:row>
    <x:row r="104" ht="52" customHeight="1">
      <x:c r="A104" s="28" t="str">
        <x:v>JAM-021</x:v>
      </x:c>
      <x:c r="B104" s="28" t="str">
        <x:v>Jamaica</x:v>
      </x:c>
      <x:c r="C104" s="28" t="str">
        <x:v>PDF p. 9, Section 3.4</x:v>
      </x:c>
      <x:c r="D104" s="28" t="str">
        <x:v>Policy and governance reform list</x:v>
      </x:c>
      <x:c r="E104" s="28" t="str">
        <x:v>Water User Association operations</x:v>
      </x:c>
      <x:c r="F104" s="28" t="str">
        <x:v>Enable Water User Associations to manage irrigation systems</x:v>
      </x:c>
      <x:c r="G104" s="28" t="str">
        <x:v>Amend irrigation legislation to provide for operational management by Water User Associations.</x:v>
      </x:c>
      <x:c r="H104" s="28" t="str">
        <x:v>A — High-confidence Reform Action</x:v>
      </x:c>
      <x:c r="I104" s="28" t="str">
        <x:v>Provisionally Included</x:v>
      </x:c>
      <x:c r="J104" s="28" t="str">
        <x:v>Core Reform Action</x:v>
      </x:c>
      <x:c r="K104" s="28" t="str">
        <x:v>No</x:v>
      </x:c>
      <x:c r="L104" s="28" t="str">
        <x:v>High</x:v>
      </x:c>
      <x:c r="M104" s="28" t="str">
        <x:v>The Compact states a discrete, durable mechanism that changes or materially strengthens sector rules, institutions, financing, planning, accountability, or service-delivery systems.</x:v>
      </x:c>
      <x:c r="N104" s="28" t="str">
        <x:v>Water for Food</x:v>
      </x:c>
      <x:c r="O104" s="28" t="str">
        <x:v>S4; S5</x:v>
      </x:c>
      <x:c r="P104" s="28" t="str">
        <x:v>Agricultural Water &amp; Irrigation Governance</x:v>
      </x:c>
      <x:c r="Q104" s="28" t="str">
        <x:v>Water User Association service management</x:v>
      </x:c>
      <x:c r="R104" s="28" t="str">
        <x:v>NIC; Water User Associations; Parliament</x:v>
      </x:c>
      <x:c r="S104" s="28" t="str"/>
      <x:c r="T104" s="28" t="str">
        <x:v>Pending human review</x:v>
      </x:c>
      <x:c r="U104" s="28" t="str"/>
      <x:c r="V104" s="28" t="str"/>
      <x:c r="W104" s="28" t="str">
        <x:v>Not an Aspiration</x:v>
      </x:c>
      <x:c r="X104" s="28" t="str">
        <x:v>Commitment=Yes; Actionable Mechanism=Yes; System Change=Yes; Not Merely Implementation=Yes; Distinct/Aggregated=Yes</x:v>
      </x:c>
    </x:row>
    <x:row r="105" ht="52" customHeight="1">
      <x:c r="A105" s="28" t="str">
        <x:v>JAM-022</x:v>
      </x:c>
      <x:c r="B105" s="28" t="str">
        <x:v>Jamaica</x:v>
      </x:c>
      <x:c r="C105" s="28" t="str">
        <x:v>PDF p. 9, Section 3.4</x:v>
      </x:c>
      <x:c r="D105" s="28" t="str">
        <x:v>Policy and governance reform list</x:v>
      </x:c>
      <x:c r="E105" s="28" t="str">
        <x:v>Clarify WRA and NWA flood roles</x:v>
      </x:c>
      <x:c r="F105" s="28" t="str">
        <x:v>Clarify WRA and NWA flood-water management mandates</x:v>
      </x:c>
      <x:c r="G105" s="28" t="str">
        <x:v>Amend the Floodwater Control and Water Resources Acts to define institutional roles.</x:v>
      </x:c>
      <x:c r="H105" s="28" t="str">
        <x:v>A — High-confidence Reform Action</x:v>
      </x:c>
      <x:c r="I105" s="28" t="str">
        <x:v>Provisionally Included</x:v>
      </x:c>
      <x:c r="J105" s="28" t="str">
        <x:v>Core Reform Action</x:v>
      </x:c>
      <x:c r="K105" s="28" t="str">
        <x:v>No</x:v>
      </x:c>
      <x:c r="L105" s="28" t="str">
        <x:v>High</x:v>
      </x:c>
      <x:c r="M105" s="28" t="str">
        <x:v>The Compact states a discrete, durable mechanism that changes or materially strengthens sector rules, institutions, financing, planning, accountability, or service-delivery systems.</x:v>
      </x:c>
      <x:c r="N105" s="28" t="str">
        <x:v>Water for Planet</x:v>
      </x:c>
      <x:c r="O105" s="28" t="str">
        <x:v>S6</x:v>
      </x:c>
      <x:c r="P105" s="28" t="str">
        <x:v>Legal &amp; Regulatory Reform</x:v>
      </x:c>
      <x:c r="Q105" s="28" t="str">
        <x:v>Flood-management mandate clarification</x:v>
      </x:c>
      <x:c r="R105" s="28" t="str">
        <x:v>WRA; NWA; Parliament</x:v>
      </x:c>
      <x:c r="S105" s="28" t="str"/>
      <x:c r="T105" s="28" t="str">
        <x:v>Pending human review</x:v>
      </x:c>
      <x:c r="U105" s="28" t="str"/>
      <x:c r="V105" s="28" t="str"/>
      <x:c r="W105" s="28" t="str">
        <x:v>Not an Aspiration</x:v>
      </x:c>
      <x:c r="X105" s="28" t="str">
        <x:v>Commitment=Yes; Actionable Mechanism=Yes; System Change=Yes; Not Merely Implementation=Yes; Distinct/Aggregated=Yes</x:v>
      </x:c>
    </x:row>
    <x:row r="106" ht="52" customHeight="1">
      <x:c r="A106" s="28" t="str">
        <x:v>JAM-023</x:v>
      </x:c>
      <x:c r="B106" s="28" t="str">
        <x:v>Jamaica</x:v>
      </x:c>
      <x:c r="C106" s="28" t="str">
        <x:v>PDF p. 9, Section 3.4</x:v>
      </x:c>
      <x:c r="D106" s="28" t="str">
        <x:v>Policy and governance reform list</x:v>
      </x:c>
      <x:c r="E106" s="28" t="str">
        <x:v>Legislation recognizing MoH regulatory role</x:v>
      </x:c>
      <x:c r="F106" s="28" t="str">
        <x:v>Enact drinking-water surveillance legislation recognizing the Ministry of Health</x:v>
      </x:c>
      <x:c r="G106" s="28" t="str">
        <x:v>Formalize MoH authority over drinking-water regulation, surveillance, and monitoring.</x:v>
      </x:c>
      <x:c r="H106" s="28" t="str">
        <x:v>A — High-confidence Reform Action</x:v>
      </x:c>
      <x:c r="I106" s="28" t="str">
        <x:v>Provisionally Included</x:v>
      </x:c>
      <x:c r="J106" s="28" t="str">
        <x:v>Core Reform Action</x:v>
      </x:c>
      <x:c r="K106" s="28" t="str">
        <x:v>No</x:v>
      </x:c>
      <x:c r="L106" s="28" t="str">
        <x:v>High</x:v>
      </x:c>
      <x:c r="M106" s="28" t="str">
        <x:v>The Compact states a discrete, durable mechanism that changes or materially strengthens sector rules, institutions, financing, planning, accountability, or service-delivery systems.</x:v>
      </x:c>
      <x:c r="N106" s="28" t="str">
        <x:v>Water for People</x:v>
      </x:c>
      <x:c r="O106" s="28" t="str">
        <x:v>S1; S3</x:v>
      </x:c>
      <x:c r="P106" s="28" t="str">
        <x:v>Legal &amp; Regulatory Reform</x:v>
      </x:c>
      <x:c r="Q106" s="28" t="str">
        <x:v>Drinking-water surveillance legislation</x:v>
      </x:c>
      <x:c r="R106" s="28" t="str">
        <x:v>Ministry of Health; Parliament</x:v>
      </x:c>
      <x:c r="S106" s="28" t="str"/>
      <x:c r="T106" s="28" t="str">
        <x:v>Pending human review</x:v>
      </x:c>
      <x:c r="U106" s="28" t="str"/>
      <x:c r="V106" s="28" t="str"/>
      <x:c r="W106" s="28" t="str">
        <x:v>Not an Aspiration</x:v>
      </x:c>
      <x:c r="X106" s="28" t="str">
        <x:v>Commitment=Yes; Actionable Mechanism=Yes; System Change=Yes; Not Merely Implementation=Yes; Distinct/Aggregated=Yes</x:v>
      </x:c>
    </x:row>
    <x:row r="107" ht="52" customHeight="1">
      <x:c r="A107" s="28" t="str">
        <x:v>JAM-024</x:v>
      </x:c>
      <x:c r="B107" s="28" t="str">
        <x:v>Jamaica</x:v>
      </x:c>
      <x:c r="C107" s="28" t="str">
        <x:v>PDF p. 9, Section 4</x:v>
      </x:c>
      <x:c r="D107" s="28" t="str">
        <x:v>Implementation monitoring</x:v>
      </x:c>
      <x:c r="E107" s="28" t="str">
        <x:v>Refine Water Policy M&amp;E Framework</x:v>
      </x:c>
      <x:c r="F107" s="28" t="str">
        <x:v>Refine the water-policy M&amp;E framework for Compact monitoring</x:v>
      </x:c>
      <x:c r="G107" s="28" t="str">
        <x:v>Adapt the existing framework to support policy learning, results monitoring, and mid-course correction.</x:v>
      </x:c>
      <x:c r="H107" s="28" t="str">
        <x:v>A — High-confidence Reform Action</x:v>
      </x:c>
      <x:c r="I107" s="28" t="str">
        <x:v>Provisionally Included</x:v>
      </x:c>
      <x:c r="J107" s="28" t="str">
        <x:v>Core Reform Action</x:v>
      </x:c>
      <x:c r="K107" s="28" t="str">
        <x:v>No</x:v>
      </x:c>
      <x:c r="L107" s="28" t="str">
        <x:v>High</x:v>
      </x:c>
      <x:c r="M107" s="28" t="str">
        <x:v>The Compact states a discrete, durable mechanism that changes or materially strengthens sector rules, institutions, financing, planning, accountability, or service-delivery systems.</x:v>
      </x:c>
      <x:c r="N107" s="28" t="str">
        <x:v>Cross-cutting</x:v>
      </x:c>
      <x:c r="O107" s="28" t="str">
        <x:v>S1; S5; S6; S7</x:v>
      </x:c>
      <x:c r="P107" s="28" t="str">
        <x:v>Data, Digitalization &amp; Sector Intelligence</x:v>
      </x:c>
      <x:c r="Q107" s="28" t="str">
        <x:v>Compact monitoring and policy-learning system</x:v>
      </x:c>
      <x:c r="R107" s="28" t="str">
        <x:v>MWECC; IWRMC</x:v>
      </x:c>
      <x:c r="S107" s="28" t="str"/>
      <x:c r="T107" s="28" t="str">
        <x:v>Pending human review</x:v>
      </x:c>
      <x:c r="U107" s="28" t="str"/>
      <x:c r="V107" s="28" t="str"/>
      <x:c r="W107" s="28" t="str">
        <x:v>Not an Aspiration</x:v>
      </x:c>
      <x:c r="X107" s="28" t="str">
        <x:v>Commitment=Yes; Actionable Mechanism=Yes; System Change=Yes; Not Merely Implementation=Yes; Distinct/Aggregated=Yes</x:v>
      </x:c>
    </x:row>
    <x:row r="108" ht="52" customHeight="1">
      <x:c r="A108" s="28" t="str">
        <x:v>JAM-025</x:v>
      </x:c>
      <x:c r="B108" s="28" t="str">
        <x:v>Jamaica</x:v>
      </x:c>
      <x:c r="C108" s="28" t="str">
        <x:v>PDF p. 9, Section 4</x:v>
      </x:c>
      <x:c r="D108" s="28" t="str">
        <x:v>Implementation monitoring</x:v>
      </x:c>
      <x:c r="E108" s="28" t="str">
        <x:v>Develop indicators and biannual reports</x:v>
      </x:c>
      <x:c r="F108" s="28" t="str">
        <x:v>Develop indicators and prepare biannual progress reports</x:v>
      </x:c>
      <x:c r="G108" s="28" t="str">
        <x:v>These are implementation components of the retained M&amp;E-framework reform.</x:v>
      </x:c>
      <x:c r="H108" s="28" t="str">
        <x:v>C — High-confidence Non-reform</x:v>
      </x:c>
      <x:c r="I108" s="28" t="str">
        <x:v>Consolidated</x:v>
      </x:c>
      <x:c r="J108" s="28" t="str">
        <x:v>Consolidated/Covered by Broader Reform</x:v>
      </x:c>
      <x:c r="K108" s="28" t="str">
        <x:v>No</x:v>
      </x:c>
      <x:c r="L108" s="28" t="str">
        <x:v>High</x:v>
      </x:c>
      <x:c r="M108" s="28" t="str">
        <x:v>This passage repeats or operationalizes a broader candidate already retained; counting it separately would double count the same reform mechanism.</x:v>
      </x:c>
      <x:c r="N108" s="28" t="str">
        <x:v>Cross-cutting</x:v>
      </x:c>
      <x:c r="O108" s="28" t="str">
        <x:v>S1; S5; S6; S7</x:v>
      </x:c>
      <x:c r="P108" s="28" t="str">
        <x:v>Data, Digitalization &amp; Sector Intelligence</x:v>
      </x:c>
      <x:c r="Q108" s="28" t="str">
        <x:v>Compact reporting</x:v>
      </x:c>
      <x:c r="R108" s="28" t="str">
        <x:v>MWECC; IWRMC</x:v>
      </x:c>
      <x:c r="S108" s="28" t="str">
        <x:v>JAM-024</x:v>
      </x:c>
      <x:c r="T108" s="28" t="str">
        <x:v>Pending human review</x:v>
      </x:c>
      <x:c r="U108" s="28" t="str"/>
      <x:c r="V108" s="28" t="str"/>
      <x:c r="W108" s="28" t="str">
        <x:v>Not an Aspiration</x:v>
      </x:c>
      <x:c r="X108" s="28" t="str">
        <x:v>Commitment=Yes; Actionable Mechanism=Yes; System Change=Yes; Not Merely Implementation=Yes; Distinct/Aggregated=No</x:v>
      </x:c>
    </x:row>
    <x:row r="109" ht="52" customHeight="1">
      <x:c r="A109" s="28" t="str">
        <x:v>JAM-026</x:v>
      </x:c>
      <x:c r="B109" s="28" t="str">
        <x:v>Jamaica</x:v>
      </x:c>
      <x:c r="C109" s="28" t="str">
        <x:v>PDF p. 9, Section 4</x:v>
      </x:c>
      <x:c r="D109" s="28" t="str">
        <x:v>Implementation monitoring</x:v>
      </x:c>
      <x:c r="E109" s="28" t="str">
        <x:v>Designate data responsibilities</x:v>
      </x:c>
      <x:c r="F109" s="28" t="str">
        <x:v>Assign institutional responsibilities for Compact data and reporting</x:v>
      </x:c>
      <x:c r="G109" s="28" t="str">
        <x:v>Formalize data collection, consolidation, verification, and reporting roles under IWRMC coordination.</x:v>
      </x:c>
      <x:c r="H109" s="28" t="str">
        <x:v>A — High-confidence Reform Action</x:v>
      </x:c>
      <x:c r="I109" s="28" t="str">
        <x:v>Provisionally Included</x:v>
      </x:c>
      <x:c r="J109" s="28" t="str">
        <x:v>Core Reform Action</x:v>
      </x:c>
      <x:c r="K109" s="28" t="str">
        <x:v>No</x:v>
      </x:c>
      <x:c r="L109" s="28" t="str">
        <x:v>High</x:v>
      </x:c>
      <x:c r="M109" s="28" t="str">
        <x:v>The Compact states a discrete, durable mechanism that changes or materially strengthens sector rules, institutions, financing, planning, accountability, or service-delivery systems.</x:v>
      </x:c>
      <x:c r="N109" s="28" t="str">
        <x:v>Cross-cutting</x:v>
      </x:c>
      <x:c r="O109" s="28" t="str">
        <x:v>S1; S5; S6; S7</x:v>
      </x:c>
      <x:c r="P109" s="28" t="str">
        <x:v>Accountability, Inclusion &amp; Citizen Engagement</x:v>
      </x:c>
      <x:c r="Q109" s="28" t="str">
        <x:v>Monitoring roles and accountability</x:v>
      </x:c>
      <x:c r="R109" s="28" t="str">
        <x:v>IWRMC; sector agencies</x:v>
      </x:c>
      <x:c r="S109" s="28" t="str">
        <x:v>JAM-024</x:v>
      </x:c>
      <x:c r="T109" s="28" t="str">
        <x:v>Pending human review</x:v>
      </x:c>
      <x:c r="U109" s="28" t="str"/>
      <x:c r="V109" s="28" t="str"/>
      <x:c r="W109" s="28" t="str">
        <x:v>Not an Aspiration</x:v>
      </x:c>
      <x:c r="X109" s="28" t="str">
        <x:v>Commitment=Yes; Actionable Mechanism=Yes; System Change=Yes; Not Merely Implementation=Yes; Distinct/Aggregated=Yes</x:v>
      </x:c>
    </x:row>
    <x:row r="110" ht="52" customHeight="1">
      <x:c r="A110" s="28" t="str">
        <x:v>JAM-027</x:v>
      </x:c>
      <x:c r="B110" s="28" t="str">
        <x:v>Jamaica</x:v>
      </x:c>
      <x:c r="C110" s="28" t="str">
        <x:v>PDF p. 10, Section 4</x:v>
      </x:c>
      <x:c r="D110" s="28" t="str">
        <x:v>Implementation monitoring</x:v>
      </x:c>
      <x:c r="E110" s="28" t="str">
        <x:v>Enhance inter-agency data integration</x:v>
      </x:c>
      <x:c r="F110" s="28" t="str">
        <x:v>Establish inter-agency water-sector data integration and sharing</x:v>
      </x:c>
      <x:c r="G110" s="28" t="str">
        <x:v>Create a cross-agency data-sharing arrangement to support evidence-based decisions.</x:v>
      </x:c>
      <x:c r="H110" s="28" t="str">
        <x:v>A — High-confidence Reform Action</x:v>
      </x:c>
      <x:c r="I110" s="28" t="str">
        <x:v>Provisionally Included</x:v>
      </x:c>
      <x:c r="J110" s="28" t="str">
        <x:v>Core Reform Action</x:v>
      </x:c>
      <x:c r="K110" s="28" t="str">
        <x:v>No</x:v>
      </x:c>
      <x:c r="L110" s="28" t="str">
        <x:v>High</x:v>
      </x:c>
      <x:c r="M110" s="28" t="str">
        <x:v>The Compact states a discrete, durable mechanism that changes or materially strengthens sector rules, institutions, financing, planning, accountability, or service-delivery systems.</x:v>
      </x:c>
      <x:c r="N110" s="28" t="str">
        <x:v>Cross-cutting</x:v>
      </x:c>
      <x:c r="O110" s="28" t="str">
        <x:v>S1; S5; S6; S7</x:v>
      </x:c>
      <x:c r="P110" s="28" t="str">
        <x:v>Data, Digitalization &amp; Sector Intelligence</x:v>
      </x:c>
      <x:c r="Q110" s="28" t="str">
        <x:v>Inter-agency data integration</x:v>
      </x:c>
      <x:c r="R110" s="28" t="str">
        <x:v>MWECC; MSETT; MoFP; NWC; RWSL; WRA; NEPA; MoH; NIC</x:v>
      </x:c>
      <x:c r="S110" s="28" t="str">
        <x:v>JAM-024</x:v>
      </x:c>
      <x:c r="T110" s="28" t="str">
        <x:v>Pending human review</x:v>
      </x:c>
      <x:c r="U110" s="28" t="str"/>
      <x:c r="V110" s="28" t="str"/>
      <x:c r="W110" s="28" t="str">
        <x:v>Not an Aspiration</x:v>
      </x:c>
      <x:c r="X110" s="28" t="str">
        <x:v>Commitment=Yes; Actionable Mechanism=Yes; System Change=Yes; Not Merely Implementation=Yes; Distinct/Aggregated=Yes</x:v>
      </x:c>
    </x:row>
    <x:row r="111" ht="52" customHeight="1">
      <x:c r="A111" s="28" t="str">
        <x:v>JAM-028</x:v>
      </x:c>
      <x:c r="B111" s="28" t="str">
        <x:v>Jamaica</x:v>
      </x:c>
      <x:c r="C111" s="28" t="str">
        <x:v>PDF p. 10, Section 5</x:v>
      </x:c>
      <x:c r="D111" s="28" t="str">
        <x:v>Government commitment</x:v>
      </x:c>
      <x:c r="E111" s="28" t="str">
        <x:v>Women, youth and vulnerable voices</x:v>
      </x:c>
      <x:c r="F111" s="28" t="str">
        <x:v>Institutionalize participation of women, youth, and vulnerable groups</x:v>
      </x:c>
      <x:c r="G111" s="28" t="str">
        <x:v>The inclusion aspiration is explicit, but the Compact does not specify representation rules, consultation procedures, or an accountability mechanism.</x:v>
      </x:c>
      <x:c r="H111" s="28" t="str">
        <x:v>B — Potential Reform Action — Human Review</x:v>
      </x:c>
      <x:c r="I111" s="28" t="str">
        <x:v>Pending Human Review</x:v>
      </x:c>
      <x:c r="J111" s="28" t="str">
        <x:v>Reform Aspiration — Potential</x:v>
      </x:c>
      <x:c r="K111" s="28" t="str">
        <x:v>No</x:v>
      </x:c>
      <x:c r="L111" s="28" t="str">
        <x:v>Very Low</x:v>
      </x:c>
      <x:c r="M111" s="28" t="str">
        <x:v>The passage signals plausible system change, but the instrument, institutional design, scope, aggregation, or distinction from implementation is not sufficiently clear for high-confidence inclusion.</x:v>
      </x:c>
      <x:c r="N111" s="28" t="str">
        <x:v>Cross-cutting</x:v>
      </x:c>
      <x:c r="O111" s="28" t="str">
        <x:v>S1; S3; S7</x:v>
      </x:c>
      <x:c r="P111" s="28" t="str">
        <x:v>Accountability, Inclusion &amp; Citizen Engagement</x:v>
      </x:c>
      <x:c r="Q111" s="28" t="str">
        <x:v>Inclusive water governance</x:v>
      </x:c>
      <x:c r="R111" s="28" t="str">
        <x:v>Government of Jamaica; MWECC</x:v>
      </x:c>
      <x:c r="S111" s="28" t="str"/>
      <x:c r="T111" s="28" t="str">
        <x:v>Pending human review</x:v>
      </x:c>
      <x:c r="U111" s="28" t="str"/>
      <x:c r="V111" s="28" t="str"/>
      <x:c r="W111" s="28" t="str">
        <x:v>Unlinked Reform Aspiration</x:v>
      </x:c>
      <x:c r="X111" s="28" t="str">
        <x:v>Commitment=Yes/Partial; Actionable Mechanism=Partial; System Change=Partial; Not Merely Implementation=Partial; Distinct/Aggregated=Partial</x:v>
      </x:c>
    </x:row>
    <x:row r="112" ht="52" customHeight="1">
      <x:c r="A112" s="28" t="str">
        <x:v>JAM-029</x:v>
      </x:c>
      <x:c r="B112" s="28" t="str">
        <x:v>Jamaica</x:v>
      </x:c>
      <x:c r="C112" s="28" t="str">
        <x:v>PDF p. 2, overall target</x:v>
      </x:c>
      <x:c r="D112" s="28" t="str">
        <x:v>Reform aspiration</x:v>
      </x:c>
      <x:c r="E112" s="28" t="str">
        <x:v>Universal safe and affordable water</x:v>
      </x:c>
      <x:c r="F112" s="28" t="str">
        <x:v>Achieve universal potable-water and sanitation access</x:v>
      </x:c>
      <x:c r="G112" s="28" t="str">
        <x:v>Broad outcome aspiration without a discrete reform mechanism.</x:v>
      </x:c>
      <x:c r="H112" s="28" t="str">
        <x:v>C — High-confidence Non-reform</x:v>
      </x:c>
      <x:c r="I112" s="28" t="str">
        <x:v>Excluded by LLM</x:v>
      </x:c>
      <x:c r="J112" s="28" t="str">
        <x:v>Outcome/Coverage Target</x:v>
      </x:c>
      <x:c r="K112" s="28" t="str">
        <x:v>No</x:v>
      </x:c>
      <x:c r="L112" s="28" t="str">
        <x:v>High</x:v>
      </x:c>
      <x:c r="M112" s="28" t="str">
        <x:v>This is a coverage, outcome, or production target without a discrete system-change mechanism.</x:v>
      </x:c>
      <x:c r="N112" s="28" t="str">
        <x:v>Water for People</x:v>
      </x:c>
      <x:c r="O112" s="28" t="str">
        <x:v>S1; S3</x:v>
      </x:c>
      <x:c r="P112" s="28" t="str">
        <x:v>WSS Service Delivery &amp; Utility Reform</x:v>
      </x:c>
      <x:c r="Q112" s="28" t="str">
        <x:v>Universal access aspiration</x:v>
      </x:c>
      <x:c r="R112" s="28" t="str">
        <x:v>Government of Jamaica</x:v>
      </x:c>
      <x:c r="S112" s="28" t="str"/>
      <x:c r="T112" s="28" t="str">
        <x:v>Pending human review</x:v>
      </x:c>
      <x:c r="U112" s="28" t="str"/>
      <x:c r="V112" s="28" t="str"/>
      <x:c r="W112" s="28" t="str">
        <x:v>Aspiration Excluded as General Ambition</x:v>
      </x:c>
      <x:c r="X112" s="28" t="str">
        <x:v>Commitment=Yes; Actionable Mechanism=No; System Change=No; Not Merely Implementation=No; Distinct/Aggregated=Yes</x:v>
      </x:c>
    </x:row>
    <x:row r="113" ht="52" customHeight="1">
      <x:c r="A113" s="28" t="str">
        <x:v>JAM-030</x:v>
      </x:c>
      <x:c r="B113" s="28" t="str">
        <x:v>Jamaica</x:v>
      </x:c>
      <x:c r="C113" s="28" t="str">
        <x:v>PDF p. 5, Section 2.3</x:v>
      </x:c>
      <x:c r="D113" s="28" t="str">
        <x:v>Target table/narrative</x:v>
      </x:c>
      <x:c r="E113" s="28" t="str">
        <x:v>Reduce NWC NRW to 65%</x:v>
      </x:c>
      <x:c r="F113" s="28" t="str">
        <x:v>Reduce NWC non-revenue water</x:v>
      </x:c>
      <x:c r="G113" s="28" t="str">
        <x:v>Performance outcome target; the PBC and management-system mechanisms are mapped separately.</x:v>
      </x:c>
      <x:c r="H113" s="28" t="str">
        <x:v>C — High-confidence Non-reform</x:v>
      </x:c>
      <x:c r="I113" s="28" t="str">
        <x:v>Excluded by LLM</x:v>
      </x:c>
      <x:c r="J113" s="28" t="str">
        <x:v>Outcome/Coverage Target</x:v>
      </x:c>
      <x:c r="K113" s="28" t="str">
        <x:v>No</x:v>
      </x:c>
      <x:c r="L113" s="28" t="str">
        <x:v>High</x:v>
      </x:c>
      <x:c r="M113" s="28" t="str">
        <x:v>This is a coverage, outcome, or production target without a discrete system-change mechanism.</x:v>
      </x:c>
      <x:c r="N113" s="28" t="str">
        <x:v>Water for People</x:v>
      </x:c>
      <x:c r="O113" s="28" t="str">
        <x:v>S1</x:v>
      </x:c>
      <x:c r="P113" s="28" t="str">
        <x:v>WSS Service Delivery &amp; Utility Reform</x:v>
      </x:c>
      <x:c r="Q113" s="28" t="str">
        <x:v>NRW target</x:v>
      </x:c>
      <x:c r="R113" s="28" t="str">
        <x:v>NWC</x:v>
      </x:c>
      <x:c r="S113" s="28" t="str">
        <x:v>JAM-008; JAM-009</x:v>
      </x:c>
      <x:c r="T113" s="28" t="str">
        <x:v>Pending human review</x:v>
      </x:c>
      <x:c r="U113" s="28" t="str"/>
      <x:c r="V113" s="28" t="str"/>
      <x:c r="W113" s="28" t="str">
        <x:v>Aspiration Excluded as General Ambition</x:v>
      </x:c>
      <x:c r="X113" s="28" t="str">
        <x:v>Commitment=Yes; Actionable Mechanism=No; System Change=No; Not Merely Implementation=No; Distinct/Aggregated=Yes</x:v>
      </x:c>
    </x:row>
    <x:row r="114" ht="52" customHeight="1">
      <x:c r="A114" s="28" t="str">
        <x:v>JAM-031</x:v>
      </x:c>
      <x:c r="B114" s="28" t="str">
        <x:v>Jamaica</x:v>
      </x:c>
      <x:c r="C114" s="28" t="str">
        <x:v>PDF p. 5, Section 2.3</x:v>
      </x:c>
      <x:c r="D114" s="28" t="str">
        <x:v>Target table/narrative</x:v>
      </x:c>
      <x:c r="E114" s="28" t="str">
        <x:v>Energy and renewable targets</x:v>
      </x:c>
      <x:c r="F114" s="28" t="str">
        <x:v>Improve energy efficiency and renewable-energy share</x:v>
      </x:c>
      <x:c r="G114" s="28" t="str">
        <x:v>Operational and emissions targets without an institutional reform mechanism.</x:v>
      </x:c>
      <x:c r="H114" s="28" t="str">
        <x:v>C — High-confidence Non-reform</x:v>
      </x:c>
      <x:c r="I114" s="28" t="str">
        <x:v>Excluded by LLM</x:v>
      </x:c>
      <x:c r="J114" s="28" t="str">
        <x:v>Outcome/Coverage Target</x:v>
      </x:c>
      <x:c r="K114" s="28" t="str">
        <x:v>No</x:v>
      </x:c>
      <x:c r="L114" s="28" t="str">
        <x:v>High</x:v>
      </x:c>
      <x:c r="M114" s="28" t="str">
        <x:v>This is a coverage, outcome, or production target without a discrete system-change mechanism.</x:v>
      </x:c>
      <x:c r="N114" s="28" t="str">
        <x:v>Water for People</x:v>
      </x:c>
      <x:c r="O114" s="28" t="str">
        <x:v>S1</x:v>
      </x:c>
      <x:c r="P114" s="28" t="str">
        <x:v>WSS Service Delivery &amp; Utility Reform</x:v>
      </x:c>
      <x:c r="Q114" s="28" t="str">
        <x:v>Utility energy-efficiency target</x:v>
      </x:c>
      <x:c r="R114" s="28" t="str">
        <x:v>NWC</x:v>
      </x:c>
      <x:c r="S114" s="28" t="str"/>
      <x:c r="T114" s="28" t="str">
        <x:v>Pending human review</x:v>
      </x:c>
      <x:c r="U114" s="28" t="str"/>
      <x:c r="V114" s="28" t="str"/>
      <x:c r="W114" s="28" t="str">
        <x:v>Aspiration Excluded as General Ambition</x:v>
      </x:c>
      <x:c r="X114" s="28" t="str">
        <x:v>Commitment=Yes; Actionable Mechanism=No; System Change=No; Not Merely Implementation=No; Distinct/Aggregated=Yes</x:v>
      </x:c>
    </x:row>
    <x:row r="115" ht="52" customHeight="1">
      <x:c r="A115" s="28" t="str">
        <x:v>JAM-032</x:v>
      </x:c>
      <x:c r="B115" s="28" t="str">
        <x:v>Jamaica</x:v>
      </x:c>
      <x:c r="C115" s="28" t="str">
        <x:v>PDF p. 5, Section 2.3</x:v>
      </x:c>
      <x:c r="D115" s="28" t="str">
        <x:v>Target table/narrative</x:v>
      </x:c>
      <x:c r="E115" s="28" t="str">
        <x:v>Expand sewerage coverage</x:v>
      </x:c>
      <x:c r="F115" s="28" t="str">
        <x:v>Expand sewerage connections and treatment infrastructure</x:v>
      </x:c>
      <x:c r="G115" s="28" t="str">
        <x:v>Coverage and infrastructure target.</x:v>
      </x:c>
      <x:c r="H115" s="28" t="str">
        <x:v>C — High-confidence Non-reform</x:v>
      </x:c>
      <x:c r="I115" s="28" t="str">
        <x:v>Excluded by LLM</x:v>
      </x:c>
      <x:c r="J115" s="28" t="str">
        <x:v>Outcome/Coverage Target</x:v>
      </x:c>
      <x:c r="K115" s="28" t="str">
        <x:v>No</x:v>
      </x:c>
      <x:c r="L115" s="28" t="str">
        <x:v>High</x:v>
      </x:c>
      <x:c r="M115" s="28" t="str">
        <x:v>This is a coverage, outcome, or production target without a discrete system-change mechanism.</x:v>
      </x:c>
      <x:c r="N115" s="28" t="str">
        <x:v>Water for People</x:v>
      </x:c>
      <x:c r="O115" s="28" t="str">
        <x:v>S1</x:v>
      </x:c>
      <x:c r="P115" s="28" t="str">
        <x:v>WSS Service Delivery &amp; Utility Reform</x:v>
      </x:c>
      <x:c r="Q115" s="28" t="str">
        <x:v>Sewerage-coverage target</x:v>
      </x:c>
      <x:c r="R115" s="28" t="str">
        <x:v>NWC</x:v>
      </x:c>
      <x:c r="S115" s="28" t="str"/>
      <x:c r="T115" s="28" t="str">
        <x:v>Pending human review</x:v>
      </x:c>
      <x:c r="U115" s="28" t="str"/>
      <x:c r="V115" s="28" t="str"/>
      <x:c r="W115" s="28" t="str">
        <x:v>Aspiration Excluded as General Ambition</x:v>
      </x:c>
      <x:c r="X115" s="28" t="str">
        <x:v>Commitment=Yes; Actionable Mechanism=No; System Change=No; Not Merely Implementation=No; Distinct/Aggregated=Yes</x:v>
      </x:c>
    </x:row>
    <x:row r="116" ht="52" customHeight="1">
      <x:c r="A116" s="28" t="str">
        <x:v>JAM-033</x:v>
      </x:c>
      <x:c r="B116" s="28" t="str">
        <x:v>Jamaica</x:v>
      </x:c>
      <x:c r="C116" s="28" t="str">
        <x:v>PDF pp. 5–6, Section 2.4</x:v>
      </x:c>
      <x:c r="D116" s="28" t="str">
        <x:v>Target narrative</x:v>
      </x:c>
      <x:c r="E116" s="28" t="str">
        <x:v>Efficient irrigation technologies</x:v>
      </x:c>
      <x:c r="F116" s="28" t="str">
        <x:v>Shift toward sprinkler, drip, hydroponic, and renewable-energy irrigation</x:v>
      </x:c>
      <x:c r="G116" s="28" t="str">
        <x:v>Technology adoption and investment, not a discrete governance reform.</x:v>
      </x:c>
      <x:c r="H116" s="28" t="str">
        <x:v>C — High-confidence Non-reform</x:v>
      </x:c>
      <x:c r="I116" s="28" t="str">
        <x:v>Excluded by LLM</x:v>
      </x:c>
      <x:c r="J116" s="28" t="str">
        <x:v>Implementation/Investment Activity</x:v>
      </x:c>
      <x:c r="K116" s="28" t="str">
        <x:v>No</x:v>
      </x:c>
      <x:c r="L116" s="28" t="str">
        <x:v>High</x:v>
      </x:c>
      <x:c r="M116" s="28" t="str">
        <x:v>This is an investment, construction, operational, training, study, or implementation output rather than a discrete system-change commitment.</x:v>
      </x:c>
      <x:c r="N116" s="28" t="str">
        <x:v>Water for Food</x:v>
      </x:c>
      <x:c r="O116" s="28" t="str">
        <x:v>S4; S5</x:v>
      </x:c>
      <x:c r="P116" s="28" t="str">
        <x:v>Agricultural Water &amp; Irrigation Governance</x:v>
      </x:c>
      <x:c r="Q116" s="28" t="str">
        <x:v>Irrigation technology deployment</x:v>
      </x:c>
      <x:c r="R116" s="28" t="str">
        <x:v>NIC; farmers</x:v>
      </x:c>
      <x:c r="S116" s="28" t="str"/>
      <x:c r="T116" s="28" t="str">
        <x:v>Pending human review</x:v>
      </x:c>
      <x:c r="U116" s="28" t="str"/>
      <x:c r="V116" s="28" t="str"/>
      <x:c r="W116" s="28" t="str">
        <x:v>Not an Aspiration</x:v>
      </x:c>
      <x:c r="X116" s="28" t="str">
        <x:v>Commitment=Yes; Actionable Mechanism=Partial; System Change=No; Not Merely Implementation=No; Distinct/Aggregated=Yes</x:v>
      </x:c>
    </x:row>
    <x:row r="117" ht="52" customHeight="1">
      <x:c r="A117" s="28" t="str">
        <x:v>JAM-034</x:v>
      </x:c>
      <x:c r="B117" s="28" t="str">
        <x:v>Jamaica</x:v>
      </x:c>
      <x:c r="C117" s="28" t="str">
        <x:v>PDF p. 6, Section 2.4</x:v>
      </x:c>
      <x:c r="D117" s="28" t="str">
        <x:v>Target narrative</x:v>
      </x:c>
      <x:c r="E117" s="28" t="str">
        <x:v>Wastewater reuse and aquifer recharge</x:v>
      </x:c>
      <x:c r="F117" s="28" t="str">
        <x:v>Implement treated-effluent reuse and managed aquifer recharge</x:v>
      </x:c>
      <x:c r="G117" s="28" t="str">
        <x:v>Operational water-resource augmentation interventions.</x:v>
      </x:c>
      <x:c r="H117" s="28" t="str">
        <x:v>C — High-confidence Non-reform</x:v>
      </x:c>
      <x:c r="I117" s="28" t="str">
        <x:v>Excluded by LLM</x:v>
      </x:c>
      <x:c r="J117" s="28" t="str">
        <x:v>Implementation/Investment Activity</x:v>
      </x:c>
      <x:c r="K117" s="28" t="str">
        <x:v>No</x:v>
      </x:c>
      <x:c r="L117" s="28" t="str">
        <x:v>High</x:v>
      </x:c>
      <x:c r="M117" s="28" t="str">
        <x:v>This is an investment, construction, operational, training, study, or implementation output rather than a discrete system-change commitment.</x:v>
      </x:c>
      <x:c r="N117" s="28" t="str">
        <x:v>Water for Food</x:v>
      </x:c>
      <x:c r="O117" s="28" t="str">
        <x:v>S5; S7</x:v>
      </x:c>
      <x:c r="P117" s="28" t="str">
        <x:v>Water Resources &amp; Climate Governance</x:v>
      </x:c>
      <x:c r="Q117" s="28" t="str">
        <x:v>Water augmentation investments</x:v>
      </x:c>
      <x:c r="R117" s="28" t="str">
        <x:v>NIC; WRA; NWC</x:v>
      </x:c>
      <x:c r="S117" s="28" t="str"/>
      <x:c r="T117" s="28" t="str">
        <x:v>Pending human review</x:v>
      </x:c>
      <x:c r="U117" s="28" t="str"/>
      <x:c r="V117" s="28" t="str"/>
      <x:c r="W117" s="28" t="str">
        <x:v>Not an Aspiration</x:v>
      </x:c>
      <x:c r="X117" s="28" t="str">
        <x:v>Commitment=Yes; Actionable Mechanism=Partial; System Change=No; Not Merely Implementation=No; Distinct/Aggregated=Yes</x:v>
      </x:c>
    </x:row>
    <x:row r="118" ht="52" customHeight="1">
      <x:c r="A118" s="28" t="str">
        <x:v>JAM-035</x:v>
      </x:c>
      <x:c r="B118" s="28" t="str">
        <x:v>Jamaica</x:v>
      </x:c>
      <x:c r="C118" s="28" t="str">
        <x:v>PDF p. 7, Section 3.1</x:v>
      </x:c>
      <x:c r="D118" s="28" t="str">
        <x:v>Infrastructure roadmap</x:v>
      </x:c>
      <x:c r="E118" s="28" t="str">
        <x:v>Rural Water Master Plan</x:v>
      </x:c>
      <x:c r="F118" s="28" t="str">
        <x:v>Develop a Rural Water Master Plan for non-utility service areas</x:v>
      </x:c>
      <x:c r="G118" s="28" t="str">
        <x:v>The heading signals a planning instrument, but the passage describes technical solutions rather than the plan's institutional scope, adoption, or governance role.</x:v>
      </x:c>
      <x:c r="H118" s="28" t="str">
        <x:v>B — Potential Reform Action — Human Review</x:v>
      </x:c>
      <x:c r="I118" s="28" t="str">
        <x:v>Pending Human Review</x:v>
      </x:c>
      <x:c r="J118" s="28" t="str">
        <x:v>Roadmap Enabling Reform</x:v>
      </x:c>
      <x:c r="K118" s="28" t="str">
        <x:v>No</x:v>
      </x:c>
      <x:c r="L118" s="28" t="str">
        <x:v>Low</x:v>
      </x:c>
      <x:c r="M118" s="28" t="str">
        <x:v>The passage signals plausible system change, but the instrument, institutional design, scope, aggregation, or distinction from implementation is not sufficiently clear for high-confidence inclusion.</x:v>
      </x:c>
      <x:c r="N118" s="28" t="str">
        <x:v>Water for People</x:v>
      </x:c>
      <x:c r="O118" s="28" t="str">
        <x:v>S3</x:v>
      </x:c>
      <x:c r="P118" s="28" t="str">
        <x:v>Policy &amp; Strategic Frameworks</x:v>
      </x:c>
      <x:c r="Q118" s="28" t="str">
        <x:v>Rural water master planning</x:v>
      </x:c>
      <x:c r="R118" s="28" t="str">
        <x:v>MWECC; RWSL</x:v>
      </x:c>
      <x:c r="S118" s="28" t="str"/>
      <x:c r="T118" s="28" t="str">
        <x:v>Pending human review</x:v>
      </x:c>
      <x:c r="U118" s="28" t="str"/>
      <x:c r="V118" s="28" t="str"/>
      <x:c r="W118" s="28" t="str">
        <x:v>Not an Aspiration</x:v>
      </x:c>
      <x:c r="X118" s="28" t="str">
        <x:v>Commitment=Yes/Partial; Actionable Mechanism=Partial; System Change=Partial; Not Merely Implementation=Partial; Distinct/Aggregated=Partial</x:v>
      </x:c>
    </x:row>
    <x:row r="119" ht="52" customHeight="1">
      <x:c r="A119" s="28" t="str">
        <x:v>JAM-036</x:v>
      </x:c>
      <x:c r="B119" s="28" t="str">
        <x:v>Jamaica</x:v>
      </x:c>
      <x:c r="C119" s="28" t="str">
        <x:v>PDF pp. 6–7, Section 3.1</x:v>
      </x:c>
      <x:c r="D119" s="28" t="str">
        <x:v>Infrastructure roadmap</x:v>
      </x:c>
      <x:c r="E119" s="28" t="str">
        <x:v>Energy, sewerage and solar investments</x:v>
      </x:c>
      <x:c r="F119" s="28" t="str">
        <x:v>Implement energy, wastewater, and renewable-energy projects</x:v>
      </x:c>
      <x:c r="G119" s="28" t="str">
        <x:v>Capital and operational investments.</x:v>
      </x:c>
      <x:c r="H119" s="28" t="str">
        <x:v>C — High-confidence Non-reform</x:v>
      </x:c>
      <x:c r="I119" s="28" t="str">
        <x:v>Excluded by LLM</x:v>
      </x:c>
      <x:c r="J119" s="28" t="str">
        <x:v>Implementation/Investment Activity</x:v>
      </x:c>
      <x:c r="K119" s="28" t="str">
        <x:v>No</x:v>
      </x:c>
      <x:c r="L119" s="28" t="str">
        <x:v>High</x:v>
      </x:c>
      <x:c r="M119" s="28" t="str">
        <x:v>This is an investment, construction, operational, training, study, or implementation output rather than a discrete system-change commitment.</x:v>
      </x:c>
      <x:c r="N119" s="28" t="str">
        <x:v>Water for People</x:v>
      </x:c>
      <x:c r="O119" s="28" t="str">
        <x:v>S1</x:v>
      </x:c>
      <x:c r="P119" s="28" t="str">
        <x:v>WSS Service Delivery &amp; Utility Reform</x:v>
      </x:c>
      <x:c r="Q119" s="28" t="str">
        <x:v>Infrastructure investment</x:v>
      </x:c>
      <x:c r="R119" s="28" t="str">
        <x:v>NWC</x:v>
      </x:c>
      <x:c r="S119" s="28" t="str"/>
      <x:c r="T119" s="28" t="str">
        <x:v>Pending human review</x:v>
      </x:c>
      <x:c r="U119" s="28" t="str"/>
      <x:c r="V119" s="28" t="str"/>
      <x:c r="W119" s="28" t="str">
        <x:v>Not an Aspiration</x:v>
      </x:c>
      <x:c r="X119" s="28" t="str">
        <x:v>Commitment=Yes; Actionable Mechanism=Partial; System Change=No; Not Merely Implementation=No; Distinct/Aggregated=Yes</x:v>
      </x:c>
    </x:row>
    <x:row r="120" ht="52" customHeight="1">
      <x:c r="A120" s="28" t="str">
        <x:v>JAM-037</x:v>
      </x:c>
      <x:c r="B120" s="28" t="str">
        <x:v>Jamaica</x:v>
      </x:c>
      <x:c r="C120" s="28" t="str">
        <x:v>PDF pp. 7–8, Section 3.3</x:v>
      </x:c>
      <x:c r="D120" s="28" t="str">
        <x:v>Investment section</x:v>
      </x:c>
      <x:c r="E120" s="28" t="str">
        <x:v>US$5 billion investment need</x:v>
      </x:c>
      <x:c r="F120" s="28" t="str">
        <x:v>Mobilize capital for water-sector investments</x:v>
      </x:c>
      <x:c r="G120" s="28" t="str">
        <x:v>Investment requirement and financing sources, not a distinct reform mechanism.</x:v>
      </x:c>
      <x:c r="H120" s="28" t="str">
        <x:v>C — High-confidence Non-reform</x:v>
      </x:c>
      <x:c r="I120" s="28" t="str">
        <x:v>Excluded by LLM</x:v>
      </x:c>
      <x:c r="J120" s="28" t="str">
        <x:v>Investment Pipeline/Project Preparation</x:v>
      </x:c>
      <x:c r="K120" s="28" t="str">
        <x:v>No</x:v>
      </x:c>
      <x:c r="L120" s="28" t="str">
        <x:v>High</x:v>
      </x:c>
      <x:c r="M120" s="28" t="str">
        <x:v>This is an investment, construction, operational, training, study, or implementation output rather than a discrete system-change commitment.</x:v>
      </x:c>
      <x:c r="N120" s="28" t="str">
        <x:v>Cross-cutting</x:v>
      </x:c>
      <x:c r="O120" s="28" t="str">
        <x:v>S1; S2; S3; S4; S5; S6; S7</x:v>
      </x:c>
      <x:c r="P120" s="28" t="str">
        <x:v>Financial Sustainability &amp; Sector Financing</x:v>
      </x:c>
      <x:c r="Q120" s="28" t="str">
        <x:v>Sector investment envelope</x:v>
      </x:c>
      <x:c r="R120" s="28" t="str">
        <x:v>Government of Jamaica; NWC; NIC</x:v>
      </x:c>
      <x:c r="S120" s="28" t="str"/>
      <x:c r="T120" s="28" t="str">
        <x:v>Pending human review</x:v>
      </x:c>
      <x:c r="U120" s="28" t="str"/>
      <x:c r="V120" s="28" t="str"/>
      <x:c r="W120" s="28" t="str">
        <x:v>Not an Aspiration</x:v>
      </x:c>
      <x:c r="X120" s="28" t="str">
        <x:v>Commitment=Yes; Actionable Mechanism=Partial; System Change=No; Not Merely Implementation=No; Distinct/Aggregated=Yes</x:v>
      </x:c>
    </x:row>
    <x:row r="121" ht="52" customHeight="1">
      <x:c r="A121" s="28" t="str">
        <x:v>JAM-038</x:v>
      </x:c>
      <x:c r="B121" s="28" t="str">
        <x:v>Jamaica</x:v>
      </x:c>
      <x:c r="C121" s="28" t="str">
        <x:v>PDF p. 8, Section 3.3</x:v>
      </x:c>
      <x:c r="D121" s="28" t="str">
        <x:v>Investment section</x:v>
      </x:c>
      <x:c r="E121" s="28" t="str">
        <x:v>PPP investment transactions</x:v>
      </x:c>
      <x:c r="F121" s="28" t="str">
        <x:v>Pursue specific water and wastewater PPP transactions</x:v>
      </x:c>
      <x:c r="G121" s="28" t="str">
        <x:v>Project transactions under an existing national PPP policy rather than a new sector-wide reform.</x:v>
      </x:c>
      <x:c r="H121" s="28" t="str">
        <x:v>C — High-confidence Non-reform</x:v>
      </x:c>
      <x:c r="I121" s="28" t="str">
        <x:v>Excluded by LLM</x:v>
      </x:c>
      <x:c r="J121" s="28" t="str">
        <x:v>Investment Pipeline/Project Preparation</x:v>
      </x:c>
      <x:c r="K121" s="28" t="str">
        <x:v>No</x:v>
      </x:c>
      <x:c r="L121" s="28" t="str">
        <x:v>High</x:v>
      </x:c>
      <x:c r="M121" s="28" t="str">
        <x:v>This is an investment, construction, operational, training, study, or implementation output rather than a discrete system-change commitment.</x:v>
      </x:c>
      <x:c r="N121" s="28" t="str">
        <x:v>Water for People</x:v>
      </x:c>
      <x:c r="O121" s="28" t="str">
        <x:v>S2</x:v>
      </x:c>
      <x:c r="P121" s="28" t="str">
        <x:v>Private Sector Participation &amp; Financing Enablers</x:v>
      </x:c>
      <x:c r="Q121" s="28" t="str">
        <x:v>PPP project preparation</x:v>
      </x:c>
      <x:c r="R121" s="28" t="str">
        <x:v>DBJ; NWC</x:v>
      </x:c>
      <x:c r="S121" s="28" t="str"/>
      <x:c r="T121" s="28" t="str">
        <x:v>Pending human review</x:v>
      </x:c>
      <x:c r="U121" s="28" t="str"/>
      <x:c r="V121" s="28" t="str"/>
      <x:c r="W121" s="28" t="str">
        <x:v>Not an Aspiration</x:v>
      </x:c>
      <x:c r="X121" s="28" t="str">
        <x:v>Commitment=Yes; Actionable Mechanism=Partial; System Change=No; Not Merely Implementation=No; Distinct/Aggregated=Yes</x:v>
      </x:c>
    </x:row>
    <x:row r="122" ht="52" customHeight="1">
      <x:c r="A122" s="28" t="str">
        <x:v>JAM-039</x:v>
      </x:c>
      <x:c r="B122" s="28" t="str">
        <x:v>Jamaica</x:v>
      </x:c>
      <x:c r="C122" s="28" t="str">
        <x:v>PDF p. 10, Section 5</x:v>
      </x:c>
      <x:c r="D122" s="28" t="str">
        <x:v>Government commitment</x:v>
      </x:c>
      <x:c r="E122" s="28" t="str">
        <x:v>Transparency and accountability</x:v>
      </x:c>
      <x:c r="F122" s="28" t="str">
        <x:v>Commit to transparency and accountability</x:v>
      </x:c>
      <x:c r="G122" s="28" t="str">
        <x:v>General principle without a specified disclosure, oversight, grievance, or accountability mechanism.</x:v>
      </x:c>
      <x:c r="H122" s="28" t="str">
        <x:v>C — High-confidence Non-reform</x:v>
      </x:c>
      <x:c r="I122" s="28" t="str">
        <x:v>Excluded by LLM</x:v>
      </x:c>
      <x:c r="J122" s="28" t="str">
        <x:v>Outcome/Coverage Target</x:v>
      </x:c>
      <x:c r="K122" s="28" t="str">
        <x:v>No</x:v>
      </x:c>
      <x:c r="L122" s="28" t="str">
        <x:v>High</x:v>
      </x:c>
      <x:c r="M122" s="28" t="str">
        <x:v>This is a coverage, outcome, or production target without a discrete system-change mechanism.</x:v>
      </x:c>
      <x:c r="N122" s="28" t="str">
        <x:v>Cross-cutting</x:v>
      </x:c>
      <x:c r="O122" s="28" t="str">
        <x:v>S1; S3; S7</x:v>
      </x:c>
      <x:c r="P122" s="28" t="str">
        <x:v>Accountability, Inclusion &amp; Citizen Engagement</x:v>
      </x:c>
      <x:c r="Q122" s="28" t="str">
        <x:v>General governance aspiration</x:v>
      </x:c>
      <x:c r="R122" s="28" t="str">
        <x:v>Government of Jamaica</x:v>
      </x:c>
      <x:c r="S122" s="28" t="str"/>
      <x:c r="T122" s="28" t="str">
        <x:v>Pending human review</x:v>
      </x:c>
      <x:c r="U122" s="28" t="str"/>
      <x:c r="V122" s="28" t="str"/>
      <x:c r="W122" s="28" t="str">
        <x:v>Aspiration Excluded as General Ambition</x:v>
      </x:c>
      <x:c r="X122" s="28" t="str">
        <x:v>Commitment=Yes; Actionable Mechanism=No; System Change=No; Not Merely Implementation=No; Distinct/Aggregated=Yes</x:v>
      </x:c>
    </x:row>
    <x:row r="123" ht="52" customHeight="1">
      <x:c r="A123" s="28" t="str">
        <x:v>JAM-040</x:v>
      </x:c>
      <x:c r="B123" s="28" t="str">
        <x:v>Jamaica</x:v>
      </x:c>
      <x:c r="C123" s="28" t="str">
        <x:v>PDF p. 10, Section 6</x:v>
      </x:c>
      <x:c r="D123" s="28" t="str">
        <x:v>Implementation arrangements</x:v>
      </x:c>
      <x:c r="E123" s="28" t="str">
        <x:v>MWECC leads Compact coordination</x:v>
      </x:c>
      <x:c r="F123" s="28" t="str">
        <x:v>Coordinate Compact implementation through the existing ministry branch</x:v>
      </x:c>
      <x:c r="G123" s="28" t="str">
        <x:v>Assignment of implementation responsibility using existing structures; no new institutional mechanism is specified.</x:v>
      </x:c>
      <x:c r="H123" s="28" t="str">
        <x:v>C — High-confidence Non-reform</x:v>
      </x:c>
      <x:c r="I123" s="28" t="str">
        <x:v>Excluded by LLM</x:v>
      </x:c>
      <x:c r="J123" s="28" t="str">
        <x:v>Implementation/Investment Activity</x:v>
      </x:c>
      <x:c r="K123" s="28" t="str">
        <x:v>No</x:v>
      </x:c>
      <x:c r="L123" s="28" t="str">
        <x:v>High</x:v>
      </x:c>
      <x:c r="M123" s="28" t="str">
        <x:v>This is an investment, construction, operational, training, study, or implementation output rather than a discrete system-change commitment.</x:v>
      </x:c>
      <x:c r="N123" s="28" t="str">
        <x:v>Cross-cutting</x:v>
      </x:c>
      <x:c r="O123" s="28" t="str">
        <x:v>S1; S5; S6; S7</x:v>
      </x:c>
      <x:c r="P123" s="28" t="str">
        <x:v>Sector Governance &amp; Institutional Architecture</x:v>
      </x:c>
      <x:c r="Q123" s="28" t="str">
        <x:v>Implementation coordination</x:v>
      </x:c>
      <x:c r="R123" s="28" t="str">
        <x:v>MWECC; IWRMC</x:v>
      </x:c>
      <x:c r="S123" s="28" t="str"/>
      <x:c r="T123" s="28" t="str">
        <x:v>Pending human review</x:v>
      </x:c>
      <x:c r="U123" s="28" t="str"/>
      <x:c r="V123" s="28" t="str"/>
      <x:c r="W123" s="28" t="str">
        <x:v>Not an Aspiration</x:v>
      </x:c>
      <x:c r="X123" s="28" t="str">
        <x:v>Commitment=Yes; Actionable Mechanism=Partial; System Change=No; Not Merely Implementation=No; Distinct/Aggregated=Yes</x:v>
      </x:c>
    </x:row>
    <x:row r="124" ht="52" customHeight="1">
      <x:c r="A124" s="28" t="str">
        <x:v>SLE-001</x:v>
      </x:c>
      <x:c r="B124" s="28" t="str">
        <x:v>Sierra Leone</x:v>
      </x:c>
      <x:c r="C124" s="28" t="str">
        <x:v>PDF p. 9, Table 1</x:v>
      </x:c>
      <x:c r="D124" s="28" t="str">
        <x:v>Target table</x:v>
      </x:c>
      <x:c r="E124" s="28" t="str">
        <x:v>Two transboundary basin authorities</x:v>
      </x:c>
      <x:c r="F124" s="28" t="str">
        <x:v>Establish and operationalize two transboundary basin authorities</x:v>
      </x:c>
      <x:c r="G124" s="28" t="str">
        <x:v>Create basin authorities for the Moa Makona and Great Scarcies shared basins.</x:v>
      </x:c>
      <x:c r="H124" s="28" t="str">
        <x:v>A — High-confidence Reform Action</x:v>
      </x:c>
      <x:c r="I124" s="28" t="str">
        <x:v>Provisionally Included</x:v>
      </x:c>
      <x:c r="J124" s="28" t="str">
        <x:v>Target-form Reform Action</x:v>
      </x:c>
      <x:c r="K124" s="28" t="str">
        <x:v>No</x:v>
      </x:c>
      <x:c r="L124" s="28" t="str">
        <x:v>High</x:v>
      </x:c>
      <x:c r="M124" s="28" t="str">
        <x:v>The Compact states a discrete, durable mechanism that changes or materially strengthens sector rules, institutions, financing, planning, accountability, or service-delivery systems.</x:v>
      </x:c>
      <x:c r="N124" s="28" t="str">
        <x:v>Water for Planet</x:v>
      </x:c>
      <x:c r="O124" s="28" t="str">
        <x:v>S7</x:v>
      </x:c>
      <x:c r="P124" s="28" t="str">
        <x:v>Water Resources &amp; Climate Governance</x:v>
      </x:c>
      <x:c r="Q124" s="28" t="str">
        <x:v>Transboundary basin institutions</x:v>
      </x:c>
      <x:c r="R124" s="28" t="str">
        <x:v>MWRS; NWRMA; riparian counterparts</x:v>
      </x:c>
      <x:c r="S124" s="28" t="str"/>
      <x:c r="T124" s="28" t="str">
        <x:v>Pending human review</x:v>
      </x:c>
      <x:c r="U124" s="28" t="str"/>
      <x:c r="V124" s="28" t="str"/>
      <x:c r="W124" s="28" t="str">
        <x:v>Not an Aspiration</x:v>
      </x:c>
      <x:c r="X124" s="28" t="str">
        <x:v>Commitment=Yes; Actionable Mechanism=Yes; System Change=Yes; Not Merely Implementation=Yes; Distinct/Aggregated=Yes</x:v>
      </x:c>
    </x:row>
    <x:row r="125" ht="52" customHeight="1">
      <x:c r="A125" s="28" t="str">
        <x:v>SLE-002</x:v>
      </x:c>
      <x:c r="B125" s="28" t="str">
        <x:v>Sierra Leone</x:v>
      </x:c>
      <x:c r="C125" s="28" t="str">
        <x:v>PDF p. 9, Table 1</x:v>
      </x:c>
      <x:c r="D125" s="28" t="str">
        <x:v>Target table</x:v>
      </x:c>
      <x:c r="E125" s="28" t="str">
        <x:v>Legally enforce 3,500 ha buffer zones</x:v>
      </x:c>
      <x:c r="F125" s="28" t="str">
        <x:v>Establish and enforce priority watershed buffer zones</x:v>
      </x:c>
      <x:c r="G125" s="28" t="str">
        <x:v>Legal enforcement is reform-like, but the target does not specify the legal instrument, responsible authority, or enforcement process.</x:v>
      </x:c>
      <x:c r="H125" s="28" t="str">
        <x:v>B — Potential Reform Action — Human Review</x:v>
      </x:c>
      <x:c r="I125" s="28" t="str">
        <x:v>Pending Human Review</x:v>
      </x:c>
      <x:c r="J125" s="28" t="str">
        <x:v>Target-form Reform Action</x:v>
      </x:c>
      <x:c r="K125" s="28" t="str">
        <x:v>No</x:v>
      </x:c>
      <x:c r="L125" s="28" t="str">
        <x:v>Medium</x:v>
      </x:c>
      <x:c r="M125" s="28" t="str">
        <x:v>The passage signals plausible system change, but the instrument, institutional design, scope, aggregation, or distinction from implementation is not sufficiently clear for high-confidence inclusion.</x:v>
      </x:c>
      <x:c r="N125" s="28" t="str">
        <x:v>Water for Planet</x:v>
      </x:c>
      <x:c r="O125" s="28" t="str">
        <x:v>S7</x:v>
      </x:c>
      <x:c r="P125" s="28" t="str">
        <x:v>Legal &amp; Regulatory Reform</x:v>
      </x:c>
      <x:c r="Q125" s="28" t="str">
        <x:v>Watershed buffer-zone regulation</x:v>
      </x:c>
      <x:c r="R125" s="28" t="str">
        <x:v>NWRMA; EPA-SL</x:v>
      </x:c>
      <x:c r="S125" s="28" t="str">
        <x:v>SLE-026</x:v>
      </x:c>
      <x:c r="T125" s="28" t="str">
        <x:v>Pending human review</x:v>
      </x:c>
      <x:c r="U125" s="28" t="str"/>
      <x:c r="V125" s="28" t="str"/>
      <x:c r="W125" s="28" t="str">
        <x:v>Aspiration Linked to Explicit Mechanism</x:v>
      </x:c>
      <x:c r="X125" s="28" t="str">
        <x:v>Commitment=Yes/Partial; Actionable Mechanism=Partial; System Change=Partial; Not Merely Implementation=Partial; Distinct/Aggregated=Partial</x:v>
      </x:c>
    </x:row>
    <x:row r="126" ht="52" customHeight="1">
      <x:c r="A126" s="28" t="str">
        <x:v>SLE-003</x:v>
      </x:c>
      <x:c r="B126" s="28" t="str">
        <x:v>Sierra Leone</x:v>
      </x:c>
      <x:c r="C126" s="28" t="str">
        <x:v>PDF p. 9, Table 1</x:v>
      </x:c>
      <x:c r="D126" s="28" t="str">
        <x:v>Target table</x:v>
      </x:c>
      <x:c r="E126" s="28" t="str">
        <x:v>Five Basin Boards</x:v>
      </x:c>
      <x:c r="F126" s="28" t="str">
        <x:v>Create and operationalize five Basin Boards</x:v>
      </x:c>
      <x:c r="G126" s="28" t="str">
        <x:v>Establish basin-level governance bodies as durable institutions.</x:v>
      </x:c>
      <x:c r="H126" s="28" t="str">
        <x:v>A — High-confidence Reform Action</x:v>
      </x:c>
      <x:c r="I126" s="28" t="str">
        <x:v>Provisionally Included</x:v>
      </x:c>
      <x:c r="J126" s="28" t="str">
        <x:v>Target-form Reform Action</x:v>
      </x:c>
      <x:c r="K126" s="28" t="str">
        <x:v>No</x:v>
      </x:c>
      <x:c r="L126" s="28" t="str">
        <x:v>High</x:v>
      </x:c>
      <x:c r="M126" s="28" t="str">
        <x:v>The Compact states a discrete, durable mechanism that changes or materially strengthens sector rules, institutions, financing, planning, accountability, or service-delivery systems.</x:v>
      </x:c>
      <x:c r="N126" s="28" t="str">
        <x:v>Water for Planet</x:v>
      </x:c>
      <x:c r="O126" s="28" t="str">
        <x:v>S7</x:v>
      </x:c>
      <x:c r="P126" s="28" t="str">
        <x:v>Water Resources &amp; Climate Governance</x:v>
      </x:c>
      <x:c r="Q126" s="28" t="str">
        <x:v>River-basin boards</x:v>
      </x:c>
      <x:c r="R126" s="28" t="str">
        <x:v>NWRMA; MWRS</x:v>
      </x:c>
      <x:c r="S126" s="28" t="str"/>
      <x:c r="T126" s="28" t="str">
        <x:v>Pending human review</x:v>
      </x:c>
      <x:c r="U126" s="28" t="str"/>
      <x:c r="V126" s="28" t="str"/>
      <x:c r="W126" s="28" t="str">
        <x:v>Not an Aspiration</x:v>
      </x:c>
      <x:c r="X126" s="28" t="str">
        <x:v>Commitment=Yes; Actionable Mechanism=Yes; System Change=Yes; Not Merely Implementation=Yes; Distinct/Aggregated=Yes</x:v>
      </x:c>
    </x:row>
    <x:row r="127" ht="52" customHeight="1">
      <x:c r="A127" s="28" t="str">
        <x:v>SLE-004</x:v>
      </x:c>
      <x:c r="B127" s="28" t="str">
        <x:v>Sierra Leone</x:v>
      </x:c>
      <x:c r="C127" s="28" t="str">
        <x:v>PDF p. 9, Table 1</x:v>
      </x:c>
      <x:c r="D127" s="28" t="str">
        <x:v>Target table</x:v>
      </x:c>
      <x:c r="E127" s="28" t="str">
        <x:v>Additional regional WRM office</x:v>
      </x:c>
      <x:c r="F127" s="28" t="str">
        <x:v>Operationalize an additional regional WRM office in Kenema</x:v>
      </x:c>
      <x:c r="G127" s="28" t="str">
        <x:v>Extend decentralized water-resources governance through a new regional office.</x:v>
      </x:c>
      <x:c r="H127" s="28" t="str">
        <x:v>A — High-confidence Reform Action</x:v>
      </x:c>
      <x:c r="I127" s="28" t="str">
        <x:v>Provisionally Included</x:v>
      </x:c>
      <x:c r="J127" s="28" t="str">
        <x:v>Target-form Reform Action</x:v>
      </x:c>
      <x:c r="K127" s="28" t="str">
        <x:v>No</x:v>
      </x:c>
      <x:c r="L127" s="28" t="str">
        <x:v>High</x:v>
      </x:c>
      <x:c r="M127" s="28" t="str">
        <x:v>The Compact states a discrete, durable mechanism that changes or materially strengthens sector rules, institutions, financing, planning, accountability, or service-delivery systems.</x:v>
      </x:c>
      <x:c r="N127" s="28" t="str">
        <x:v>Water for Planet</x:v>
      </x:c>
      <x:c r="O127" s="28" t="str">
        <x:v>S7</x:v>
      </x:c>
      <x:c r="P127" s="28" t="str">
        <x:v>Sector Governance &amp; Institutional Architecture</x:v>
      </x:c>
      <x:c r="Q127" s="28" t="str">
        <x:v>Decentralized WRM administration</x:v>
      </x:c>
      <x:c r="R127" s="28" t="str">
        <x:v>NWRMA; MWRS</x:v>
      </x:c>
      <x:c r="S127" s="28" t="str"/>
      <x:c r="T127" s="28" t="str">
        <x:v>Pending human review</x:v>
      </x:c>
      <x:c r="U127" s="28" t="str"/>
      <x:c r="V127" s="28" t="str"/>
      <x:c r="W127" s="28" t="str">
        <x:v>Not an Aspiration</x:v>
      </x:c>
      <x:c r="X127" s="28" t="str">
        <x:v>Commitment=Yes; Actionable Mechanism=Yes; System Change=Yes; Not Merely Implementation=Yes; Distinct/Aggregated=Yes</x:v>
      </x:c>
    </x:row>
    <x:row r="128" ht="52" customHeight="1">
      <x:c r="A128" s="28" t="str">
        <x:v>SLE-005</x:v>
      </x:c>
      <x:c r="B128" s="28" t="str">
        <x:v>Sierra Leone</x:v>
      </x:c>
      <x:c r="C128" s="28" t="str">
        <x:v>PDF p. 9, Table 1</x:v>
      </x:c>
      <x:c r="D128" s="28" t="str">
        <x:v>Target table</x:v>
      </x:c>
      <x:c r="E128" s="28" t="str">
        <x:v>Western Area Peninsula Water Fund</x:v>
      </x:c>
      <x:c r="F128" s="28" t="str">
        <x:v>Operationalize and capitalize the Western Area Peninsula Water Fund</x:v>
      </x:c>
      <x:c r="G128" s="28" t="str">
        <x:v>Use a dedicated financing mechanism to mobilize USD 10 million for watershed protection.</x:v>
      </x:c>
      <x:c r="H128" s="28" t="str">
        <x:v>A — High-confidence Reform Action</x:v>
      </x:c>
      <x:c r="I128" s="28" t="str">
        <x:v>Provisionally Included</x:v>
      </x:c>
      <x:c r="J128" s="28" t="str">
        <x:v>Target-form Reform Action</x:v>
      </x:c>
      <x:c r="K128" s="28" t="str">
        <x:v>No</x:v>
      </x:c>
      <x:c r="L128" s="28" t="str">
        <x:v>High</x:v>
      </x:c>
      <x:c r="M128" s="28" t="str">
        <x:v>The Compact states a discrete, durable mechanism that changes or materially strengthens sector rules, institutions, financing, planning, accountability, or service-delivery systems.</x:v>
      </x:c>
      <x:c r="N128" s="28" t="str">
        <x:v>Water for Planet</x:v>
      </x:c>
      <x:c r="O128" s="28" t="str">
        <x:v>S7</x:v>
      </x:c>
      <x:c r="P128" s="28" t="str">
        <x:v>Financial Sustainability &amp; Sector Financing</x:v>
      </x:c>
      <x:c r="Q128" s="28" t="str">
        <x:v>Watershed financing fund</x:v>
      </x:c>
      <x:c r="R128" s="28" t="str">
        <x:v>NWRMA; MWRS; partners</x:v>
      </x:c>
      <x:c r="S128" s="28" t="str"/>
      <x:c r="T128" s="28" t="str">
        <x:v>Pending human review</x:v>
      </x:c>
      <x:c r="U128" s="28" t="str"/>
      <x:c r="V128" s="28" t="str"/>
      <x:c r="W128" s="28" t="str">
        <x:v>Not an Aspiration</x:v>
      </x:c>
      <x:c r="X128" s="28" t="str">
        <x:v>Commitment=Yes; Actionable Mechanism=Yes; System Change=Yes; Not Merely Implementation=Yes; Distinct/Aggregated=Yes</x:v>
      </x:c>
    </x:row>
    <x:row r="129" ht="52" customHeight="1">
      <x:c r="A129" s="28" t="str">
        <x:v>SLE-006</x:v>
      </x:c>
      <x:c r="B129" s="28" t="str">
        <x:v>Sierra Leone</x:v>
      </x:c>
      <x:c r="C129" s="28" t="str">
        <x:v>PDF p. 10, Priority Action 2</x:v>
      </x:c>
      <x:c r="D129" s="28" t="str">
        <x:v>Narrative priority action</x:v>
      </x:c>
      <x:c r="E129" s="28" t="str">
        <x:v>Formalize inter-agency coordination</x:v>
      </x:c>
      <x:c r="F129" s="28" t="str">
        <x:v>Formalize inter-agency WASH coordination</x:v>
      </x:c>
      <x:c r="G129" s="28" t="str">
        <x:v>Reorganize the Sector Coordination Committee to include local government, development partners, and civil society.</x:v>
      </x:c>
      <x:c r="H129" s="28" t="str">
        <x:v>A — High-confidence Reform Action</x:v>
      </x:c>
      <x:c r="I129" s="28" t="str">
        <x:v>Provisionally Included</x:v>
      </x:c>
      <x:c r="J129" s="28" t="str">
        <x:v>Core Reform Action</x:v>
      </x:c>
      <x:c r="K129" s="28" t="str">
        <x:v>No</x:v>
      </x:c>
      <x:c r="L129" s="28" t="str">
        <x:v>High</x:v>
      </x:c>
      <x:c r="M129" s="28" t="str">
        <x:v>The Compact states a discrete, durable mechanism that changes or materially strengthens sector rules, institutions, financing, planning, accountability, or service-delivery systems.</x:v>
      </x:c>
      <x:c r="N129" s="28" t="str">
        <x:v>Cross-cutting</x:v>
      </x:c>
      <x:c r="O129" s="28" t="str">
        <x:v>S1; S3</x:v>
      </x:c>
      <x:c r="P129" s="28" t="str">
        <x:v>Sector Governance &amp; Institutional Architecture</x:v>
      </x:c>
      <x:c r="Q129" s="28" t="str">
        <x:v>Inclusive sector coordination mechanism</x:v>
      </x:c>
      <x:c r="R129" s="28" t="str">
        <x:v>MWRS; Sector Coordination Committee</x:v>
      </x:c>
      <x:c r="S129" s="28" t="str"/>
      <x:c r="T129" s="28" t="str">
        <x:v>Pending human review</x:v>
      </x:c>
      <x:c r="U129" s="28" t="str"/>
      <x:c r="V129" s="28" t="str"/>
      <x:c r="W129" s="28" t="str">
        <x:v>Not an Aspiration</x:v>
      </x:c>
      <x:c r="X129" s="28" t="str">
        <x:v>Commitment=Yes; Actionable Mechanism=Yes; System Change=Yes; Not Merely Implementation=Yes; Distinct/Aggregated=Yes</x:v>
      </x:c>
    </x:row>
    <x:row r="130" ht="52" customHeight="1">
      <x:c r="A130" s="28" t="str">
        <x:v>SLE-007</x:v>
      </x:c>
      <x:c r="B130" s="28" t="str">
        <x:v>Sierra Leone</x:v>
      </x:c>
      <x:c r="C130" s="28" t="str">
        <x:v>PDF p. 10, Priority Action 2</x:v>
      </x:c>
      <x:c r="D130" s="28" t="str">
        <x:v>Narrative priority action</x:v>
      </x:c>
      <x:c r="E130" s="28" t="str">
        <x:v>Standardized WASH information system</x:v>
      </x:c>
      <x:c r="F130" s="28" t="str">
        <x:v>Establish a standardized national WASH information system</x:v>
      </x:c>
      <x:c r="G130" s="28" t="str">
        <x:v>Support integrated sector planning and investment decisions with common information.</x:v>
      </x:c>
      <x:c r="H130" s="28" t="str">
        <x:v>A — High-confidence Reform Action</x:v>
      </x:c>
      <x:c r="I130" s="28" t="str">
        <x:v>Provisionally Included</x:v>
      </x:c>
      <x:c r="J130" s="28" t="str">
        <x:v>Core Reform Action</x:v>
      </x:c>
      <x:c r="K130" s="28" t="str">
        <x:v>No</x:v>
      </x:c>
      <x:c r="L130" s="28" t="str">
        <x:v>High</x:v>
      </x:c>
      <x:c r="M130" s="28" t="str">
        <x:v>The Compact states a discrete, durable mechanism that changes or materially strengthens sector rules, institutions, financing, planning, accountability, or service-delivery systems.</x:v>
      </x:c>
      <x:c r="N130" s="28" t="str">
        <x:v>Cross-cutting</x:v>
      </x:c>
      <x:c r="O130" s="28" t="str">
        <x:v>S1; S3</x:v>
      </x:c>
      <x:c r="P130" s="28" t="str">
        <x:v>Data, Digitalization &amp; Sector Intelligence</x:v>
      </x:c>
      <x:c r="Q130" s="28" t="str">
        <x:v>National WASH information system</x:v>
      </x:c>
      <x:c r="R130" s="28" t="str">
        <x:v>MWRS; sector agencies</x:v>
      </x:c>
      <x:c r="S130" s="28" t="str"/>
      <x:c r="T130" s="28" t="str">
        <x:v>Pending human review</x:v>
      </x:c>
      <x:c r="U130" s="28" t="str"/>
      <x:c r="V130" s="28" t="str"/>
      <x:c r="W130" s="28" t="str">
        <x:v>Not an Aspiration</x:v>
      </x:c>
      <x:c r="X130" s="28" t="str">
        <x:v>Commitment=Yes; Actionable Mechanism=Yes; System Change=Yes; Not Merely Implementation=Yes; Distinct/Aggregated=Yes</x:v>
      </x:c>
    </x:row>
    <x:row r="131" ht="52" customHeight="1">
      <x:c r="A131" s="28" t="str">
        <x:v>SLE-008</x:v>
      </x:c>
      <x:c r="B131" s="28" t="str">
        <x:v>Sierra Leone</x:v>
      </x:c>
      <x:c r="C131" s="28" t="str">
        <x:v>PDF p. 10, Priority Action 2</x:v>
      </x:c>
      <x:c r="D131" s="28" t="str">
        <x:v>Narrative priority action</x:v>
      </x:c>
      <x:c r="E131" s="28" t="str">
        <x:v>Diversify WASH funding sources</x:v>
      </x:c>
      <x:c r="F131" s="28" t="str">
        <x:v>Diversify sector financing through transfers, revenue, and PPPs</x:v>
      </x:c>
      <x:c r="G131" s="28" t="str">
        <x:v>The direction is credible but bundles several mechanisms that are specified separately in the programmatic outlook.</x:v>
      </x:c>
      <x:c r="H131" s="28" t="str">
        <x:v>B — Potential Reform Action — Human Review</x:v>
      </x:c>
      <x:c r="I131" s="28" t="str">
        <x:v>Pending Human Review</x:v>
      </x:c>
      <x:c r="J131" s="28" t="str">
        <x:v>Reform Aspiration — Potential</x:v>
      </x:c>
      <x:c r="K131" s="28" t="str">
        <x:v>No</x:v>
      </x:c>
      <x:c r="L131" s="28" t="str">
        <x:v>Medium</x:v>
      </x:c>
      <x:c r="M131" s="28" t="str">
        <x:v>The passage signals plausible system change, but the instrument, institutional design, scope, aggregation, or distinction from implementation is not sufficiently clear for high-confidence inclusion.</x:v>
      </x:c>
      <x:c r="N131" s="28" t="str">
        <x:v>Water for People</x:v>
      </x:c>
      <x:c r="O131" s="28" t="str">
        <x:v>S1; S2; S3</x:v>
      </x:c>
      <x:c r="P131" s="28" t="str">
        <x:v>Financial Sustainability &amp; Sector Financing</x:v>
      </x:c>
      <x:c r="Q131" s="28" t="str">
        <x:v>Diversified WASH financing</x:v>
      </x:c>
      <x:c r="R131" s="28" t="str">
        <x:v>MWRS; Ministry of Finance; service providers</x:v>
      </x:c>
      <x:c r="S131" s="28" t="str">
        <x:v>SLE-039; SLE-042; SLE-043; SLE-044</x:v>
      </x:c>
      <x:c r="T131" s="28" t="str">
        <x:v>Pending human review</x:v>
      </x:c>
      <x:c r="U131" s="28" t="str"/>
      <x:c r="V131" s="28" t="str"/>
      <x:c r="W131" s="28" t="str">
        <x:v>Aspiration Linked to Explicit Mechanism</x:v>
      </x:c>
      <x:c r="X131" s="28" t="str">
        <x:v>Commitment=Yes/Partial; Actionable Mechanism=Partial; System Change=Partial; Not Merely Implementation=Partial; Distinct/Aggregated=Partial</x:v>
      </x:c>
    </x:row>
    <x:row r="132" ht="52" customHeight="1">
      <x:c r="A132" s="28" t="str">
        <x:v>SLE-009</x:v>
      </x:c>
      <x:c r="B132" s="28" t="str">
        <x:v>Sierra Leone</x:v>
      </x:c>
      <x:c r="C132" s="28" t="str">
        <x:v>PDF p. 11, Priority Action 3</x:v>
      </x:c>
      <x:c r="D132" s="28" t="str">
        <x:v>Narrative priority action</x:v>
      </x:c>
      <x:c r="E132" s="28" t="str">
        <x:v>Market-based sanitation approaches</x:v>
      </x:c>
      <x:c r="F132" s="28" t="str">
        <x:v>Introduce market-based sanitation and private partnerships</x:v>
      </x:c>
      <x:c r="G132" s="28" t="str">
        <x:v>A service-delivery model is signaled, but responsibilities, market rules, and financing arrangements remain unspecified.</x:v>
      </x:c>
      <x:c r="H132" s="28" t="str">
        <x:v>B — Potential Reform Action — Human Review</x:v>
      </x:c>
      <x:c r="I132" s="28" t="str">
        <x:v>Pending Human Review</x:v>
      </x:c>
      <x:c r="J132" s="28" t="str">
        <x:v>Reform Aspiration — Potential</x:v>
      </x:c>
      <x:c r="K132" s="28" t="str">
        <x:v>No</x:v>
      </x:c>
      <x:c r="L132" s="28" t="str">
        <x:v>Low</x:v>
      </x:c>
      <x:c r="M132" s="28" t="str">
        <x:v>The passage signals plausible system change, but the instrument, institutional design, scope, aggregation, or distinction from implementation is not sufficiently clear for high-confidence inclusion.</x:v>
      </x:c>
      <x:c r="N132" s="28" t="str">
        <x:v>Water for People</x:v>
      </x:c>
      <x:c r="O132" s="28" t="str">
        <x:v>S2; S3</x:v>
      </x:c>
      <x:c r="P132" s="28" t="str">
        <x:v>Private Sector Participation &amp; Financing Enablers</x:v>
      </x:c>
      <x:c r="Q132" s="28" t="str">
        <x:v>Market-based sanitation</x:v>
      </x:c>
      <x:c r="R132" s="28" t="str">
        <x:v>MWRS; local councils; private sector</x:v>
      </x:c>
      <x:c r="S132" s="28" t="str"/>
      <x:c r="T132" s="28" t="str">
        <x:v>Pending human review</x:v>
      </x:c>
      <x:c r="U132" s="28" t="str"/>
      <x:c r="V132" s="28" t="str"/>
      <x:c r="W132" s="28" t="str">
        <x:v>Unlinked Reform Aspiration</x:v>
      </x:c>
      <x:c r="X132" s="28" t="str">
        <x:v>Commitment=Yes/Partial; Actionable Mechanism=Partial; System Change=Partial; Not Merely Implementation=Partial; Distinct/Aggregated=Partial</x:v>
      </x:c>
    </x:row>
    <x:row r="133" ht="52" customHeight="1">
      <x:c r="A133" s="28" t="str">
        <x:v>SLE-010</x:v>
      </x:c>
      <x:c r="B133" s="28" t="str">
        <x:v>Sierra Leone</x:v>
      </x:c>
      <x:c r="C133" s="28" t="str">
        <x:v>PDF p. 11, Priority Action 4</x:v>
      </x:c>
      <x:c r="D133" s="28" t="str">
        <x:v>Narrative priority action</x:v>
      </x:c>
      <x:c r="E133" s="28" t="str">
        <x:v>Climate-aware water monitoring system</x:v>
      </x:c>
      <x:c r="F133" s="28" t="str">
        <x:v>Establish a climate-aware water-resources monitoring system</x:v>
      </x:c>
      <x:c r="G133" s="28" t="str">
        <x:v>The system concept is reform-like, but the narrative presents it as a need; the outlook gives more specific monitoring activities.</x:v>
      </x:c>
      <x:c r="H133" s="28" t="str">
        <x:v>B — Potential Reform Action — Human Review</x:v>
      </x:c>
      <x:c r="I133" s="28" t="str">
        <x:v>Pending Human Review</x:v>
      </x:c>
      <x:c r="J133" s="28" t="str">
        <x:v>Reform Aspiration — Potential</x:v>
      </x:c>
      <x:c r="K133" s="28" t="str">
        <x:v>No</x:v>
      </x:c>
      <x:c r="L133" s="28" t="str">
        <x:v>Medium</x:v>
      </x:c>
      <x:c r="M133" s="28" t="str">
        <x:v>The passage signals plausible system change, but the instrument, institutional design, scope, aggregation, or distinction from implementation is not sufficiently clear for high-confidence inclusion.</x:v>
      </x:c>
      <x:c r="N133" s="28" t="str">
        <x:v>Water for Planet</x:v>
      </x:c>
      <x:c r="O133" s="28" t="str">
        <x:v>S6; S7</x:v>
      </x:c>
      <x:c r="P133" s="28" t="str">
        <x:v>Data, Digitalization &amp; Sector Intelligence</x:v>
      </x:c>
      <x:c r="Q133" s="28" t="str">
        <x:v>Climate-aware WRM monitoring</x:v>
      </x:c>
      <x:c r="R133" s="28" t="str">
        <x:v>NWRMA</x:v>
      </x:c>
      <x:c r="S133" s="28" t="str">
        <x:v>SLE-023</x:v>
      </x:c>
      <x:c r="T133" s="28" t="str">
        <x:v>Pending human review</x:v>
      </x:c>
      <x:c r="U133" s="28" t="str"/>
      <x:c r="V133" s="28" t="str"/>
      <x:c r="W133" s="28" t="str">
        <x:v>Aspiration Linked to Explicit Mechanism</x:v>
      </x:c>
      <x:c r="X133" s="28" t="str">
        <x:v>Commitment=Yes/Partial; Actionable Mechanism=Partial; System Change=Partial; Not Merely Implementation=Partial; Distinct/Aggregated=Partial</x:v>
      </x:c>
    </x:row>
    <x:row r="134" ht="52" customHeight="1">
      <x:c r="A134" s="28" t="str">
        <x:v>SLE-011</x:v>
      </x:c>
      <x:c r="B134" s="28" t="str">
        <x:v>Sierra Leone</x:v>
      </x:c>
      <x:c r="C134" s="28" t="str">
        <x:v>PDF p. 11, Priority Action 5</x:v>
      </x:c>
      <x:c r="D134" s="28" t="str">
        <x:v>Narrative priority action</x:v>
      </x:c>
      <x:c r="E134" s="28" t="str">
        <x:v>Solid-waste policies and regulations</x:v>
      </x:c>
      <x:c r="F134" s="28" t="str">
        <x:v>Establish policies and regulations for solid-waste management</x:v>
      </x:c>
      <x:c r="G134" s="28" t="str">
        <x:v>The mechanism is reform-like but solid waste is at the edge of the agreed water-sector scope and requires a scope decision.</x:v>
      </x:c>
      <x:c r="H134" s="28" t="str">
        <x:v>B — Potential Reform Action — Human Review</x:v>
      </x:c>
      <x:c r="I134" s="28" t="str">
        <x:v>Pending Human Review</x:v>
      </x:c>
      <x:c r="J134" s="28" t="str">
        <x:v>Outside Sector Scope</x:v>
      </x:c>
      <x:c r="K134" s="28" t="str">
        <x:v>No</x:v>
      </x:c>
      <x:c r="L134" s="28" t="str">
        <x:v>Low</x:v>
      </x:c>
      <x:c r="M134" s="28" t="str">
        <x:v>The passage signals plausible system change, but the instrument, institutional design, scope, aggregation, or distinction from implementation is not sufficiently clear for high-confidence inclusion.</x:v>
      </x:c>
      <x:c r="N134" s="28" t="str">
        <x:v>Water for Planet</x:v>
      </x:c>
      <x:c r="O134" s="28" t="str">
        <x:v>S6; S7</x:v>
      </x:c>
      <x:c r="P134" s="28" t="str">
        <x:v>Legal &amp; Regulatory Reform</x:v>
      </x:c>
      <x:c r="Q134" s="28" t="str">
        <x:v>Solid-waste regulation</x:v>
      </x:c>
      <x:c r="R134" s="28" t="str">
        <x:v>Local Government; EPA-SL; municipalities</x:v>
      </x:c>
      <x:c r="S134" s="28" t="str"/>
      <x:c r="T134" s="28" t="str">
        <x:v>Pending human review</x:v>
      </x:c>
      <x:c r="U134" s="28" t="str"/>
      <x:c r="V134" s="28" t="str"/>
      <x:c r="W134" s="28" t="str">
        <x:v>Not an Aspiration</x:v>
      </x:c>
      <x:c r="X134" s="28" t="str">
        <x:v>Commitment=Yes/Partial; Actionable Mechanism=Partial; System Change=Partial; Not Merely Implementation=Partial; Distinct/Aggregated=Partial</x:v>
      </x:c>
    </x:row>
    <x:row r="135" ht="52" customHeight="1">
      <x:c r="A135" s="28" t="str">
        <x:v>SLE-012</x:v>
      </x:c>
      <x:c r="B135" s="28" t="str">
        <x:v>Sierra Leone</x:v>
      </x:c>
      <x:c r="C135" s="28" t="str">
        <x:v>PDF p. 14, Appendix 1</x:v>
      </x:c>
      <x:c r="D135" s="28" t="str">
        <x:v>Programmatic outlook</x:v>
      </x:c>
      <x:c r="E135" s="28" t="str">
        <x:v>Local Council-wide water planning</x:v>
      </x:c>
      <x:c r="F135" s="28" t="str">
        <x:v>Institutionalize Local Council-wide water-supply planning</x:v>
      </x:c>
      <x:c r="G135" s="28" t="str">
        <x:v>Establish recurring council planning in collaboration with SALWACO.</x:v>
      </x:c>
      <x:c r="H135" s="28" t="str">
        <x:v>A — High-confidence Reform Action</x:v>
      </x:c>
      <x:c r="I135" s="28" t="str">
        <x:v>Provisionally Included</x:v>
      </x:c>
      <x:c r="J135" s="28" t="str">
        <x:v>Roadmap Enabling Reform</x:v>
      </x:c>
      <x:c r="K135" s="28" t="str">
        <x:v>No</x:v>
      </x:c>
      <x:c r="L135" s="28" t="str">
        <x:v>High</x:v>
      </x:c>
      <x:c r="M135" s="28" t="str">
        <x:v>The Compact states a discrete, durable mechanism that changes or materially strengthens sector rules, institutions, financing, planning, accountability, or service-delivery systems.</x:v>
      </x:c>
      <x:c r="N135" s="28" t="str">
        <x:v>Water for People</x:v>
      </x:c>
      <x:c r="O135" s="28" t="str">
        <x:v>S3</x:v>
      </x:c>
      <x:c r="P135" s="28" t="str">
        <x:v>WSS Service Delivery &amp; Utility Reform</x:v>
      </x:c>
      <x:c r="Q135" s="28" t="str">
        <x:v>Decentralized rural water planning</x:v>
      </x:c>
      <x:c r="R135" s="28" t="str">
        <x:v>Local councils; SALWACO</x:v>
      </x:c>
      <x:c r="S135" s="28" t="str"/>
      <x:c r="T135" s="28" t="str">
        <x:v>Pending human review</x:v>
      </x:c>
      <x:c r="U135" s="28" t="str"/>
      <x:c r="V135" s="28" t="str"/>
      <x:c r="W135" s="28" t="str">
        <x:v>Not an Aspiration</x:v>
      </x:c>
      <x:c r="X135" s="28" t="str">
        <x:v>Commitment=Yes; Actionable Mechanism=Yes; System Change=Yes; Not Merely Implementation=Yes; Distinct/Aggregated=Yes</x:v>
      </x:c>
    </x:row>
    <x:row r="136" ht="52" customHeight="1">
      <x:c r="A136" s="28" t="str">
        <x:v>SLE-013</x:v>
      </x:c>
      <x:c r="B136" s="28" t="str">
        <x:v>Sierra Leone</x:v>
      </x:c>
      <x:c r="C136" s="28" t="str">
        <x:v>PDF p. 14, Appendix 1</x:v>
      </x:c>
      <x:c r="D136" s="28" t="str">
        <x:v>Programmatic outlook</x:v>
      </x:c>
      <x:c r="E136" s="28" t="str">
        <x:v>Council planning and performance reporting</x:v>
      </x:c>
      <x:c r="F136" s="28" t="str">
        <x:v>Institutionalize Local Council WASH planning, budgeting, monitoring, and reporting</x:v>
      </x:c>
      <x:c r="G136" s="28" t="str">
        <x:v>Create recurring subnational planning and performance-management functions.</x:v>
      </x:c>
      <x:c r="H136" s="28" t="str">
        <x:v>A — High-confidence Reform Action</x:v>
      </x:c>
      <x:c r="I136" s="28" t="str">
        <x:v>Provisionally Included</x:v>
      </x:c>
      <x:c r="J136" s="28" t="str">
        <x:v>Roadmap Enabling Reform</x:v>
      </x:c>
      <x:c r="K136" s="28" t="str">
        <x:v>No</x:v>
      </x:c>
      <x:c r="L136" s="28" t="str">
        <x:v>High</x:v>
      </x:c>
      <x:c r="M136" s="28" t="str">
        <x:v>The Compact states a discrete, durable mechanism that changes or materially strengthens sector rules, institutions, financing, planning, accountability, or service-delivery systems.</x:v>
      </x:c>
      <x:c r="N136" s="28" t="str">
        <x:v>Water for People</x:v>
      </x:c>
      <x:c r="O136" s="28" t="str">
        <x:v>S3</x:v>
      </x:c>
      <x:c r="P136" s="28" t="str">
        <x:v>Accountability, Inclusion &amp; Citizen Engagement</x:v>
      </x:c>
      <x:c r="Q136" s="28" t="str">
        <x:v>Subnational WASH performance management</x:v>
      </x:c>
      <x:c r="R136" s="28" t="str">
        <x:v>Local councils</x:v>
      </x:c>
      <x:c r="S136" s="28" t="str"/>
      <x:c r="T136" s="28" t="str">
        <x:v>Pending human review</x:v>
      </x:c>
      <x:c r="U136" s="28" t="str"/>
      <x:c r="V136" s="28" t="str"/>
      <x:c r="W136" s="28" t="str">
        <x:v>Not an Aspiration</x:v>
      </x:c>
      <x:c r="X136" s="28" t="str">
        <x:v>Commitment=Yes; Actionable Mechanism=Yes; System Change=Yes; Not Merely Implementation=Yes; Distinct/Aggregated=Yes</x:v>
      </x:c>
    </x:row>
    <x:row r="137" ht="52" customHeight="1">
      <x:c r="A137" s="28" t="str">
        <x:v>SLE-014</x:v>
      </x:c>
      <x:c r="B137" s="28" t="str">
        <x:v>Sierra Leone</x:v>
      </x:c>
      <x:c r="C137" s="28" t="str">
        <x:v>PDF pp. 14–15, Appendix 1</x:v>
      </x:c>
      <x:c r="D137" s="28" t="str">
        <x:v>Programmatic outlook</x:v>
      </x:c>
      <x:c r="E137" s="28" t="str">
        <x:v>Mainstream asset-management planning</x:v>
      </x:c>
      <x:c r="F137" s="28" t="str">
        <x:v>Mainstream water-facility asset-management planning</x:v>
      </x:c>
      <x:c r="G137" s="28" t="str">
        <x:v>Make lifecycle replacement and major rehabilitation planning a routine management function.</x:v>
      </x:c>
      <x:c r="H137" s="28" t="str">
        <x:v>A — High-confidence Reform Action</x:v>
      </x:c>
      <x:c r="I137" s="28" t="str">
        <x:v>Provisionally Included</x:v>
      </x:c>
      <x:c r="J137" s="28" t="str">
        <x:v>Roadmap Enabling Reform</x:v>
      </x:c>
      <x:c r="K137" s="28" t="str">
        <x:v>No</x:v>
      </x:c>
      <x:c r="L137" s="28" t="str">
        <x:v>High</x:v>
      </x:c>
      <x:c r="M137" s="28" t="str">
        <x:v>The Compact states a discrete, durable mechanism that changes or materially strengthens sector rules, institutions, financing, planning, accountability, or service-delivery systems.</x:v>
      </x:c>
      <x:c r="N137" s="28" t="str">
        <x:v>Water for People</x:v>
      </x:c>
      <x:c r="O137" s="28" t="str">
        <x:v>S3</x:v>
      </x:c>
      <x:c r="P137" s="28" t="str">
        <x:v>WSS Service Delivery &amp; Utility Reform</x:v>
      </x:c>
      <x:c r="Q137" s="28" t="str">
        <x:v>Rural water asset management</x:v>
      </x:c>
      <x:c r="R137" s="28" t="str">
        <x:v>Local councils; SALWACO</x:v>
      </x:c>
      <x:c r="S137" s="28" t="str"/>
      <x:c r="T137" s="28" t="str">
        <x:v>Pending human review</x:v>
      </x:c>
      <x:c r="U137" s="28" t="str"/>
      <x:c r="V137" s="28" t="str"/>
      <x:c r="W137" s="28" t="str">
        <x:v>Not an Aspiration</x:v>
      </x:c>
      <x:c r="X137" s="28" t="str">
        <x:v>Commitment=Yes; Actionable Mechanism=Yes; System Change=Yes; Not Merely Implementation=Yes; Distinct/Aggregated=Yes</x:v>
      </x:c>
    </x:row>
    <x:row r="138" ht="52" customHeight="1">
      <x:c r="A138" s="28" t="str">
        <x:v>SLE-015</x:v>
      </x:c>
      <x:c r="B138" s="28" t="str">
        <x:v>Sierra Leone</x:v>
      </x:c>
      <x:c r="C138" s="28" t="str">
        <x:v>PDF p. 15, Appendix 1</x:v>
      </x:c>
      <x:c r="D138" s="28" t="str">
        <x:v>Programmatic outlook</x:v>
      </x:c>
      <x:c r="E138" s="28" t="str">
        <x:v>Enforce post-implementation support</x:v>
      </x:c>
      <x:c r="F138" s="28" t="str">
        <x:v>Enforce one-year post-implementation support for water projects</x:v>
      </x:c>
      <x:c r="G138" s="28" t="str">
        <x:v>Create an accountability and service-sustainability rule applicable to all projects.</x:v>
      </x:c>
      <x:c r="H138" s="28" t="str">
        <x:v>A — High-confidence Reform Action</x:v>
      </x:c>
      <x:c r="I138" s="28" t="str">
        <x:v>Provisionally Included</x:v>
      </x:c>
      <x:c r="J138" s="28" t="str">
        <x:v>Roadmap Enabling Reform</x:v>
      </x:c>
      <x:c r="K138" s="28" t="str">
        <x:v>No</x:v>
      </x:c>
      <x:c r="L138" s="28" t="str">
        <x:v>High</x:v>
      </x:c>
      <x:c r="M138" s="28" t="str">
        <x:v>The Compact states a discrete, durable mechanism that changes or materially strengthens sector rules, institutions, financing, planning, accountability, or service-delivery systems.</x:v>
      </x:c>
      <x:c r="N138" s="28" t="str">
        <x:v>Water for People</x:v>
      </x:c>
      <x:c r="O138" s="28" t="str">
        <x:v>S3</x:v>
      </x:c>
      <x:c r="P138" s="28" t="str">
        <x:v>Accountability, Inclusion &amp; Citizen Engagement</x:v>
      </x:c>
      <x:c r="Q138" s="28" t="str">
        <x:v>Post-construction service accountability</x:v>
      </x:c>
      <x:c r="R138" s="28" t="str">
        <x:v>MWRS; local councils; implementing partners</x:v>
      </x:c>
      <x:c r="S138" s="28" t="str"/>
      <x:c r="T138" s="28" t="str">
        <x:v>Pending human review</x:v>
      </x:c>
      <x:c r="U138" s="28" t="str"/>
      <x:c r="V138" s="28" t="str"/>
      <x:c r="W138" s="28" t="str">
        <x:v>Not an Aspiration</x:v>
      </x:c>
      <x:c r="X138" s="28" t="str">
        <x:v>Commitment=Yes; Actionable Mechanism=Yes; System Change=Yes; Not Merely Implementation=Yes; Distinct/Aggregated=Yes</x:v>
      </x:c>
    </x:row>
    <x:row r="139" ht="52" customHeight="1">
      <x:c r="A139" s="28" t="str">
        <x:v>SLE-016</x:v>
      </x:c>
      <x:c r="B139" s="28" t="str">
        <x:v>Sierra Leone</x:v>
      </x:c>
      <x:c r="C139" s="28" t="str">
        <x:v>PDF p. 15, Appendix 1</x:v>
      </x:c>
      <x:c r="D139" s="28" t="str">
        <x:v>Programmatic outlook</x:v>
      </x:c>
      <x:c r="E139" s="28" t="str">
        <x:v>Nationwide water-safety planning</x:v>
      </x:c>
      <x:c r="F139" s="28" t="str">
        <x:v>Develop and operationalize nationwide water-safety planning</x:v>
      </x:c>
      <x:c r="G139" s="28" t="str">
        <x:v>Institutionalize risk-based water-safety planning under the national drinking-water management framework.</x:v>
      </x:c>
      <x:c r="H139" s="28" t="str">
        <x:v>A — High-confidence Reform Action</x:v>
      </x:c>
      <x:c r="I139" s="28" t="str">
        <x:v>Provisionally Included</x:v>
      </x:c>
      <x:c r="J139" s="28" t="str">
        <x:v>Roadmap Enabling Reform</x:v>
      </x:c>
      <x:c r="K139" s="28" t="str">
        <x:v>No</x:v>
      </x:c>
      <x:c r="L139" s="28" t="str">
        <x:v>High</x:v>
      </x:c>
      <x:c r="M139" s="28" t="str">
        <x:v>The Compact states a discrete, durable mechanism that changes or materially strengthens sector rules, institutions, financing, planning, accountability, or service-delivery systems.</x:v>
      </x:c>
      <x:c r="N139" s="28" t="str">
        <x:v>Water for People</x:v>
      </x:c>
      <x:c r="O139" s="28" t="str">
        <x:v>S1; S3</x:v>
      </x:c>
      <x:c r="P139" s="28" t="str">
        <x:v>Policy &amp; Strategic Frameworks</x:v>
      </x:c>
      <x:c r="Q139" s="28" t="str">
        <x:v>Water-safety planning system</x:v>
      </x:c>
      <x:c r="R139" s="28" t="str">
        <x:v>MWRS; MoH; service providers</x:v>
      </x:c>
      <x:c r="S139" s="28" t="str"/>
      <x:c r="T139" s="28" t="str">
        <x:v>Pending human review</x:v>
      </x:c>
      <x:c r="U139" s="28" t="str"/>
      <x:c r="V139" s="28" t="str"/>
      <x:c r="W139" s="28" t="str">
        <x:v>Not an Aspiration</x:v>
      </x:c>
      <x:c r="X139" s="28" t="str">
        <x:v>Commitment=Yes; Actionable Mechanism=Yes; System Change=Yes; Not Merely Implementation=Yes; Distinct/Aggregated=Yes</x:v>
      </x:c>
    </x:row>
    <x:row r="140" ht="52" customHeight="1">
      <x:c r="A140" s="28" t="str">
        <x:v>SLE-017</x:v>
      </x:c>
      <x:c r="B140" s="28" t="str">
        <x:v>Sierra Leone</x:v>
      </x:c>
      <x:c r="C140" s="28" t="str">
        <x:v>PDF p. 15, Appendix 1</x:v>
      </x:c>
      <x:c r="D140" s="28" t="str">
        <x:v>Programmatic outlook</x:v>
      </x:c>
      <x:c r="E140" s="28" t="str">
        <x:v>PPP framework for handwashing</x:v>
      </x:c>
      <x:c r="F140" s="28" t="str">
        <x:v>Adopt and monitor a PPP framework for handwashing with soap</x:v>
      </x:c>
      <x:c r="G140" s="28" t="str">
        <x:v>Create a partnership framework and monitoring arrangements at local-council and chiefdom level.</x:v>
      </x:c>
      <x:c r="H140" s="28" t="str">
        <x:v>A — High-confidence Reform Action</x:v>
      </x:c>
      <x:c r="I140" s="28" t="str">
        <x:v>Provisionally Included</x:v>
      </x:c>
      <x:c r="J140" s="28" t="str">
        <x:v>Roadmap Enabling Reform</x:v>
      </x:c>
      <x:c r="K140" s="28" t="str">
        <x:v>No</x:v>
      </x:c>
      <x:c r="L140" s="28" t="str">
        <x:v>High</x:v>
      </x:c>
      <x:c r="M140" s="28" t="str">
        <x:v>The Compact states a discrete, durable mechanism that changes or materially strengthens sector rules, institutions, financing, planning, accountability, or service-delivery systems.</x:v>
      </x:c>
      <x:c r="N140" s="28" t="str">
        <x:v>Water for People</x:v>
      </x:c>
      <x:c r="O140" s="28" t="str">
        <x:v>S3</x:v>
      </x:c>
      <x:c r="P140" s="28" t="str">
        <x:v>Private Sector Participation &amp; Financing Enablers</x:v>
      </x:c>
      <x:c r="Q140" s="28" t="str">
        <x:v>Hygiene PPP framework</x:v>
      </x:c>
      <x:c r="R140" s="28" t="str">
        <x:v>MWRS; local councils; chiefdoms</x:v>
      </x:c>
      <x:c r="S140" s="28" t="str"/>
      <x:c r="T140" s="28" t="str">
        <x:v>Pending human review</x:v>
      </x:c>
      <x:c r="U140" s="28" t="str"/>
      <x:c r="V140" s="28" t="str"/>
      <x:c r="W140" s="28" t="str">
        <x:v>Not an Aspiration</x:v>
      </x:c>
      <x:c r="X140" s="28" t="str">
        <x:v>Commitment=Yes; Actionable Mechanism=Yes; System Change=Yes; Not Merely Implementation=Yes; Distinct/Aggregated=Yes</x:v>
      </x:c>
    </x:row>
    <x:row r="141" ht="52" customHeight="1">
      <x:c r="A141" s="28" t="str">
        <x:v>SLE-018</x:v>
      </x:c>
      <x:c r="B141" s="28" t="str">
        <x:v>Sierra Leone</x:v>
      </x:c>
      <x:c r="C141" s="28" t="str">
        <x:v>PDF p. 15, Appendix 1</x:v>
      </x:c>
      <x:c r="D141" s="28" t="str">
        <x:v>Programmatic outlook</x:v>
      </x:c>
      <x:c r="E141" s="28" t="str">
        <x:v>Review solid-waste policy and plan</x:v>
      </x:c>
      <x:c r="F141" s="28" t="str">
        <x:v>Review solid-waste policy and prepare a management plan</x:v>
      </x:c>
      <x:c r="G141" s="28" t="str">
        <x:v>Potential policy reform, but it remains at the water-sector scope boundary and combines diagnostic and planning outputs.</x:v>
      </x:c>
      <x:c r="H141" s="28" t="str">
        <x:v>B — Potential Reform Action — Human Review</x:v>
      </x:c>
      <x:c r="I141" s="28" t="str">
        <x:v>Pending Human Review</x:v>
      </x:c>
      <x:c r="J141" s="28" t="str">
        <x:v>Outside Sector Scope</x:v>
      </x:c>
      <x:c r="K141" s="28" t="str">
        <x:v>No</x:v>
      </x:c>
      <x:c r="L141" s="28" t="str">
        <x:v>Low</x:v>
      </x:c>
      <x:c r="M141" s="28" t="str">
        <x:v>The passage signals plausible system change, but the instrument, institutional design, scope, aggregation, or distinction from implementation is not sufficiently clear for high-confidence inclusion.</x:v>
      </x:c>
      <x:c r="N141" s="28" t="str">
        <x:v>Water for Planet</x:v>
      </x:c>
      <x:c r="O141" s="28" t="str">
        <x:v>S6; S7</x:v>
      </x:c>
      <x:c r="P141" s="28" t="str">
        <x:v>Policy &amp; Strategic Frameworks</x:v>
      </x:c>
      <x:c r="Q141" s="28" t="str">
        <x:v>Solid-waste policy</x:v>
      </x:c>
      <x:c r="R141" s="28" t="str">
        <x:v>EPA-SL; local government</x:v>
      </x:c>
      <x:c r="S141" s="28" t="str"/>
      <x:c r="T141" s="28" t="str">
        <x:v>Pending human review</x:v>
      </x:c>
      <x:c r="U141" s="28" t="str"/>
      <x:c r="V141" s="28" t="str"/>
      <x:c r="W141" s="28" t="str">
        <x:v>Not an Aspiration</x:v>
      </x:c>
      <x:c r="X141" s="28" t="str">
        <x:v>Commitment=Yes/Partial; Actionable Mechanism=Partial; System Change=Partial; Not Merely Implementation=Partial; Distinct/Aggregated=Partial</x:v>
      </x:c>
    </x:row>
    <x:row r="142" ht="52" customHeight="1">
      <x:c r="A142" s="28" t="str">
        <x:v>SLE-019</x:v>
      </x:c>
      <x:c r="B142" s="28" t="str">
        <x:v>Sierra Leone</x:v>
      </x:c>
      <x:c r="C142" s="28" t="str">
        <x:v>PDF p. 15, Appendix 1</x:v>
      </x:c>
      <x:c r="D142" s="28" t="str">
        <x:v>Programmatic outlook</x:v>
      </x:c>
      <x:c r="E142" s="28" t="str">
        <x:v>Review water-use and drilling regulations</x:v>
      </x:c>
      <x:c r="F142" s="28" t="str">
        <x:v>Review and update water-use and groundwater-drilling regulations</x:v>
      </x:c>
      <x:c r="G142" s="28" t="str">
        <x:v>Modernize rules governing abstraction and groundwater drilling.</x:v>
      </x:c>
      <x:c r="H142" s="28" t="str">
        <x:v>A — High-confidence Reform Action</x:v>
      </x:c>
      <x:c r="I142" s="28" t="str">
        <x:v>Provisionally Included</x:v>
      </x:c>
      <x:c r="J142" s="28" t="str">
        <x:v>Roadmap Enabling Reform</x:v>
      </x:c>
      <x:c r="K142" s="28" t="str">
        <x:v>No</x:v>
      </x:c>
      <x:c r="L142" s="28" t="str">
        <x:v>High</x:v>
      </x:c>
      <x:c r="M142" s="28" t="str">
        <x:v>The Compact states a discrete, durable mechanism that changes or materially strengthens sector rules, institutions, financing, planning, accountability, or service-delivery systems.</x:v>
      </x:c>
      <x:c r="N142" s="28" t="str">
        <x:v>Water for Planet</x:v>
      </x:c>
      <x:c r="O142" s="28" t="str">
        <x:v>S7</x:v>
      </x:c>
      <x:c r="P142" s="28" t="str">
        <x:v>Legal &amp; Regulatory Reform</x:v>
      </x:c>
      <x:c r="Q142" s="28" t="str">
        <x:v>Abstraction and drilling regulation</x:v>
      </x:c>
      <x:c r="R142" s="28" t="str">
        <x:v>NWRMA; EPA-SL</x:v>
      </x:c>
      <x:c r="S142" s="28" t="str"/>
      <x:c r="T142" s="28" t="str">
        <x:v>Pending human review</x:v>
      </x:c>
      <x:c r="U142" s="28" t="str"/>
      <x:c r="V142" s="28" t="str"/>
      <x:c r="W142" s="28" t="str">
        <x:v>Not an Aspiration</x:v>
      </x:c>
      <x:c r="X142" s="28" t="str">
        <x:v>Commitment=Yes; Actionable Mechanism=Yes; System Change=Yes; Not Merely Implementation=Yes; Distinct/Aggregated=Yes</x:v>
      </x:c>
    </x:row>
    <x:row r="143" ht="52" customHeight="1">
      <x:c r="A143" s="28" t="str">
        <x:v>SLE-020</x:v>
      </x:c>
      <x:c r="B143" s="28" t="str">
        <x:v>Sierra Leone</x:v>
      </x:c>
      <x:c r="C143" s="28" t="str">
        <x:v>PDF p. 15, Appendix 1</x:v>
      </x:c>
      <x:c r="D143" s="28" t="str">
        <x:v>Programmatic outlook</x:v>
      </x:c>
      <x:c r="E143" s="28" t="str">
        <x:v>Capacity to enforce raw-water permits</x:v>
      </x:c>
      <x:c r="F143" s="28" t="str">
        <x:v>Strengthen permit-monitoring and enforcement capacity</x:v>
      </x:c>
      <x:c r="G143" s="28" t="str">
        <x:v>The function is enduring and reform-relevant, but the line is framed as capacity-building support and does not specify the institutional system being changed.</x:v>
      </x:c>
      <x:c r="H143" s="28" t="str">
        <x:v>B — Potential Reform Action — Human Review</x:v>
      </x:c>
      <x:c r="I143" s="28" t="str">
        <x:v>Pending Human Review</x:v>
      </x:c>
      <x:c r="J143" s="28" t="str">
        <x:v>Reform Aspiration — Potential</x:v>
      </x:c>
      <x:c r="K143" s="28" t="str">
        <x:v>No</x:v>
      </x:c>
      <x:c r="L143" s="28" t="str">
        <x:v>Medium</x:v>
      </x:c>
      <x:c r="M143" s="28" t="str">
        <x:v>The passage signals plausible system change, but the instrument, institutional design, scope, aggregation, or distinction from implementation is not sufficiently clear for high-confidence inclusion.</x:v>
      </x:c>
      <x:c r="N143" s="28" t="str">
        <x:v>Water for Planet</x:v>
      </x:c>
      <x:c r="O143" s="28" t="str">
        <x:v>S7</x:v>
      </x:c>
      <x:c r="P143" s="28" t="str">
        <x:v>Legal &amp; Regulatory Reform</x:v>
      </x:c>
      <x:c r="Q143" s="28" t="str">
        <x:v>Raw-water permit enforcement</x:v>
      </x:c>
      <x:c r="R143" s="28" t="str">
        <x:v>NWRMA; EPA-SL</x:v>
      </x:c>
      <x:c r="S143" s="28" t="str">
        <x:v>SLE-019</x:v>
      </x:c>
      <x:c r="T143" s="28" t="str">
        <x:v>Pending human review</x:v>
      </x:c>
      <x:c r="U143" s="28" t="str"/>
      <x:c r="V143" s="28" t="str"/>
      <x:c r="W143" s="28" t="str">
        <x:v>Aspiration Linked to Explicit Mechanism</x:v>
      </x:c>
      <x:c r="X143" s="28" t="str">
        <x:v>Commitment=Yes/Partial; Actionable Mechanism=Partial; System Change=Partial; Not Merely Implementation=Partial; Distinct/Aggregated=Partial</x:v>
      </x:c>
    </x:row>
    <x:row r="144" ht="52" customHeight="1">
      <x:c r="A144" s="28" t="str">
        <x:v>SLE-021</x:v>
      </x:c>
      <x:c r="B144" s="28" t="str">
        <x:v>Sierra Leone</x:v>
      </x:c>
      <x:c r="C144" s="28" t="str">
        <x:v>PDF p. 15, Appendix 1</x:v>
      </x:c>
      <x:c r="D144" s="28" t="str">
        <x:v>Programmatic outlook</x:v>
      </x:c>
      <x:c r="E144" s="28" t="str">
        <x:v>Establish Dam Safety Unit</x:v>
      </x:c>
      <x:c r="F144" s="28" t="str">
        <x:v>Establish a Dam Safety Unit</x:v>
      </x:c>
      <x:c r="G144" s="28" t="str">
        <x:v>Create a permanent institutional unit with responsibility for dam-safety governance.</x:v>
      </x:c>
      <x:c r="H144" s="28" t="str">
        <x:v>A — High-confidence Reform Action</x:v>
      </x:c>
      <x:c r="I144" s="28" t="str">
        <x:v>Provisionally Included</x:v>
      </x:c>
      <x:c r="J144" s="28" t="str">
        <x:v>Roadmap Enabling Reform</x:v>
      </x:c>
      <x:c r="K144" s="28" t="str">
        <x:v>No</x:v>
      </x:c>
      <x:c r="L144" s="28" t="str">
        <x:v>High</x:v>
      </x:c>
      <x:c r="M144" s="28" t="str">
        <x:v>The Compact states a discrete, durable mechanism that changes or materially strengthens sector rules, institutions, financing, planning, accountability, or service-delivery systems.</x:v>
      </x:c>
      <x:c r="N144" s="28" t="str">
        <x:v>Water for Planet</x:v>
      </x:c>
      <x:c r="O144" s="28" t="str">
        <x:v>S6</x:v>
      </x:c>
      <x:c r="P144" s="28" t="str">
        <x:v>Sector Governance &amp; Institutional Architecture</x:v>
      </x:c>
      <x:c r="Q144" s="28" t="str">
        <x:v>Dam safety institution</x:v>
      </x:c>
      <x:c r="R144" s="28" t="str">
        <x:v>MWRS; NWRMA</x:v>
      </x:c>
      <x:c r="S144" s="28" t="str"/>
      <x:c r="T144" s="28" t="str">
        <x:v>Pending human review</x:v>
      </x:c>
      <x:c r="U144" s="28" t="str"/>
      <x:c r="V144" s="28" t="str"/>
      <x:c r="W144" s="28" t="str">
        <x:v>Not an Aspiration</x:v>
      </x:c>
      <x:c r="X144" s="28" t="str">
        <x:v>Commitment=Yes; Actionable Mechanism=Yes; System Change=Yes; Not Merely Implementation=Yes; Distinct/Aggregated=Yes</x:v>
      </x:c>
    </x:row>
    <x:row r="145" ht="52" customHeight="1">
      <x:c r="A145" s="28" t="str">
        <x:v>SLE-022</x:v>
      </x:c>
      <x:c r="B145" s="28" t="str">
        <x:v>Sierra Leone</x:v>
      </x:c>
      <x:c r="C145" s="28" t="str">
        <x:v>PDF p. 15, Appendix 1</x:v>
      </x:c>
      <x:c r="D145" s="28" t="str">
        <x:v>Programmatic outlook</x:v>
      </x:c>
      <x:c r="E145" s="28" t="str">
        <x:v>Dam-safety guidelines and regulations</x:v>
      </x:c>
      <x:c r="F145" s="28" t="str">
        <x:v>Adopt dam-safety guidelines and regulations</x:v>
      </x:c>
      <x:c r="G145" s="28" t="str">
        <x:v>Establish operating rules for floods, evacuation planning, dam monitoring, and safety compliance.</x:v>
      </x:c>
      <x:c r="H145" s="28" t="str">
        <x:v>A — High-confidence Reform Action</x:v>
      </x:c>
      <x:c r="I145" s="28" t="str">
        <x:v>Provisionally Included</x:v>
      </x:c>
      <x:c r="J145" s="28" t="str">
        <x:v>Roadmap Enabling Reform</x:v>
      </x:c>
      <x:c r="K145" s="28" t="str">
        <x:v>No</x:v>
      </x:c>
      <x:c r="L145" s="28" t="str">
        <x:v>High</x:v>
      </x:c>
      <x:c r="M145" s="28" t="str">
        <x:v>The Compact states a discrete, durable mechanism that changes or materially strengthens sector rules, institutions, financing, planning, accountability, or service-delivery systems.</x:v>
      </x:c>
      <x:c r="N145" s="28" t="str">
        <x:v>Water for Planet</x:v>
      </x:c>
      <x:c r="O145" s="28" t="str">
        <x:v>S6</x:v>
      </x:c>
      <x:c r="P145" s="28" t="str">
        <x:v>Legal &amp; Regulatory Reform</x:v>
      </x:c>
      <x:c r="Q145" s="28" t="str">
        <x:v>Dam safety regulation</x:v>
      </x:c>
      <x:c r="R145" s="28" t="str">
        <x:v>MWRS; NWRMA</x:v>
      </x:c>
      <x:c r="S145" s="28" t="str">
        <x:v>SLE-021</x:v>
      </x:c>
      <x:c r="T145" s="28" t="str">
        <x:v>Pending human review</x:v>
      </x:c>
      <x:c r="U145" s="28" t="str"/>
      <x:c r="V145" s="28" t="str"/>
      <x:c r="W145" s="28" t="str">
        <x:v>Not an Aspiration</x:v>
      </x:c>
      <x:c r="X145" s="28" t="str">
        <x:v>Commitment=Yes; Actionable Mechanism=Yes; System Change=Yes; Not Merely Implementation=Yes; Distinct/Aggregated=Yes</x:v>
      </x:c>
    </x:row>
    <x:row r="146" ht="52" customHeight="1">
      <x:c r="A146" s="28" t="str">
        <x:v>SLE-023</x:v>
      </x:c>
      <x:c r="B146" s="28" t="str">
        <x:v>Sierra Leone</x:v>
      </x:c>
      <x:c r="C146" s="28" t="str">
        <x:v>PDF pp. 15–16, Appendix 1</x:v>
      </x:c>
      <x:c r="D146" s="28" t="str">
        <x:v>Programmatic outlook</x:v>
      </x:c>
      <x:c r="E146" s="28" t="str">
        <x:v>Water-resource assessment and monitoring system</x:v>
      </x:c>
      <x:c r="F146" s="28" t="str">
        <x:v>Establish an operational water-resource assessment and monitoring system</x:v>
      </x:c>
      <x:c r="G146" s="28" t="str">
        <x:v>Create an enduring national capability for water-resource assessment, data collection, analysis, and decision support.</x:v>
      </x:c>
      <x:c r="H146" s="28" t="str">
        <x:v>A — High-confidence Reform Action</x:v>
      </x:c>
      <x:c r="I146" s="28" t="str">
        <x:v>Provisionally Included</x:v>
      </x:c>
      <x:c r="J146" s="28" t="str">
        <x:v>Roadmap Enabling Reform</x:v>
      </x:c>
      <x:c r="K146" s="28" t="str">
        <x:v>No</x:v>
      </x:c>
      <x:c r="L146" s="28" t="str">
        <x:v>High</x:v>
      </x:c>
      <x:c r="M146" s="28" t="str">
        <x:v>The Compact states a discrete, durable mechanism that changes or materially strengthens sector rules, institutions, financing, planning, accountability, or service-delivery systems.</x:v>
      </x:c>
      <x:c r="N146" s="28" t="str">
        <x:v>Water for Planet</x:v>
      </x:c>
      <x:c r="O146" s="28" t="str">
        <x:v>S6; S7</x:v>
      </x:c>
      <x:c r="P146" s="28" t="str">
        <x:v>Data, Digitalization &amp; Sector Intelligence</x:v>
      </x:c>
      <x:c r="Q146" s="28" t="str">
        <x:v>Water-resource monitoring system</x:v>
      </x:c>
      <x:c r="R146" s="28" t="str">
        <x:v>NWRMA</x:v>
      </x:c>
      <x:c r="S146" s="28" t="str"/>
      <x:c r="T146" s="28" t="str">
        <x:v>Pending human review</x:v>
      </x:c>
      <x:c r="U146" s="28" t="str"/>
      <x:c r="V146" s="28" t="str"/>
      <x:c r="W146" s="28" t="str">
        <x:v>Not an Aspiration</x:v>
      </x:c>
      <x:c r="X146" s="28" t="str">
        <x:v>Commitment=Yes; Actionable Mechanism=Yes; System Change=Yes; Not Merely Implementation=Yes; Distinct/Aggregated=Yes</x:v>
      </x:c>
    </x:row>
    <x:row r="147" ht="52" customHeight="1">
      <x:c r="A147" s="28" t="str">
        <x:v>SLE-024</x:v>
      </x:c>
      <x:c r="B147" s="28" t="str">
        <x:v>Sierra Leone</x:v>
      </x:c>
      <x:c r="C147" s="28" t="str">
        <x:v>PDF p. 16, Appendix 1</x:v>
      </x:c>
      <x:c r="D147" s="28" t="str">
        <x:v>Programmatic outlook</x:v>
      </x:c>
      <x:c r="E147" s="28" t="str">
        <x:v>National and basin IWRM plans</x:v>
      </x:c>
      <x:c r="F147" s="28" t="str">
        <x:v>Prepare national and river-basin IWRM plans</x:v>
      </x:c>
      <x:c r="G147" s="28" t="str">
        <x:v>Create integrated planning instruments at national and basin levels.</x:v>
      </x:c>
      <x:c r="H147" s="28" t="str">
        <x:v>A — High-confidence Reform Action</x:v>
      </x:c>
      <x:c r="I147" s="28" t="str">
        <x:v>Provisionally Included</x:v>
      </x:c>
      <x:c r="J147" s="28" t="str">
        <x:v>Roadmap Enabling Reform</x:v>
      </x:c>
      <x:c r="K147" s="28" t="str">
        <x:v>No</x:v>
      </x:c>
      <x:c r="L147" s="28" t="str">
        <x:v>High</x:v>
      </x:c>
      <x:c r="M147" s="28" t="str">
        <x:v>The Compact states a discrete, durable mechanism that changes or materially strengthens sector rules, institutions, financing, planning, accountability, or service-delivery systems.</x:v>
      </x:c>
      <x:c r="N147" s="28" t="str">
        <x:v>Water for Planet</x:v>
      </x:c>
      <x:c r="O147" s="28" t="str">
        <x:v>S7</x:v>
      </x:c>
      <x:c r="P147" s="28" t="str">
        <x:v>Policy &amp; Strategic Frameworks</x:v>
      </x:c>
      <x:c r="Q147" s="28" t="str">
        <x:v>National and basin IWRM planning</x:v>
      </x:c>
      <x:c r="R147" s="28" t="str">
        <x:v>NWRMA; MWRS</x:v>
      </x:c>
      <x:c r="S147" s="28" t="str"/>
      <x:c r="T147" s="28" t="str">
        <x:v>Pending human review</x:v>
      </x:c>
      <x:c r="U147" s="28" t="str"/>
      <x:c r="V147" s="28" t="str"/>
      <x:c r="W147" s="28" t="str">
        <x:v>Not an Aspiration</x:v>
      </x:c>
      <x:c r="X147" s="28" t="str">
        <x:v>Commitment=Yes; Actionable Mechanism=Yes; System Change=Yes; Not Merely Implementation=Yes; Distinct/Aggregated=Yes</x:v>
      </x:c>
    </x:row>
    <x:row r="148" ht="52" customHeight="1">
      <x:c r="A148" s="28" t="str">
        <x:v>SLE-025</x:v>
      </x:c>
      <x:c r="B148" s="28" t="str">
        <x:v>Sierra Leone</x:v>
      </x:c>
      <x:c r="C148" s="28" t="str">
        <x:v>PDF p. 16, Appendix 1</x:v>
      </x:c>
      <x:c r="D148" s="28" t="str">
        <x:v>Programmatic outlook</x:v>
      </x:c>
      <x:c r="E148" s="28" t="str">
        <x:v>River Basin Offices and Boards</x:v>
      </x:c>
      <x:c r="F148" s="28" t="str">
        <x:v>Establish River Basin Offices and Boards</x:v>
      </x:c>
      <x:c r="G148" s="28" t="str">
        <x:v>The outlook repeats the Basin Board and regional-office reforms already retained from the target table.</x:v>
      </x:c>
      <x:c r="H148" s="28" t="str">
        <x:v>C — High-confidence Non-reform</x:v>
      </x:c>
      <x:c r="I148" s="28" t="str">
        <x:v>Consolidated</x:v>
      </x:c>
      <x:c r="J148" s="28" t="str">
        <x:v>Consolidated/Covered by Broader Reform</x:v>
      </x:c>
      <x:c r="K148" s="28" t="str">
        <x:v>No</x:v>
      </x:c>
      <x:c r="L148" s="28" t="str">
        <x:v>High</x:v>
      </x:c>
      <x:c r="M148" s="28" t="str">
        <x:v>This passage repeats or operationalizes a broader candidate already retained; counting it separately would double count the same reform mechanism.</x:v>
      </x:c>
      <x:c r="N148" s="28" t="str">
        <x:v>Water for Planet</x:v>
      </x:c>
      <x:c r="O148" s="28" t="str">
        <x:v>S7</x:v>
      </x:c>
      <x:c r="P148" s="28" t="str">
        <x:v>Water Resources &amp; Climate Governance</x:v>
      </x:c>
      <x:c r="Q148" s="28" t="str">
        <x:v>Basin institutions</x:v>
      </x:c>
      <x:c r="R148" s="28" t="str">
        <x:v>NWRMA; MWRS</x:v>
      </x:c>
      <x:c r="S148" s="28" t="str">
        <x:v>SLE-003; SLE-004</x:v>
      </x:c>
      <x:c r="T148" s="28" t="str">
        <x:v>Pending human review</x:v>
      </x:c>
      <x:c r="U148" s="28" t="str"/>
      <x:c r="V148" s="28" t="str"/>
      <x:c r="W148" s="28" t="str">
        <x:v>Not an Aspiration</x:v>
      </x:c>
      <x:c r="X148" s="28" t="str">
        <x:v>Commitment=Yes; Actionable Mechanism=Yes; System Change=Yes; Not Merely Implementation=Yes; Distinct/Aggregated=No</x:v>
      </x:c>
    </x:row>
    <x:row r="149" ht="52" customHeight="1">
      <x:c r="A149" s="28" t="str">
        <x:v>SLE-026</x:v>
      </x:c>
      <x:c r="B149" s="28" t="str">
        <x:v>Sierra Leone</x:v>
      </x:c>
      <x:c r="C149" s="28" t="str">
        <x:v>PDF p. 16, Appendix 1</x:v>
      </x:c>
      <x:c r="D149" s="28" t="str">
        <x:v>Programmatic outlook</x:v>
      </x:c>
      <x:c r="E149" s="28" t="str">
        <x:v>Legislative instrument on buffer zones</x:v>
      </x:c>
      <x:c r="F149" s="28" t="str">
        <x:v>Adopt a legislative instrument for watershed buffer zones</x:v>
      </x:c>
      <x:c r="G149" s="28" t="str">
        <x:v>Create the legal basis for buffer-zone designation and enforcement.</x:v>
      </x:c>
      <x:c r="H149" s="28" t="str">
        <x:v>A — High-confidence Reform Action</x:v>
      </x:c>
      <x:c r="I149" s="28" t="str">
        <x:v>Provisionally Included</x:v>
      </x:c>
      <x:c r="J149" s="28" t="str">
        <x:v>Roadmap Enabling Reform</x:v>
      </x:c>
      <x:c r="K149" s="28" t="str">
        <x:v>No</x:v>
      </x:c>
      <x:c r="L149" s="28" t="str">
        <x:v>High</x:v>
      </x:c>
      <x:c r="M149" s="28" t="str">
        <x:v>The Compact states a discrete, durable mechanism that changes or materially strengthens sector rules, institutions, financing, planning, accountability, or service-delivery systems.</x:v>
      </x:c>
      <x:c r="N149" s="28" t="str">
        <x:v>Water for Planet</x:v>
      </x:c>
      <x:c r="O149" s="28" t="str">
        <x:v>S7</x:v>
      </x:c>
      <x:c r="P149" s="28" t="str">
        <x:v>Legal &amp; Regulatory Reform</x:v>
      </x:c>
      <x:c r="Q149" s="28" t="str">
        <x:v>Watershed buffer-zone legislation</x:v>
      </x:c>
      <x:c r="R149" s="28" t="str">
        <x:v>NWRMA; EPA-SL</x:v>
      </x:c>
      <x:c r="S149" s="28" t="str">
        <x:v>SLE-002</x:v>
      </x:c>
      <x:c r="T149" s="28" t="str">
        <x:v>Pending human review</x:v>
      </x:c>
      <x:c r="U149" s="28" t="str"/>
      <x:c r="V149" s="28" t="str"/>
      <x:c r="W149" s="28" t="str">
        <x:v>Not an Aspiration</x:v>
      </x:c>
      <x:c r="X149" s="28" t="str">
        <x:v>Commitment=Yes; Actionable Mechanism=Yes; System Change=Yes; Not Merely Implementation=Yes; Distinct/Aggregated=Yes</x:v>
      </x:c>
    </x:row>
    <x:row r="150" ht="52" customHeight="1">
      <x:c r="A150" s="28" t="str">
        <x:v>SLE-027</x:v>
      </x:c>
      <x:c r="B150" s="28" t="str">
        <x:v>Sierra Leone</x:v>
      </x:c>
      <x:c r="C150" s="28" t="str">
        <x:v>PDF p. 16, Appendix 1</x:v>
      </x:c>
      <x:c r="D150" s="28" t="str">
        <x:v>Programmatic outlook</x:v>
      </x:c>
      <x:c r="E150" s="28" t="str">
        <x:v>Rainwater-harvesting policy framework</x:v>
      </x:c>
      <x:c r="F150" s="28" t="str">
        <x:v>Adopt a strategic policy framework for rainwater harvesting</x:v>
      </x:c>
      <x:c r="G150" s="28" t="str">
        <x:v>Create national policy direction for rainwater harvesting and use.</x:v>
      </x:c>
      <x:c r="H150" s="28" t="str">
        <x:v>A — High-confidence Reform Action</x:v>
      </x:c>
      <x:c r="I150" s="28" t="str">
        <x:v>Provisionally Included</x:v>
      </x:c>
      <x:c r="J150" s="28" t="str">
        <x:v>Roadmap Enabling Reform</x:v>
      </x:c>
      <x:c r="K150" s="28" t="str">
        <x:v>No</x:v>
      </x:c>
      <x:c r="L150" s="28" t="str">
        <x:v>High</x:v>
      </x:c>
      <x:c r="M150" s="28" t="str">
        <x:v>The Compact states a discrete, durable mechanism that changes or materially strengthens sector rules, institutions, financing, planning, accountability, or service-delivery systems.</x:v>
      </x:c>
      <x:c r="N150" s="28" t="str">
        <x:v>Water for Planet</x:v>
      </x:c>
      <x:c r="O150" s="28" t="str">
        <x:v>S6; S7</x:v>
      </x:c>
      <x:c r="P150" s="28" t="str">
        <x:v>Policy &amp; Strategic Frameworks</x:v>
      </x:c>
      <x:c r="Q150" s="28" t="str">
        <x:v>Rainwater-harvesting policy</x:v>
      </x:c>
      <x:c r="R150" s="28" t="str">
        <x:v>MWRS; NWRMA</x:v>
      </x:c>
      <x:c r="S150" s="28" t="str"/>
      <x:c r="T150" s="28" t="str">
        <x:v>Pending human review</x:v>
      </x:c>
      <x:c r="U150" s="28" t="str"/>
      <x:c r="V150" s="28" t="str"/>
      <x:c r="W150" s="28" t="str">
        <x:v>Not an Aspiration</x:v>
      </x:c>
      <x:c r="X150" s="28" t="str">
        <x:v>Commitment=Yes; Actionable Mechanism=Yes; System Change=Yes; Not Merely Implementation=Yes; Distinct/Aggregated=Yes</x:v>
      </x:c>
    </x:row>
    <x:row r="151" ht="52" customHeight="1">
      <x:c r="A151" s="28" t="str">
        <x:v>SLE-028</x:v>
      </x:c>
      <x:c r="B151" s="28" t="str">
        <x:v>Sierra Leone</x:v>
      </x:c>
      <x:c r="C151" s="28" t="str">
        <x:v>PDF p. 16, Appendix 1</x:v>
      </x:c>
      <x:c r="D151" s="28" t="str">
        <x:v>Programmatic outlook</x:v>
      </x:c>
      <x:c r="E151" s="28" t="str">
        <x:v>Water conservation and flood strategy</x:v>
      </x:c>
      <x:c r="F151" s="28" t="str">
        <x:v>Adopt a water-conservation, irrigation, and flood-reduction strategy</x:v>
      </x:c>
      <x:c r="G151" s="28" t="str">
        <x:v>Connect IWRM and climate-change adaptation through an integrated strategic framework.</x:v>
      </x:c>
      <x:c r="H151" s="28" t="str">
        <x:v>A — High-confidence Reform Action</x:v>
      </x:c>
      <x:c r="I151" s="28" t="str">
        <x:v>Provisionally Included</x:v>
      </x:c>
      <x:c r="J151" s="28" t="str">
        <x:v>Roadmap Enabling Reform</x:v>
      </x:c>
      <x:c r="K151" s="28" t="str">
        <x:v>No</x:v>
      </x:c>
      <x:c r="L151" s="28" t="str">
        <x:v>High</x:v>
      </x:c>
      <x:c r="M151" s="28" t="str">
        <x:v>The Compact states a discrete, durable mechanism that changes or materially strengthens sector rules, institutions, financing, planning, accountability, or service-delivery systems.</x:v>
      </x:c>
      <x:c r="N151" s="28" t="str">
        <x:v>Water for Planet</x:v>
      </x:c>
      <x:c r="O151" s="28" t="str">
        <x:v>S6; S7</x:v>
      </x:c>
      <x:c r="P151" s="28" t="str">
        <x:v>Policy &amp; Strategic Frameworks</x:v>
      </x:c>
      <x:c r="Q151" s="28" t="str">
        <x:v>Climate-integrated water strategy</x:v>
      </x:c>
      <x:c r="R151" s="28" t="str">
        <x:v>NWRMA; MWRS; agriculture agencies</x:v>
      </x:c>
      <x:c r="S151" s="28" t="str"/>
      <x:c r="T151" s="28" t="str">
        <x:v>Pending human review</x:v>
      </x:c>
      <x:c r="U151" s="28" t="str"/>
      <x:c r="V151" s="28" t="str"/>
      <x:c r="W151" s="28" t="str">
        <x:v>Not an Aspiration</x:v>
      </x:c>
      <x:c r="X151" s="28" t="str">
        <x:v>Commitment=Yes; Actionable Mechanism=Yes; System Change=Yes; Not Merely Implementation=Yes; Distinct/Aggregated=Yes</x:v>
      </x:c>
    </x:row>
    <x:row r="152" ht="52" customHeight="1">
      <x:c r="A152" s="28" t="str">
        <x:v>SLE-029</x:v>
      </x:c>
      <x:c r="B152" s="28" t="str">
        <x:v>Sierra Leone</x:v>
      </x:c>
      <x:c r="C152" s="28" t="str">
        <x:v>PDF p. 16, Appendix 1</x:v>
      </x:c>
      <x:c r="D152" s="28" t="str">
        <x:v>Programmatic outlook</x:v>
      </x:c>
      <x:c r="E152" s="28" t="str">
        <x:v>Upgrade hydrometric data system</x:v>
      </x:c>
      <x:c r="F152" s="28" t="str">
        <x:v>Modernize hydrometric and hydrogeological data systems</x:v>
      </x:c>
      <x:c r="G152" s="28" t="str">
        <x:v>Upgrade networks, introduce new collection and analysis technologies, and strengthen archiving as an enduring intelligence capability.</x:v>
      </x:c>
      <x:c r="H152" s="28" t="str">
        <x:v>A — High-confidence Reform Action</x:v>
      </x:c>
      <x:c r="I152" s="28" t="str">
        <x:v>Provisionally Included</x:v>
      </x:c>
      <x:c r="J152" s="28" t="str">
        <x:v>Roadmap Enabling Reform</x:v>
      </x:c>
      <x:c r="K152" s="28" t="str">
        <x:v>No</x:v>
      </x:c>
      <x:c r="L152" s="28" t="str">
        <x:v>High</x:v>
      </x:c>
      <x:c r="M152" s="28" t="str">
        <x:v>The Compact states a discrete, durable mechanism that changes or materially strengthens sector rules, institutions, financing, planning, accountability, or service-delivery systems.</x:v>
      </x:c>
      <x:c r="N152" s="28" t="str">
        <x:v>Water for Planet</x:v>
      </x:c>
      <x:c r="O152" s="28" t="str">
        <x:v>S6; S7</x:v>
      </x:c>
      <x:c r="P152" s="28" t="str">
        <x:v>Data, Digitalization &amp; Sector Intelligence</x:v>
      </x:c>
      <x:c r="Q152" s="28" t="str">
        <x:v>Hydrological data-system modernization</x:v>
      </x:c>
      <x:c r="R152" s="28" t="str">
        <x:v>NWRMA</x:v>
      </x:c>
      <x:c r="S152" s="28" t="str"/>
      <x:c r="T152" s="28" t="str">
        <x:v>Pending human review</x:v>
      </x:c>
      <x:c r="U152" s="28" t="str"/>
      <x:c r="V152" s="28" t="str"/>
      <x:c r="W152" s="28" t="str">
        <x:v>Not an Aspiration</x:v>
      </x:c>
      <x:c r="X152" s="28" t="str">
        <x:v>Commitment=Yes; Actionable Mechanism=Yes; System Change=Yes; Not Merely Implementation=Yes; Distinct/Aggregated=Yes</x:v>
      </x:c>
    </x:row>
    <x:row r="153" ht="52" customHeight="1">
      <x:c r="A153" s="28" t="str">
        <x:v>SLE-030</x:v>
      </x:c>
      <x:c r="B153" s="28" t="str">
        <x:v>Sierra Leone</x:v>
      </x:c>
      <x:c r="C153" s="28" t="str">
        <x:v>PDF p. 16, Appendix 1</x:v>
      </x:c>
      <x:c r="D153" s="28" t="str">
        <x:v>Programmatic outlook</x:v>
      </x:c>
      <x:c r="E153" s="28" t="str">
        <x:v>Nationwide groundwater monitoring</x:v>
      </x:c>
      <x:c r="F153" s="28" t="str">
        <x:v>Establish nationwide groundwater monitoring</x:v>
      </x:c>
      <x:c r="G153" s="28" t="str">
        <x:v>Create a recurring national system to monitor groundwater occurrence and condition.</x:v>
      </x:c>
      <x:c r="H153" s="28" t="str">
        <x:v>A — High-confidence Reform Action</x:v>
      </x:c>
      <x:c r="I153" s="28" t="str">
        <x:v>Provisionally Included</x:v>
      </x:c>
      <x:c r="J153" s="28" t="str">
        <x:v>Roadmap Enabling Reform</x:v>
      </x:c>
      <x:c r="K153" s="28" t="str">
        <x:v>No</x:v>
      </x:c>
      <x:c r="L153" s="28" t="str">
        <x:v>High</x:v>
      </x:c>
      <x:c r="M153" s="28" t="str">
        <x:v>The Compact states a discrete, durable mechanism that changes or materially strengthens sector rules, institutions, financing, planning, accountability, or service-delivery systems.</x:v>
      </x:c>
      <x:c r="N153" s="28" t="str">
        <x:v>Water for Planet</x:v>
      </x:c>
      <x:c r="O153" s="28" t="str">
        <x:v>S7</x:v>
      </x:c>
      <x:c r="P153" s="28" t="str">
        <x:v>Data, Digitalization &amp; Sector Intelligence</x:v>
      </x:c>
      <x:c r="Q153" s="28" t="str">
        <x:v>Groundwater monitoring system</x:v>
      </x:c>
      <x:c r="R153" s="28" t="str">
        <x:v>NWRMA</x:v>
      </x:c>
      <x:c r="S153" s="28" t="str">
        <x:v>SLE-023</x:v>
      </x:c>
      <x:c r="T153" s="28" t="str">
        <x:v>Pending human review</x:v>
      </x:c>
      <x:c r="U153" s="28" t="str"/>
      <x:c r="V153" s="28" t="str"/>
      <x:c r="W153" s="28" t="str">
        <x:v>Not an Aspiration</x:v>
      </x:c>
      <x:c r="X153" s="28" t="str">
        <x:v>Commitment=Yes; Actionable Mechanism=Yes; System Change=Yes; Not Merely Implementation=Yes; Distinct/Aggregated=Yes</x:v>
      </x:c>
    </x:row>
    <x:row r="154" ht="52" customHeight="1">
      <x:c r="A154" s="28" t="str">
        <x:v>SLE-031</x:v>
      </x:c>
      <x:c r="B154" s="28" t="str">
        <x:v>Sierra Leone</x:v>
      </x:c>
      <x:c r="C154" s="28" t="str">
        <x:v>PDF p. 16, Appendix 1</x:v>
      </x:c>
      <x:c r="D154" s="28" t="str">
        <x:v>Programmatic outlook</x:v>
      </x:c>
      <x:c r="E154" s="28" t="str">
        <x:v>SALWACO strategic plan and policy review</x:v>
      </x:c>
      <x:c r="F154" s="28" t="str">
        <x:v>Develop a SALWACO strategic plan and review sector policies</x:v>
      </x:c>
      <x:c r="G154" s="28" t="str">
        <x:v>The line bundles training, a utility strategy, and policy review; reviewers should determine the appropriate aggregation and whether the strategic plan materially changes utility governance.</x:v>
      </x:c>
      <x:c r="H154" s="28" t="str">
        <x:v>B — Potential Reform Action — Human Review</x:v>
      </x:c>
      <x:c r="I154" s="28" t="str">
        <x:v>Pending Human Review</x:v>
      </x:c>
      <x:c r="J154" s="28" t="str">
        <x:v>Roadmap Enabling Reform</x:v>
      </x:c>
      <x:c r="K154" s="28" t="str">
        <x:v>No</x:v>
      </x:c>
      <x:c r="L154" s="28" t="str">
        <x:v>Low</x:v>
      </x:c>
      <x:c r="M154" s="28" t="str">
        <x:v>The passage signals plausible system change, but the instrument, institutional design, scope, aggregation, or distinction from implementation is not sufficiently clear for high-confidence inclusion.</x:v>
      </x:c>
      <x:c r="N154" s="28" t="str">
        <x:v>Water for People</x:v>
      </x:c>
      <x:c r="O154" s="28" t="str">
        <x:v>S1; S3</x:v>
      </x:c>
      <x:c r="P154" s="28" t="str">
        <x:v>WSS Service Delivery &amp; Utility Reform</x:v>
      </x:c>
      <x:c r="Q154" s="28" t="str">
        <x:v>Utility strategy and institutional strengthening</x:v>
      </x:c>
      <x:c r="R154" s="28" t="str">
        <x:v>SALWACO; MWRS</x:v>
      </x:c>
      <x:c r="S154" s="28" t="str"/>
      <x:c r="T154" s="28" t="str">
        <x:v>Pending human review</x:v>
      </x:c>
      <x:c r="U154" s="28" t="str"/>
      <x:c r="V154" s="28" t="str"/>
      <x:c r="W154" s="28" t="str">
        <x:v>Not an Aspiration</x:v>
      </x:c>
      <x:c r="X154" s="28" t="str">
        <x:v>Commitment=Yes/Partial; Actionable Mechanism=Partial; System Change=Partial; Not Merely Implementation=Partial; Distinct/Aggregated=Partial</x:v>
      </x:c>
    </x:row>
    <x:row r="155" ht="52" customHeight="1">
      <x:c r="A155" s="28" t="str">
        <x:v>SLE-032</x:v>
      </x:c>
      <x:c r="B155" s="28" t="str">
        <x:v>Sierra Leone</x:v>
      </x:c>
      <x:c r="C155" s="28" t="str">
        <x:v>PDF p. 16, Appendix 1</x:v>
      </x:c>
      <x:c r="D155" s="28" t="str">
        <x:v>Programmatic outlook</x:v>
      </x:c>
      <x:c r="E155" s="28" t="str">
        <x:v>Transfer WASH mandate to MWRS</x:v>
      </x:c>
      <x:c r="F155" s="28" t="str">
        <x:v>Operationalize transfer of the WASH mandate from MoH to MWRS</x:v>
      </x:c>
      <x:c r="G155" s="28" t="str">
        <x:v>Implement a formal reassignment of institutional mandate and accountability.</x:v>
      </x:c>
      <x:c r="H155" s="28" t="str">
        <x:v>A — High-confidence Reform Action</x:v>
      </x:c>
      <x:c r="I155" s="28" t="str">
        <x:v>Provisionally Included</x:v>
      </x:c>
      <x:c r="J155" s="28" t="str">
        <x:v>Roadmap Enabling Reform</x:v>
      </x:c>
      <x:c r="K155" s="28" t="str">
        <x:v>No</x:v>
      </x:c>
      <x:c r="L155" s="28" t="str">
        <x:v>High</x:v>
      </x:c>
      <x:c r="M155" s="28" t="str">
        <x:v>The Compact states a discrete, durable mechanism that changes or materially strengthens sector rules, institutions, financing, planning, accountability, or service-delivery systems.</x:v>
      </x:c>
      <x:c r="N155" s="28" t="str">
        <x:v>Water for People</x:v>
      </x:c>
      <x:c r="O155" s="28" t="str">
        <x:v>S1; S3</x:v>
      </x:c>
      <x:c r="P155" s="28" t="str">
        <x:v>Sector Governance &amp; Institutional Architecture</x:v>
      </x:c>
      <x:c r="Q155" s="28" t="str">
        <x:v>Ministerial mandate realignment</x:v>
      </x:c>
      <x:c r="R155" s="28" t="str">
        <x:v>MWRS; Ministry of Health</x:v>
      </x:c>
      <x:c r="S155" s="28" t="str"/>
      <x:c r="T155" s="28" t="str">
        <x:v>Pending human review</x:v>
      </x:c>
      <x:c r="U155" s="28" t="str"/>
      <x:c r="V155" s="28" t="str"/>
      <x:c r="W155" s="28" t="str">
        <x:v>Not an Aspiration</x:v>
      </x:c>
      <x:c r="X155" s="28" t="str">
        <x:v>Commitment=Yes; Actionable Mechanism=Yes; System Change=Yes; Not Merely Implementation=Yes; Distinct/Aggregated=Yes</x:v>
      </x:c>
    </x:row>
    <x:row r="156" ht="52" customHeight="1">
      <x:c r="A156" s="28" t="str">
        <x:v>SLE-033</x:v>
      </x:c>
      <x:c r="B156" s="28" t="str">
        <x:v>Sierra Leone</x:v>
      </x:c>
      <x:c r="C156" s="28" t="str">
        <x:v>PDF pp. 16–17, Appendix 1</x:v>
      </x:c>
      <x:c r="D156" s="28" t="str">
        <x:v>Programmatic outlook</x:v>
      </x:c>
      <x:c r="E156" s="28" t="str">
        <x:v>Development-partner coordination platform</x:v>
      </x:c>
      <x:c r="F156" s="28" t="str">
        <x:v>Establish a development-partner coordination platform</x:v>
      </x:c>
      <x:c r="G156" s="28" t="str">
        <x:v>Create a recurring mechanism to track who is doing what, where, and when.</x:v>
      </x:c>
      <x:c r="H156" s="28" t="str">
        <x:v>A — High-confidence Reform Action</x:v>
      </x:c>
      <x:c r="I156" s="28" t="str">
        <x:v>Provisionally Included</x:v>
      </x:c>
      <x:c r="J156" s="28" t="str">
        <x:v>Roadmap Enabling Reform</x:v>
      </x:c>
      <x:c r="K156" s="28" t="str">
        <x:v>No</x:v>
      </x:c>
      <x:c r="L156" s="28" t="str">
        <x:v>High</x:v>
      </x:c>
      <x:c r="M156" s="28" t="str">
        <x:v>The Compact states a discrete, durable mechanism that changes or materially strengthens sector rules, institutions, financing, planning, accountability, or service-delivery systems.</x:v>
      </x:c>
      <x:c r="N156" s="28" t="str">
        <x:v>Cross-cutting</x:v>
      </x:c>
      <x:c r="O156" s="28" t="str">
        <x:v>S1; S3; S7</x:v>
      </x:c>
      <x:c r="P156" s="28" t="str">
        <x:v>Sector Governance &amp; Institutional Architecture</x:v>
      </x:c>
      <x:c r="Q156" s="28" t="str">
        <x:v>Development-partner coordination</x:v>
      </x:c>
      <x:c r="R156" s="28" t="str">
        <x:v>MWRS; development partners</x:v>
      </x:c>
      <x:c r="S156" s="28" t="str"/>
      <x:c r="T156" s="28" t="str">
        <x:v>Pending human review</x:v>
      </x:c>
      <x:c r="U156" s="28" t="str"/>
      <x:c r="V156" s="28" t="str"/>
      <x:c r="W156" s="28" t="str">
        <x:v>Not an Aspiration</x:v>
      </x:c>
      <x:c r="X156" s="28" t="str">
        <x:v>Commitment=Yes; Actionable Mechanism=Yes; System Change=Yes; Not Merely Implementation=Yes; Distinct/Aggregated=Yes</x:v>
      </x:c>
    </x:row>
    <x:row r="157" ht="52" customHeight="1">
      <x:c r="A157" s="28" t="str">
        <x:v>SLE-034</x:v>
      </x:c>
      <x:c r="B157" s="28" t="str">
        <x:v>Sierra Leone</x:v>
      </x:c>
      <x:c r="C157" s="28" t="str">
        <x:v>PDF p. 17, Appendix 1</x:v>
      </x:c>
      <x:c r="D157" s="28" t="str">
        <x:v>Programmatic outlook</x:v>
      </x:c>
      <x:c r="E157" s="28" t="str">
        <x:v>Partner service-level agreement compliance</x:v>
      </x:c>
      <x:c r="F157" s="28" t="str">
        <x:v>Enforce government service-level agreements for development partners</x:v>
      </x:c>
      <x:c r="G157" s="28" t="str">
        <x:v>Apply common accountability requirements to implementing development partners.</x:v>
      </x:c>
      <x:c r="H157" s="28" t="str">
        <x:v>A — High-confidence Reform Action</x:v>
      </x:c>
      <x:c r="I157" s="28" t="str">
        <x:v>Provisionally Included</x:v>
      </x:c>
      <x:c r="J157" s="28" t="str">
        <x:v>Roadmap Enabling Reform</x:v>
      </x:c>
      <x:c r="K157" s="28" t="str">
        <x:v>No</x:v>
      </x:c>
      <x:c r="L157" s="28" t="str">
        <x:v>High</x:v>
      </x:c>
      <x:c r="M157" s="28" t="str">
        <x:v>The Compact states a discrete, durable mechanism that changes or materially strengthens sector rules, institutions, financing, planning, accountability, or service-delivery systems.</x:v>
      </x:c>
      <x:c r="N157" s="28" t="str">
        <x:v>Cross-cutting</x:v>
      </x:c>
      <x:c r="O157" s="28" t="str">
        <x:v>S1; S3; S7</x:v>
      </x:c>
      <x:c r="P157" s="28" t="str">
        <x:v>Accountability, Inclusion &amp; Citizen Engagement</x:v>
      </x:c>
      <x:c r="Q157" s="28" t="str">
        <x:v>Partner performance accountability</x:v>
      </x:c>
      <x:c r="R157" s="28" t="str">
        <x:v>Government of Sierra Leone; MWRS</x:v>
      </x:c>
      <x:c r="S157" s="28" t="str">
        <x:v>SLE-033</x:v>
      </x:c>
      <x:c r="T157" s="28" t="str">
        <x:v>Pending human review</x:v>
      </x:c>
      <x:c r="U157" s="28" t="str"/>
      <x:c r="V157" s="28" t="str"/>
      <x:c r="W157" s="28" t="str">
        <x:v>Not an Aspiration</x:v>
      </x:c>
      <x:c r="X157" s="28" t="str">
        <x:v>Commitment=Yes; Actionable Mechanism=Yes; System Change=Yes; Not Merely Implementation=Yes; Distinct/Aggregated=Yes</x:v>
      </x:c>
    </x:row>
    <x:row r="158" ht="52" customHeight="1">
      <x:c r="A158" s="28" t="str">
        <x:v>SLE-035</x:v>
      </x:c>
      <x:c r="B158" s="28" t="str">
        <x:v>Sierra Leone</x:v>
      </x:c>
      <x:c r="C158" s="28" t="str">
        <x:v>PDF p. 17, Appendix 1</x:v>
      </x:c>
      <x:c r="D158" s="28" t="str">
        <x:v>Programmatic outlook</x:v>
      </x:c>
      <x:c r="E158" s="28" t="str">
        <x:v>Inter-ministerial water platform</x:v>
      </x:c>
      <x:c r="F158" s="28" t="str">
        <x:v>Operationalize an inter-ministerial water-sector planning platform</x:v>
      </x:c>
      <x:c r="G158" s="28" t="str">
        <x:v>Create a functioning cross-government mechanism for sector planning and development.</x:v>
      </x:c>
      <x:c r="H158" s="28" t="str">
        <x:v>A — High-confidence Reform Action</x:v>
      </x:c>
      <x:c r="I158" s="28" t="str">
        <x:v>Provisionally Included</x:v>
      </x:c>
      <x:c r="J158" s="28" t="str">
        <x:v>Roadmap Enabling Reform</x:v>
      </x:c>
      <x:c r="K158" s="28" t="str">
        <x:v>No</x:v>
      </x:c>
      <x:c r="L158" s="28" t="str">
        <x:v>High</x:v>
      </x:c>
      <x:c r="M158" s="28" t="str">
        <x:v>The Compact states a discrete, durable mechanism that changes or materially strengthens sector rules, institutions, financing, planning, accountability, or service-delivery systems.</x:v>
      </x:c>
      <x:c r="N158" s="28" t="str">
        <x:v>Cross-cutting</x:v>
      </x:c>
      <x:c r="O158" s="28" t="str">
        <x:v>S1; S3; S7</x:v>
      </x:c>
      <x:c r="P158" s="28" t="str">
        <x:v>Sector Governance &amp; Institutional Architecture</x:v>
      </x:c>
      <x:c r="Q158" s="28" t="str">
        <x:v>Inter-ministerial planning coordination</x:v>
      </x:c>
      <x:c r="R158" s="28" t="str">
        <x:v>MWRS; relevant ministries</x:v>
      </x:c>
      <x:c r="S158" s="28" t="str"/>
      <x:c r="T158" s="28" t="str">
        <x:v>Pending human review</x:v>
      </x:c>
      <x:c r="U158" s="28" t="str"/>
      <x:c r="V158" s="28" t="str"/>
      <x:c r="W158" s="28" t="str">
        <x:v>Not an Aspiration</x:v>
      </x:c>
      <x:c r="X158" s="28" t="str">
        <x:v>Commitment=Yes; Actionable Mechanism=Yes; System Change=Yes; Not Merely Implementation=Yes; Distinct/Aggregated=Yes</x:v>
      </x:c>
    </x:row>
    <x:row r="159" ht="52" customHeight="1">
      <x:c r="A159" s="28" t="str">
        <x:v>SLE-036</x:v>
      </x:c>
      <x:c r="B159" s="28" t="str">
        <x:v>Sierra Leone</x:v>
      </x:c>
      <x:c r="C159" s="28" t="str">
        <x:v>PDF p. 17, Appendix 1</x:v>
      </x:c>
      <x:c r="D159" s="28" t="str">
        <x:v>Programmatic outlook</x:v>
      </x:c>
      <x:c r="E159" s="28" t="str">
        <x:v>Monthly sector working-group meetings</x:v>
      </x:c>
      <x:c r="F159" s="28" t="str">
        <x:v>Institutionalize monthly water-sector working-group meetings</x:v>
      </x:c>
      <x:c r="G159" s="28" t="str">
        <x:v>This is an operating component of the broader formal sector-coordination mechanism retained as SLE-006.</x:v>
      </x:c>
      <x:c r="H159" s="28" t="str">
        <x:v>C — High-confidence Non-reform</x:v>
      </x:c>
      <x:c r="I159" s="28" t="str">
        <x:v>Consolidated</x:v>
      </x:c>
      <x:c r="J159" s="28" t="str">
        <x:v>Consolidated/Covered by Broader Reform</x:v>
      </x:c>
      <x:c r="K159" s="28" t="str">
        <x:v>No</x:v>
      </x:c>
      <x:c r="L159" s="28" t="str">
        <x:v>High</x:v>
      </x:c>
      <x:c r="M159" s="28" t="str">
        <x:v>This passage repeats or operationalizes a broader candidate already retained; counting it separately would double count the same reform mechanism.</x:v>
      </x:c>
      <x:c r="N159" s="28" t="str">
        <x:v>Cross-cutting</x:v>
      </x:c>
      <x:c r="O159" s="28" t="str">
        <x:v>S1; S3; S7</x:v>
      </x:c>
      <x:c r="P159" s="28" t="str">
        <x:v>Sector Governance &amp; Institutional Architecture</x:v>
      </x:c>
      <x:c r="Q159" s="28" t="str">
        <x:v>Sector working-group mechanism</x:v>
      </x:c>
      <x:c r="R159" s="28" t="str">
        <x:v>MWRS; sector agencies</x:v>
      </x:c>
      <x:c r="S159" s="28" t="str">
        <x:v>SLE-006</x:v>
      </x:c>
      <x:c r="T159" s="28" t="str">
        <x:v>Pending human review</x:v>
      </x:c>
      <x:c r="U159" s="28" t="str"/>
      <x:c r="V159" s="28" t="str"/>
      <x:c r="W159" s="28" t="str">
        <x:v>Not an Aspiration</x:v>
      </x:c>
      <x:c r="X159" s="28" t="str">
        <x:v>Commitment=Yes; Actionable Mechanism=Yes; System Change=Yes; Not Merely Implementation=Yes; Distinct/Aggregated=No</x:v>
      </x:c>
    </x:row>
    <x:row r="160" ht="52" customHeight="1">
      <x:c r="A160" s="28" t="str">
        <x:v>SLE-037</x:v>
      </x:c>
      <x:c r="B160" s="28" t="str">
        <x:v>Sierra Leone</x:v>
      </x:c>
      <x:c r="C160" s="28" t="str">
        <x:v>PDF p. 17, Appendix 1</x:v>
      </x:c>
      <x:c r="D160" s="28" t="str">
        <x:v>Programmatic outlook</x:v>
      </x:c>
      <x:c r="E160" s="28" t="str">
        <x:v>Address overlapping regulatory functions</x:v>
      </x:c>
      <x:c r="F160" s="28" t="str">
        <x:v>Resolve overlapping water-sector regulatory functions</x:v>
      </x:c>
      <x:c r="G160" s="28" t="str">
        <x:v>The governance problem and intended direction are clear, but no reassignment, legal amendment, or institutional design is specified.</x:v>
      </x:c>
      <x:c r="H160" s="28" t="str">
        <x:v>B — Potential Reform Action — Human Review</x:v>
      </x:c>
      <x:c r="I160" s="28" t="str">
        <x:v>Pending Human Review</x:v>
      </x:c>
      <x:c r="J160" s="28" t="str">
        <x:v>Reform Aspiration — Potential</x:v>
      </x:c>
      <x:c r="K160" s="28" t="str">
        <x:v>No</x:v>
      </x:c>
      <x:c r="L160" s="28" t="str">
        <x:v>Very Low</x:v>
      </x:c>
      <x:c r="M160" s="28" t="str">
        <x:v>The passage signals plausible system change, but the instrument, institutional design, scope, aggregation, or distinction from implementation is not sufficiently clear for high-confidence inclusion.</x:v>
      </x:c>
      <x:c r="N160" s="28" t="str">
        <x:v>Cross-cutting</x:v>
      </x:c>
      <x:c r="O160" s="28" t="str">
        <x:v>S1; S3; S7</x:v>
      </x:c>
      <x:c r="P160" s="28" t="str">
        <x:v>Sector Governance &amp; Institutional Architecture</x:v>
      </x:c>
      <x:c r="Q160" s="28" t="str">
        <x:v>Regulatory mandate clarification</x:v>
      </x:c>
      <x:c r="R160" s="28" t="str">
        <x:v>MWRS; SLEWRC; NWRMA; EPA-SL</x:v>
      </x:c>
      <x:c r="S160" s="28" t="str"/>
      <x:c r="T160" s="28" t="str">
        <x:v>Pending human review</x:v>
      </x:c>
      <x:c r="U160" s="28" t="str"/>
      <x:c r="V160" s="28" t="str"/>
      <x:c r="W160" s="28" t="str">
        <x:v>Unlinked Reform Aspiration</x:v>
      </x:c>
      <x:c r="X160" s="28" t="str">
        <x:v>Commitment=Yes/Partial; Actionable Mechanism=Partial; System Change=Partial; Not Merely Implementation=Partial; Distinct/Aggregated=Partial</x:v>
      </x:c>
    </x:row>
    <x:row r="161" ht="52" customHeight="1">
      <x:c r="A161" s="28" t="str">
        <x:v>SLE-038</x:v>
      </x:c>
      <x:c r="B161" s="28" t="str">
        <x:v>Sierra Leone</x:v>
      </x:c>
      <x:c r="C161" s="28" t="str">
        <x:v>PDF p. 17, Appendix 1</x:v>
      </x:c>
      <x:c r="D161" s="28" t="str">
        <x:v>Programmatic outlook</x:v>
      </x:c>
      <x:c r="E161" s="28" t="str">
        <x:v>Streamline subnational mandates</x:v>
      </x:c>
      <x:c r="F161" s="28" t="str">
        <x:v>Streamline ministerial mandates and oversight at subnational level</x:v>
      </x:c>
      <x:c r="G161" s="28" t="str">
        <x:v>Clarify decentralized WASH governance and oversight responsibilities.</x:v>
      </x:c>
      <x:c r="H161" s="28" t="str">
        <x:v>A — High-confidence Reform Action</x:v>
      </x:c>
      <x:c r="I161" s="28" t="str">
        <x:v>Provisionally Included</x:v>
      </x:c>
      <x:c r="J161" s="28" t="str">
        <x:v>Roadmap Enabling Reform</x:v>
      </x:c>
      <x:c r="K161" s="28" t="str">
        <x:v>No</x:v>
      </x:c>
      <x:c r="L161" s="28" t="str">
        <x:v>High</x:v>
      </x:c>
      <x:c r="M161" s="28" t="str">
        <x:v>The Compact states a discrete, durable mechanism that changes or materially strengthens sector rules, institutions, financing, planning, accountability, or service-delivery systems.</x:v>
      </x:c>
      <x:c r="N161" s="28" t="str">
        <x:v>Water for People</x:v>
      </x:c>
      <x:c r="O161" s="28" t="str">
        <x:v>S3</x:v>
      </x:c>
      <x:c r="P161" s="28" t="str">
        <x:v>Sector Governance &amp; Institutional Architecture</x:v>
      </x:c>
      <x:c r="Q161" s="28" t="str">
        <x:v>Subnational WASH mandate clarification</x:v>
      </x:c>
      <x:c r="R161" s="28" t="str">
        <x:v>MWRS; local councils</x:v>
      </x:c>
      <x:c r="S161" s="28" t="str"/>
      <x:c r="T161" s="28" t="str">
        <x:v>Pending human review</x:v>
      </x:c>
      <x:c r="U161" s="28" t="str"/>
      <x:c r="V161" s="28" t="str"/>
      <x:c r="W161" s="28" t="str">
        <x:v>Not an Aspiration</x:v>
      </x:c>
      <x:c r="X161" s="28" t="str">
        <x:v>Commitment=Yes; Actionable Mechanism=Yes; System Change=Yes; Not Merely Implementation=Yes; Distinct/Aggregated=Yes</x:v>
      </x:c>
    </x:row>
    <x:row r="162" ht="52" customHeight="1">
      <x:c r="A162" s="28" t="str">
        <x:v>SLE-039</x:v>
      </x:c>
      <x:c r="B162" s="28" t="str">
        <x:v>Sierra Leone</x:v>
      </x:c>
      <x:c r="C162" s="28" t="str">
        <x:v>PDF p. 17, Appendix 1</x:v>
      </x:c>
      <x:c r="D162" s="28" t="str">
        <x:v>Programmatic outlook</x:v>
      </x:c>
      <x:c r="E162" s="28" t="str">
        <x:v>Dedicated subnational WASH budget line</x:v>
      </x:c>
      <x:c r="F162" s="28" t="str">
        <x:v>Establish a dedicated subnational WASH budget-disbursement line</x:v>
      </x:c>
      <x:c r="G162" s="28" t="str">
        <x:v>Create a recurring fiscal-transfer and budget mechanism for decentralized WASH responsibilities.</x:v>
      </x:c>
      <x:c r="H162" s="28" t="str">
        <x:v>A — High-confidence Reform Action</x:v>
      </x:c>
      <x:c r="I162" s="28" t="str">
        <x:v>Provisionally Included</x:v>
      </x:c>
      <x:c r="J162" s="28" t="str">
        <x:v>Roadmap Enabling Reform</x:v>
      </x:c>
      <x:c r="K162" s="28" t="str">
        <x:v>No</x:v>
      </x:c>
      <x:c r="L162" s="28" t="str">
        <x:v>High</x:v>
      </x:c>
      <x:c r="M162" s="28" t="str">
        <x:v>The Compact states a discrete, durable mechanism that changes or materially strengthens sector rules, institutions, financing, planning, accountability, or service-delivery systems.</x:v>
      </x:c>
      <x:c r="N162" s="28" t="str">
        <x:v>Water for People</x:v>
      </x:c>
      <x:c r="O162" s="28" t="str">
        <x:v>S3</x:v>
      </x:c>
      <x:c r="P162" s="28" t="str">
        <x:v>Financial Sustainability &amp; Sector Financing</x:v>
      </x:c>
      <x:c r="Q162" s="28" t="str">
        <x:v>Subnational WASH budget mechanism</x:v>
      </x:c>
      <x:c r="R162" s="28" t="str">
        <x:v>Ministry of Finance; MWRS; local councils</x:v>
      </x:c>
      <x:c r="S162" s="28" t="str"/>
      <x:c r="T162" s="28" t="str">
        <x:v>Pending human review</x:v>
      </x:c>
      <x:c r="U162" s="28" t="str"/>
      <x:c r="V162" s="28" t="str"/>
      <x:c r="W162" s="28" t="str">
        <x:v>Not an Aspiration</x:v>
      </x:c>
      <x:c r="X162" s="28" t="str">
        <x:v>Commitment=Yes; Actionable Mechanism=Yes; System Change=Yes; Not Merely Implementation=Yes; Distinct/Aggregated=Yes</x:v>
      </x:c>
    </x:row>
    <x:row r="163" ht="52" customHeight="1">
      <x:c r="A163" s="28" t="str">
        <x:v>SLE-040</x:v>
      </x:c>
      <x:c r="B163" s="28" t="str">
        <x:v>Sierra Leone</x:v>
      </x:c>
      <x:c r="C163" s="28" t="str">
        <x:v>PDF p. 17, Appendix 1</x:v>
      </x:c>
      <x:c r="D163" s="28" t="str">
        <x:v>Programmatic outlook</x:v>
      </x:c>
      <x:c r="E163" s="28" t="str">
        <x:v>Update National Water Sector Policy</x:v>
      </x:c>
      <x:c r="F163" s="28" t="str">
        <x:v>Finalize the update of the National Water Sector Policy</x:v>
      </x:c>
      <x:c r="G163" s="28" t="str">
        <x:v>Modernize the national policy framework for water-sector governance and services.</x:v>
      </x:c>
      <x:c r="H163" s="28" t="str">
        <x:v>A — High-confidence Reform Action</x:v>
      </x:c>
      <x:c r="I163" s="28" t="str">
        <x:v>Provisionally Included</x:v>
      </x:c>
      <x:c r="J163" s="28" t="str">
        <x:v>Roadmap Enabling Reform</x:v>
      </x:c>
      <x:c r="K163" s="28" t="str">
        <x:v>No</x:v>
      </x:c>
      <x:c r="L163" s="28" t="str">
        <x:v>High</x:v>
      </x:c>
      <x:c r="M163" s="28" t="str">
        <x:v>The Compact states a discrete, durable mechanism that changes or materially strengthens sector rules, institutions, financing, planning, accountability, or service-delivery systems.</x:v>
      </x:c>
      <x:c r="N163" s="28" t="str">
        <x:v>Cross-cutting</x:v>
      </x:c>
      <x:c r="O163" s="28" t="str">
        <x:v>S1; S3; S7</x:v>
      </x:c>
      <x:c r="P163" s="28" t="str">
        <x:v>Policy &amp; Strategic Frameworks</x:v>
      </x:c>
      <x:c r="Q163" s="28" t="str">
        <x:v>National water-sector policy</x:v>
      </x:c>
      <x:c r="R163" s="28" t="str">
        <x:v>MWRS</x:v>
      </x:c>
      <x:c r="S163" s="28" t="str"/>
      <x:c r="T163" s="28" t="str">
        <x:v>Pending human review</x:v>
      </x:c>
      <x:c r="U163" s="28" t="str"/>
      <x:c r="V163" s="28" t="str"/>
      <x:c r="W163" s="28" t="str">
        <x:v>Not an Aspiration</x:v>
      </x:c>
      <x:c r="X163" s="28" t="str">
        <x:v>Commitment=Yes; Actionable Mechanism=Yes; System Change=Yes; Not Merely Implementation=Yes; Distinct/Aggregated=Yes</x:v>
      </x:c>
    </x:row>
    <x:row r="164" ht="52" customHeight="1">
      <x:c r="A164" s="28" t="str">
        <x:v>SLE-041</x:v>
      </x:c>
      <x:c r="B164" s="28" t="str">
        <x:v>Sierra Leone</x:v>
      </x:c>
      <x:c r="C164" s="28" t="str">
        <x:v>PDF p. 17, Appendix 1</x:v>
      </x:c>
      <x:c r="D164" s="28" t="str">
        <x:v>Programmatic outlook</x:v>
      </x:c>
      <x:c r="E164" s="28" t="str">
        <x:v>Enhance legislation and standards enforcement</x:v>
      </x:c>
      <x:c r="F164" s="28" t="str">
        <x:v>Strengthen enforcement of water-sector legislation and standards</x:v>
      </x:c>
      <x:c r="G164" s="28" t="str">
        <x:v>The direction is reform-relevant, but the Compact does not specify the enforcement procedure, authority, or compliance mechanism.</x:v>
      </x:c>
      <x:c r="H164" s="28" t="str">
        <x:v>B — Potential Reform Action — Human Review</x:v>
      </x:c>
      <x:c r="I164" s="28" t="str">
        <x:v>Pending Human Review</x:v>
      </x:c>
      <x:c r="J164" s="28" t="str">
        <x:v>Reform Aspiration — Potential</x:v>
      </x:c>
      <x:c r="K164" s="28" t="str">
        <x:v>No</x:v>
      </x:c>
      <x:c r="L164" s="28" t="str">
        <x:v>Very Low</x:v>
      </x:c>
      <x:c r="M164" s="28" t="str">
        <x:v>The passage signals plausible system change, but the instrument, institutional design, scope, aggregation, or distinction from implementation is not sufficiently clear for high-confidence inclusion.</x:v>
      </x:c>
      <x:c r="N164" s="28" t="str">
        <x:v>Cross-cutting</x:v>
      </x:c>
      <x:c r="O164" s="28" t="str">
        <x:v>S1; S3; S7</x:v>
      </x:c>
      <x:c r="P164" s="28" t="str">
        <x:v>Legal &amp; Regulatory Reform</x:v>
      </x:c>
      <x:c r="Q164" s="28" t="str">
        <x:v>Sector compliance enforcement</x:v>
      </x:c>
      <x:c r="R164" s="28" t="str">
        <x:v>MWRS; regulators</x:v>
      </x:c>
      <x:c r="S164" s="28" t="str"/>
      <x:c r="T164" s="28" t="str">
        <x:v>Pending human review</x:v>
      </x:c>
      <x:c r="U164" s="28" t="str"/>
      <x:c r="V164" s="28" t="str"/>
      <x:c r="W164" s="28" t="str">
        <x:v>Unlinked Reform Aspiration</x:v>
      </x:c>
      <x:c r="X164" s="28" t="str">
        <x:v>Commitment=Yes/Partial; Actionable Mechanism=Partial; System Change=Partial; Not Merely Implementation=Partial; Distinct/Aggregated=Partial</x:v>
      </x:c>
    </x:row>
    <x:row r="165" ht="52" customHeight="1">
      <x:c r="A165" s="28" t="str">
        <x:v>SLE-042</x:v>
      </x:c>
      <x:c r="B165" s="28" t="str">
        <x:v>Sierra Leone</x:v>
      </x:c>
      <x:c r="C165" s="28" t="str">
        <x:v>PDF p. 17, Appendix 1</x:v>
      </x:c>
      <x:c r="D165" s="28" t="str">
        <x:v>Programmatic outlook</x:v>
      </x:c>
      <x:c r="E165" s="28" t="str">
        <x:v>Quarterly automatic tariff review</x:v>
      </x:c>
      <x:c r="F165" s="28" t="str">
        <x:v>Institutionalize quarterly urban-water tariff review</x:v>
      </x:c>
      <x:c r="G165" s="28" t="str">
        <x:v>Apply SLEWRC's automatic adjustment formula to reflect full O&amp;M costs.</x:v>
      </x:c>
      <x:c r="H165" s="28" t="str">
        <x:v>A — High-confidence Reform Action</x:v>
      </x:c>
      <x:c r="I165" s="28" t="str">
        <x:v>Provisionally Included</x:v>
      </x:c>
      <x:c r="J165" s="28" t="str">
        <x:v>Roadmap Enabling Reform</x:v>
      </x:c>
      <x:c r="K165" s="28" t="str">
        <x:v>No</x:v>
      </x:c>
      <x:c r="L165" s="28" t="str">
        <x:v>High</x:v>
      </x:c>
      <x:c r="M165" s="28" t="str">
        <x:v>The Compact states a discrete, durable mechanism that changes or materially strengthens sector rules, institutions, financing, planning, accountability, or service-delivery systems.</x:v>
      </x:c>
      <x:c r="N165" s="28" t="str">
        <x:v>Water for People</x:v>
      </x:c>
      <x:c r="O165" s="28" t="str">
        <x:v>S1</x:v>
      </x:c>
      <x:c r="P165" s="28" t="str">
        <x:v>Financial Sustainability &amp; Sector Financing</x:v>
      </x:c>
      <x:c r="Q165" s="28" t="str">
        <x:v>Automatic tariff adjustment</x:v>
      </x:c>
      <x:c r="R165" s="28" t="str">
        <x:v>SLEWRC; urban utilities</x:v>
      </x:c>
      <x:c r="S165" s="28" t="str"/>
      <x:c r="T165" s="28" t="str">
        <x:v>Pending human review</x:v>
      </x:c>
      <x:c r="U165" s="28" t="str"/>
      <x:c r="V165" s="28" t="str"/>
      <x:c r="W165" s="28" t="str">
        <x:v>Not an Aspiration</x:v>
      </x:c>
      <x:c r="X165" s="28" t="str">
        <x:v>Commitment=Yes; Actionable Mechanism=Yes; System Change=Yes; Not Merely Implementation=Yes; Distinct/Aggregated=Yes</x:v>
      </x:c>
    </x:row>
    <x:row r="166" ht="52" customHeight="1">
      <x:c r="A166" s="28" t="str">
        <x:v>SLE-043</x:v>
      </x:c>
      <x:c r="B166" s="28" t="str">
        <x:v>Sierra Leone</x:v>
      </x:c>
      <x:c r="C166" s="28" t="str">
        <x:v>PDF p. 17, Appendix 1</x:v>
      </x:c>
      <x:c r="D166" s="28" t="str">
        <x:v>Programmatic outlook</x:v>
      </x:c>
      <x:c r="E166" s="28" t="str">
        <x:v>Private-sector participation framework</x:v>
      </x:c>
      <x:c r="F166" s="28" t="str">
        <x:v>Implement a private-sector participation framework for water services</x:v>
      </x:c>
      <x:c r="G166" s="28" t="str">
        <x:v>Establish rules for private financing and BOO/BOT operating arrangements.</x:v>
      </x:c>
      <x:c r="H166" s="28" t="str">
        <x:v>A — High-confidence Reform Action</x:v>
      </x:c>
      <x:c r="I166" s="28" t="str">
        <x:v>Provisionally Included</x:v>
      </x:c>
      <x:c r="J166" s="28" t="str">
        <x:v>Roadmap Enabling Reform</x:v>
      </x:c>
      <x:c r="K166" s="28" t="str">
        <x:v>No</x:v>
      </x:c>
      <x:c r="L166" s="28" t="str">
        <x:v>High</x:v>
      </x:c>
      <x:c r="M166" s="28" t="str">
        <x:v>The Compact states a discrete, durable mechanism that changes or materially strengthens sector rules, institutions, financing, planning, accountability, or service-delivery systems.</x:v>
      </x:c>
      <x:c r="N166" s="28" t="str">
        <x:v>Water for People</x:v>
      </x:c>
      <x:c r="O166" s="28" t="str">
        <x:v>S2</x:v>
      </x:c>
      <x:c r="P166" s="28" t="str">
        <x:v>Private Sector Participation &amp; Financing Enablers</x:v>
      </x:c>
      <x:c r="Q166" s="28" t="str">
        <x:v>Water-sector PSP framework</x:v>
      </x:c>
      <x:c r="R166" s="28" t="str">
        <x:v>MWRS; Ministry of Finance; utilities</x:v>
      </x:c>
      <x:c r="S166" s="28" t="str"/>
      <x:c r="T166" s="28" t="str">
        <x:v>Pending human review</x:v>
      </x:c>
      <x:c r="U166" s="28" t="str"/>
      <x:c r="V166" s="28" t="str"/>
      <x:c r="W166" s="28" t="str">
        <x:v>Not an Aspiration</x:v>
      </x:c>
      <x:c r="X166" s="28" t="str">
        <x:v>Commitment=Yes; Actionable Mechanism=Yes; System Change=Yes; Not Merely Implementation=Yes; Distinct/Aggregated=Yes</x:v>
      </x:c>
    </x:row>
    <x:row r="167" ht="52" customHeight="1">
      <x:c r="A167" s="28" t="str">
        <x:v>SLE-044</x:v>
      </x:c>
      <x:c r="B167" s="28" t="str">
        <x:v>Sierra Leone</x:v>
      </x:c>
      <x:c r="C167" s="28" t="str">
        <x:v>PDF p. 17, Appendix 1</x:v>
      </x:c>
      <x:c r="D167" s="28" t="str">
        <x:v>Programmatic outlook</x:v>
      </x:c>
      <x:c r="E167" s="28" t="str">
        <x:v>Capital-maintenance financing mechanism</x:v>
      </x:c>
      <x:c r="F167" s="28" t="str">
        <x:v>Adopt a capital-maintenance financing mechanism for rural and small-town systems</x:v>
      </x:c>
      <x:c r="G167" s="28" t="str">
        <x:v>Create a dedicated mechanism for major maintenance and asset renewal.</x:v>
      </x:c>
      <x:c r="H167" s="28" t="str">
        <x:v>A — High-confidence Reform Action</x:v>
      </x:c>
      <x:c r="I167" s="28" t="str">
        <x:v>Provisionally Included</x:v>
      </x:c>
      <x:c r="J167" s="28" t="str">
        <x:v>Roadmap Enabling Reform</x:v>
      </x:c>
      <x:c r="K167" s="28" t="str">
        <x:v>No</x:v>
      </x:c>
      <x:c r="L167" s="28" t="str">
        <x:v>High</x:v>
      </x:c>
      <x:c r="M167" s="28" t="str">
        <x:v>The Compact states a discrete, durable mechanism that changes or materially strengthens sector rules, institutions, financing, planning, accountability, or service-delivery systems.</x:v>
      </x:c>
      <x:c r="N167" s="28" t="str">
        <x:v>Water for People</x:v>
      </x:c>
      <x:c r="O167" s="28" t="str">
        <x:v>S3</x:v>
      </x:c>
      <x:c r="P167" s="28" t="str">
        <x:v>Financial Sustainability &amp; Sector Financing</x:v>
      </x:c>
      <x:c r="Q167" s="28" t="str">
        <x:v>Capital-maintenance financing</x:v>
      </x:c>
      <x:c r="R167" s="28" t="str">
        <x:v>MWRS; Ministry of Finance; local councils</x:v>
      </x:c>
      <x:c r="S167" s="28" t="str"/>
      <x:c r="T167" s="28" t="str">
        <x:v>Pending human review</x:v>
      </x:c>
      <x:c r="U167" s="28" t="str"/>
      <x:c r="V167" s="28" t="str"/>
      <x:c r="W167" s="28" t="str">
        <x:v>Not an Aspiration</x:v>
      </x:c>
      <x:c r="X167" s="28" t="str">
        <x:v>Commitment=Yes; Actionable Mechanism=Yes; System Change=Yes; Not Merely Implementation=Yes; Distinct/Aggregated=Yes</x:v>
      </x:c>
    </x:row>
    <x:row r="168" ht="52" customHeight="1">
      <x:c r="A168" s="28" t="str">
        <x:v>SLE-045</x:v>
      </x:c>
      <x:c r="B168" s="28" t="str">
        <x:v>Sierra Leone</x:v>
      </x:c>
      <x:c r="C168" s="28" t="str">
        <x:v>PDF pp. 17–18, Appendix 1</x:v>
      </x:c>
      <x:c r="D168" s="28" t="str">
        <x:v>Programmatic outlook</x:v>
      </x:c>
      <x:c r="E168" s="28" t="str">
        <x:v>National M&amp;E coordination group</x:v>
      </x:c>
      <x:c r="F168" s="28" t="str">
        <x:v>Establish a national water-sector M&amp;E coordination group</x:v>
      </x:c>
      <x:c r="G168" s="28" t="str">
        <x:v>This governance component is consolidated under the broader national sector M&amp;E-system reform.</x:v>
      </x:c>
      <x:c r="H168" s="28" t="str">
        <x:v>C — High-confidence Non-reform</x:v>
      </x:c>
      <x:c r="I168" s="28" t="str">
        <x:v>Consolidated</x:v>
      </x:c>
      <x:c r="J168" s="28" t="str">
        <x:v>Consolidated/Covered by Broader Reform</x:v>
      </x:c>
      <x:c r="K168" s="28" t="str">
        <x:v>No</x:v>
      </x:c>
      <x:c r="L168" s="28" t="str">
        <x:v>High</x:v>
      </x:c>
      <x:c r="M168" s="28" t="str">
        <x:v>This passage repeats or operationalizes a broader candidate already retained; counting it separately would double count the same reform mechanism.</x:v>
      </x:c>
      <x:c r="N168" s="28" t="str">
        <x:v>Cross-cutting</x:v>
      </x:c>
      <x:c r="O168" s="28" t="str">
        <x:v>S1; S3; S7</x:v>
      </x:c>
      <x:c r="P168" s="28" t="str">
        <x:v>Data, Digitalization &amp; Sector Intelligence</x:v>
      </x:c>
      <x:c r="Q168" s="28" t="str">
        <x:v>Sector M&amp;E coordination</x:v>
      </x:c>
      <x:c r="R168" s="28" t="str">
        <x:v>MWRS; PPMED</x:v>
      </x:c>
      <x:c r="S168" s="28" t="str">
        <x:v>SLE-046</x:v>
      </x:c>
      <x:c r="T168" s="28" t="str">
        <x:v>Pending human review</x:v>
      </x:c>
      <x:c r="U168" s="28" t="str"/>
      <x:c r="V168" s="28" t="str"/>
      <x:c r="W168" s="28" t="str">
        <x:v>Not an Aspiration</x:v>
      </x:c>
      <x:c r="X168" s="28" t="str">
        <x:v>Commitment=Yes; Actionable Mechanism=Yes; System Change=Yes; Not Merely Implementation=Yes; Distinct/Aggregated=No</x:v>
      </x:c>
    </x:row>
    <x:row r="169" ht="52" customHeight="1">
      <x:c r="A169" s="28" t="str">
        <x:v>SLE-046</x:v>
      </x:c>
      <x:c r="B169" s="28" t="str">
        <x:v>Sierra Leone</x:v>
      </x:c>
      <x:c r="C169" s="28" t="str">
        <x:v>PDF pp. 17–18, Appendix 1</x:v>
      </x:c>
      <x:c r="D169" s="28" t="str">
        <x:v>Programmatic outlook</x:v>
      </x:c>
      <x:c r="E169" s="28" t="str">
        <x:v>Sector M&amp;E plan and system</x:v>
      </x:c>
      <x:c r="F169" s="28" t="str">
        <x:v>Develop and operationalize a national water-sector M&amp;E plan, strategy, and system</x:v>
      </x:c>
      <x:c r="G169" s="28" t="str">
        <x:v>Create common indicators, reporting arrangements, and cross-subsector monitoring.</x:v>
      </x:c>
      <x:c r="H169" s="28" t="str">
        <x:v>A — High-confidence Reform Action</x:v>
      </x:c>
      <x:c r="I169" s="28" t="str">
        <x:v>Provisionally Included</x:v>
      </x:c>
      <x:c r="J169" s="28" t="str">
        <x:v>Roadmap Enabling Reform</x:v>
      </x:c>
      <x:c r="K169" s="28" t="str">
        <x:v>No</x:v>
      </x:c>
      <x:c r="L169" s="28" t="str">
        <x:v>High</x:v>
      </x:c>
      <x:c r="M169" s="28" t="str">
        <x:v>The Compact states a discrete, durable mechanism that changes or materially strengthens sector rules, institutions, financing, planning, accountability, or service-delivery systems.</x:v>
      </x:c>
      <x:c r="N169" s="28" t="str">
        <x:v>Cross-cutting</x:v>
      </x:c>
      <x:c r="O169" s="28" t="str">
        <x:v>S1; S3; S7</x:v>
      </x:c>
      <x:c r="P169" s="28" t="str">
        <x:v>Data, Digitalization &amp; Sector Intelligence</x:v>
      </x:c>
      <x:c r="Q169" s="28" t="str">
        <x:v>National sector M&amp;E system</x:v>
      </x:c>
      <x:c r="R169" s="28" t="str">
        <x:v>PPMED-MWRS</x:v>
      </x:c>
      <x:c r="S169" s="28" t="str">
        <x:v>SLE-045</x:v>
      </x:c>
      <x:c r="T169" s="28" t="str">
        <x:v>Pending human review</x:v>
      </x:c>
      <x:c r="U169" s="28" t="str"/>
      <x:c r="V169" s="28" t="str"/>
      <x:c r="W169" s="28" t="str">
        <x:v>Not an Aspiration</x:v>
      </x:c>
      <x:c r="X169" s="28" t="str">
        <x:v>Commitment=Yes; Actionable Mechanism=Yes; System Change=Yes; Not Merely Implementation=Yes; Distinct/Aggregated=Yes</x:v>
      </x:c>
    </x:row>
    <x:row r="170" ht="52" customHeight="1">
      <x:c r="A170" s="28" t="str">
        <x:v>SLE-047</x:v>
      </x:c>
      <x:c r="B170" s="28" t="str">
        <x:v>Sierra Leone</x:v>
      </x:c>
      <x:c r="C170" s="28" t="str">
        <x:v>PDF p. 18, Appendix 1</x:v>
      </x:c>
      <x:c r="D170" s="28" t="str">
        <x:v>Programmatic outlook</x:v>
      </x:c>
      <x:c r="E170" s="28" t="str">
        <x:v>M&amp;E units in sector agencies</x:v>
      </x:c>
      <x:c r="F170" s="28" t="str">
        <x:v>Establish and resource M&amp;E units in water-sector agencies</x:v>
      </x:c>
      <x:c r="G170" s="28" t="str">
        <x:v>These agency units are institutional components of the retained national M&amp;E-system reform.</x:v>
      </x:c>
      <x:c r="H170" s="28" t="str">
        <x:v>C — High-confidence Non-reform</x:v>
      </x:c>
      <x:c r="I170" s="28" t="str">
        <x:v>Consolidated</x:v>
      </x:c>
      <x:c r="J170" s="28" t="str">
        <x:v>Consolidated/Covered by Broader Reform</x:v>
      </x:c>
      <x:c r="K170" s="28" t="str">
        <x:v>No</x:v>
      </x:c>
      <x:c r="L170" s="28" t="str">
        <x:v>High</x:v>
      </x:c>
      <x:c r="M170" s="28" t="str">
        <x:v>This passage repeats or operationalizes a broader candidate already retained; counting it separately would double count the same reform mechanism.</x:v>
      </x:c>
      <x:c r="N170" s="28" t="str">
        <x:v>Cross-cutting</x:v>
      </x:c>
      <x:c r="O170" s="28" t="str">
        <x:v>S1; S3; S7</x:v>
      </x:c>
      <x:c r="P170" s="28" t="str">
        <x:v>Sector Governance &amp; Institutional Architecture</x:v>
      </x:c>
      <x:c r="Q170" s="28" t="str">
        <x:v>Agency M&amp;E institutional capacity</x:v>
      </x:c>
      <x:c r="R170" s="28" t="str">
        <x:v>GVWC; SALWACO; NWRMA</x:v>
      </x:c>
      <x:c r="S170" s="28" t="str">
        <x:v>SLE-046</x:v>
      </x:c>
      <x:c r="T170" s="28" t="str">
        <x:v>Pending human review</x:v>
      </x:c>
      <x:c r="U170" s="28" t="str"/>
      <x:c r="V170" s="28" t="str"/>
      <x:c r="W170" s="28" t="str">
        <x:v>Not an Aspiration</x:v>
      </x:c>
      <x:c r="X170" s="28" t="str">
        <x:v>Commitment=Yes; Actionable Mechanism=Yes; System Change=Yes; Not Merely Implementation=Yes; Distinct/Aggregated=No</x:v>
      </x:c>
    </x:row>
    <x:row r="171" ht="52" customHeight="1">
      <x:c r="A171" s="28" t="str">
        <x:v>SLE-048</x:v>
      </x:c>
      <x:c r="B171" s="28" t="str">
        <x:v>Sierra Leone</x:v>
      </x:c>
      <x:c r="C171" s="28" t="str">
        <x:v>PDF p. 18, Appendix 1</x:v>
      </x:c>
      <x:c r="D171" s="28" t="str">
        <x:v>Programmatic outlook</x:v>
      </x:c>
      <x:c r="E171" s="28" t="str">
        <x:v>MLGCA collaboration framework</x:v>
      </x:c>
      <x:c r="F171" s="28" t="str">
        <x:v>Adopt a collaboration framework with MLGCA for WASH delivery</x:v>
      </x:c>
      <x:c r="G171" s="28" t="str">
        <x:v>Clarify and standardize intergovernmental collaboration for decentralized WASH services.</x:v>
      </x:c>
      <x:c r="H171" s="28" t="str">
        <x:v>A — High-confidence Reform Action</x:v>
      </x:c>
      <x:c r="I171" s="28" t="str">
        <x:v>Provisionally Included</x:v>
      </x:c>
      <x:c r="J171" s="28" t="str">
        <x:v>Roadmap Enabling Reform</x:v>
      </x:c>
      <x:c r="K171" s="28" t="str">
        <x:v>No</x:v>
      </x:c>
      <x:c r="L171" s="28" t="str">
        <x:v>High</x:v>
      </x:c>
      <x:c r="M171" s="28" t="str">
        <x:v>The Compact states a discrete, durable mechanism that changes or materially strengthens sector rules, institutions, financing, planning, accountability, or service-delivery systems.</x:v>
      </x:c>
      <x:c r="N171" s="28" t="str">
        <x:v>Water for People</x:v>
      </x:c>
      <x:c r="O171" s="28" t="str">
        <x:v>S3</x:v>
      </x:c>
      <x:c r="P171" s="28" t="str">
        <x:v>Sector Governance &amp; Institutional Architecture</x:v>
      </x:c>
      <x:c r="Q171" s="28" t="str">
        <x:v>Intergovernmental WASH collaboration</x:v>
      </x:c>
      <x:c r="R171" s="28" t="str">
        <x:v>MWRS; MLGCA; local councils</x:v>
      </x:c>
      <x:c r="S171" s="28" t="str"/>
      <x:c r="T171" s="28" t="str">
        <x:v>Pending human review</x:v>
      </x:c>
      <x:c r="U171" s="28" t="str"/>
      <x:c r="V171" s="28" t="str"/>
      <x:c r="W171" s="28" t="str">
        <x:v>Not an Aspiration</x:v>
      </x:c>
      <x:c r="X171" s="28" t="str">
        <x:v>Commitment=Yes; Actionable Mechanism=Yes; System Change=Yes; Not Merely Implementation=Yes; Distinct/Aggregated=Yes</x:v>
      </x:c>
    </x:row>
    <x:row r="172" ht="52" customHeight="1">
      <x:c r="A172" s="28" t="str">
        <x:v>SLE-049</x:v>
      </x:c>
      <x:c r="B172" s="28" t="str">
        <x:v>Sierra Leone</x:v>
      </x:c>
      <x:c r="C172" s="28" t="str">
        <x:v>PDF p. 18, Appendix 1</x:v>
      </x:c>
      <x:c r="D172" s="28" t="str">
        <x:v>Programmatic outlook</x:v>
      </x:c>
      <x:c r="E172" s="28" t="str">
        <x:v>Local-council M&amp;E system</x:v>
      </x:c>
      <x:c r="F172" s="28" t="str">
        <x:v>Roll out the sector M&amp;E system to all local councils</x:v>
      </x:c>
      <x:c r="G172" s="28" t="str">
        <x:v>This rollout is a subnational implementation component of the retained national M&amp;E-system reform.</x:v>
      </x:c>
      <x:c r="H172" s="28" t="str">
        <x:v>C — High-confidence Non-reform</x:v>
      </x:c>
      <x:c r="I172" s="28" t="str">
        <x:v>Consolidated</x:v>
      </x:c>
      <x:c r="J172" s="28" t="str">
        <x:v>Consolidated/Covered by Broader Reform</x:v>
      </x:c>
      <x:c r="K172" s="28" t="str">
        <x:v>No</x:v>
      </x:c>
      <x:c r="L172" s="28" t="str">
        <x:v>High</x:v>
      </x:c>
      <x:c r="M172" s="28" t="str">
        <x:v>This passage repeats or operationalizes a broader candidate already retained; counting it separately would double count the same reform mechanism.</x:v>
      </x:c>
      <x:c r="N172" s="28" t="str">
        <x:v>Water for People</x:v>
      </x:c>
      <x:c r="O172" s="28" t="str">
        <x:v>S3</x:v>
      </x:c>
      <x:c r="P172" s="28" t="str">
        <x:v>Data, Digitalization &amp; Sector Intelligence</x:v>
      </x:c>
      <x:c r="Q172" s="28" t="str">
        <x:v>Decentralized WASH M&amp;E</x:v>
      </x:c>
      <x:c r="R172" s="28" t="str">
        <x:v>MWRS; local councils</x:v>
      </x:c>
      <x:c r="S172" s="28" t="str">
        <x:v>SLE-046</x:v>
      </x:c>
      <x:c r="T172" s="28" t="str">
        <x:v>Pending human review</x:v>
      </x:c>
      <x:c r="U172" s="28" t="str"/>
      <x:c r="V172" s="28" t="str"/>
      <x:c r="W172" s="28" t="str">
        <x:v>Not an Aspiration</x:v>
      </x:c>
      <x:c r="X172" s="28" t="str">
        <x:v>Commitment=Yes; Actionable Mechanism=Yes; System Change=Yes; Not Merely Implementation=Yes; Distinct/Aggregated=No</x:v>
      </x:c>
    </x:row>
    <x:row r="173" ht="52" customHeight="1">
      <x:c r="A173" s="28" t="str">
        <x:v>SLE-050</x:v>
      </x:c>
      <x:c r="B173" s="28" t="str">
        <x:v>Sierra Leone</x:v>
      </x:c>
      <x:c r="C173" s="28" t="str">
        <x:v>PDF p. 18, Appendix 1</x:v>
      </x:c>
      <x:c r="D173" s="28" t="str">
        <x:v>Programmatic outlook</x:v>
      </x:c>
      <x:c r="E173" s="28" t="str">
        <x:v>Gender-specific sector indicators</x:v>
      </x:c>
      <x:c r="F173" s="28" t="str">
        <x:v>Institutionalize gender-specific indicators in sector data</x:v>
      </x:c>
      <x:c r="G173" s="28" t="str">
        <x:v>Embed gender-disaggregated indicators in routine data collection and analysis.</x:v>
      </x:c>
      <x:c r="H173" s="28" t="str">
        <x:v>A — High-confidence Reform Action</x:v>
      </x:c>
      <x:c r="I173" s="28" t="str">
        <x:v>Provisionally Included</x:v>
      </x:c>
      <x:c r="J173" s="28" t="str">
        <x:v>Roadmap Enabling Reform</x:v>
      </x:c>
      <x:c r="K173" s="28" t="str">
        <x:v>No</x:v>
      </x:c>
      <x:c r="L173" s="28" t="str">
        <x:v>High</x:v>
      </x:c>
      <x:c r="M173" s="28" t="str">
        <x:v>The Compact states a discrete, durable mechanism that changes or materially strengthens sector rules, institutions, financing, planning, accountability, or service-delivery systems.</x:v>
      </x:c>
      <x:c r="N173" s="28" t="str">
        <x:v>Cross-cutting</x:v>
      </x:c>
      <x:c r="O173" s="28" t="str">
        <x:v>S1; S3</x:v>
      </x:c>
      <x:c r="P173" s="28" t="str">
        <x:v>Accountability, Inclusion &amp; Citizen Engagement</x:v>
      </x:c>
      <x:c r="Q173" s="28" t="str">
        <x:v>Gender-responsive sector monitoring</x:v>
      </x:c>
      <x:c r="R173" s="28" t="str">
        <x:v>MWRS; sector agencies</x:v>
      </x:c>
      <x:c r="S173" s="28" t="str">
        <x:v>SLE-046</x:v>
      </x:c>
      <x:c r="T173" s="28" t="str">
        <x:v>Pending human review</x:v>
      </x:c>
      <x:c r="U173" s="28" t="str"/>
      <x:c r="V173" s="28" t="str"/>
      <x:c r="W173" s="28" t="str">
        <x:v>Not an Aspiration</x:v>
      </x:c>
      <x:c r="X173" s="28" t="str">
        <x:v>Commitment=Yes; Actionable Mechanism=Yes; System Change=Yes; Not Merely Implementation=Yes; Distinct/Aggregated=Yes</x:v>
      </x:c>
    </x:row>
    <x:row r="174" ht="52" customHeight="1">
      <x:c r="A174" s="28" t="str">
        <x:v>SLE-051</x:v>
      </x:c>
      <x:c r="B174" s="28" t="str">
        <x:v>Sierra Leone</x:v>
      </x:c>
      <x:c r="C174" s="28" t="str">
        <x:v>PDF p. 18, Appendix 1</x:v>
      </x:c>
      <x:c r="D174" s="28" t="str">
        <x:v>Programmatic outlook</x:v>
      </x:c>
      <x:c r="E174" s="28" t="str">
        <x:v>Women’s WASH mentorship programs</x:v>
      </x:c>
      <x:c r="F174" s="28" t="str">
        <x:v>Establish mentorship programs for women's WASH-sector careers</x:v>
      </x:c>
      <x:c r="G174" s="28" t="str">
        <x:v>Create an ongoing institutional mechanism for women's career advancement in the sector.</x:v>
      </x:c>
      <x:c r="H174" s="28" t="str">
        <x:v>A — High-confidence Reform Action</x:v>
      </x:c>
      <x:c r="I174" s="28" t="str">
        <x:v>Provisionally Included</x:v>
      </x:c>
      <x:c r="J174" s="28" t="str">
        <x:v>Roadmap Enabling Reform</x:v>
      </x:c>
      <x:c r="K174" s="28" t="str">
        <x:v>No</x:v>
      </x:c>
      <x:c r="L174" s="28" t="str">
        <x:v>High</x:v>
      </x:c>
      <x:c r="M174" s="28" t="str">
        <x:v>The Compact states a discrete, durable mechanism that changes or materially strengthens sector rules, institutions, financing, planning, accountability, or service-delivery systems.</x:v>
      </x:c>
      <x:c r="N174" s="28" t="str">
        <x:v>Cross-cutting</x:v>
      </x:c>
      <x:c r="O174" s="28" t="str">
        <x:v>S1; S3</x:v>
      </x:c>
      <x:c r="P174" s="28" t="str">
        <x:v>Accountability, Inclusion &amp; Citizen Engagement</x:v>
      </x:c>
      <x:c r="Q174" s="28" t="str">
        <x:v>Gender-inclusive workforce institution</x:v>
      </x:c>
      <x:c r="R174" s="28" t="str">
        <x:v>MWRS; sector agencies</x:v>
      </x:c>
      <x:c r="S174" s="28" t="str"/>
      <x:c r="T174" s="28" t="str">
        <x:v>Pending human review</x:v>
      </x:c>
      <x:c r="U174" s="28" t="str"/>
      <x:c r="V174" s="28" t="str"/>
      <x:c r="W174" s="28" t="str">
        <x:v>Not an Aspiration</x:v>
      </x:c>
      <x:c r="X174" s="28" t="str">
        <x:v>Commitment=Yes; Actionable Mechanism=Yes; System Change=Yes; Not Merely Implementation=Yes; Distinct/Aggregated=Yes</x:v>
      </x:c>
    </x:row>
    <x:row r="175" ht="52" customHeight="1">
      <x:c r="A175" s="28" t="str">
        <x:v>SLE-052</x:v>
      </x:c>
      <x:c r="B175" s="28" t="str">
        <x:v>Sierra Leone</x:v>
      </x:c>
      <x:c r="C175" s="28" t="str">
        <x:v>PDF p. 8, goals</x:v>
      </x:c>
      <x:c r="D175" s="28" t="str">
        <x:v>Reform aspiration</x:v>
      </x:c>
      <x:c r="E175" s="28" t="str">
        <x:v>Strengthen all sector institutions</x:v>
      </x:c>
      <x:c r="F175" s="28" t="str">
        <x:v>Strengthen institutional capacity across the water sector</x:v>
      </x:c>
      <x:c r="G175" s="28" t="str">
        <x:v>A broad aspiration spanning many institutions and functions; concrete mechanisms are separately mapped from the outlook.</x:v>
      </x:c>
      <x:c r="H175" s="28" t="str">
        <x:v>B — Potential Reform Action — Human Review</x:v>
      </x:c>
      <x:c r="I175" s="28" t="str">
        <x:v>Pending Human Review</x:v>
      </x:c>
      <x:c r="J175" s="28" t="str">
        <x:v>Reform Aspiration — Potential</x:v>
      </x:c>
      <x:c r="K175" s="28" t="str">
        <x:v>No</x:v>
      </x:c>
      <x:c r="L175" s="28" t="str">
        <x:v>Very Low</x:v>
      </x:c>
      <x:c r="M175" s="28" t="str">
        <x:v>The passage signals plausible system change, but the instrument, institutional design, scope, aggregation, or distinction from implementation is not sufficiently clear for high-confidence inclusion.</x:v>
      </x:c>
      <x:c r="N175" s="28" t="str">
        <x:v>Cross-cutting</x:v>
      </x:c>
      <x:c r="O175" s="28" t="str">
        <x:v>S1; S3; S7</x:v>
      </x:c>
      <x:c r="P175" s="28" t="str">
        <x:v>Sector Governance &amp; Institutional Architecture</x:v>
      </x:c>
      <x:c r="Q175" s="28" t="str">
        <x:v>Sector-wide institutional strengthening</x:v>
      </x:c>
      <x:c r="R175" s="28" t="str">
        <x:v>MWRS; sector institutions</x:v>
      </x:c>
      <x:c r="S175" s="28" t="str">
        <x:v>SLE-032; SLE-035; SLE-046</x:v>
      </x:c>
      <x:c r="T175" s="28" t="str">
        <x:v>Pending human review</x:v>
      </x:c>
      <x:c r="U175" s="28" t="str"/>
      <x:c r="V175" s="28" t="str"/>
      <x:c r="W175" s="28" t="str">
        <x:v>Aspiration Linked to Explicit Mechanism</x:v>
      </x:c>
      <x:c r="X175" s="28" t="str">
        <x:v>Commitment=Yes/Partial; Actionable Mechanism=Partial; System Change=Partial; Not Merely Implementation=Partial; Distinct/Aggregated=Partial</x:v>
      </x:c>
    </x:row>
    <x:row r="176" ht="52" customHeight="1">
      <x:c r="A176" s="28" t="str">
        <x:v>SLE-053</x:v>
      </x:c>
      <x:c r="B176" s="28" t="str">
        <x:v>Sierra Leone</x:v>
      </x:c>
      <x:c r="C176" s="28" t="str">
        <x:v>PDF p. 8, goals</x:v>
      </x:c>
      <x:c r="D176" s="28" t="str">
        <x:v>Reform aspiration</x:v>
      </x:c>
      <x:c r="E176" s="28" t="str">
        <x:v>Improve WASH sector financing</x:v>
      </x:c>
      <x:c r="F176" s="28" t="str">
        <x:v>Improve WASH sector financing</x:v>
      </x:c>
      <x:c r="G176" s="28" t="str">
        <x:v>A general financing aspiration linked to several explicit fiscal, tariff, private-finance, and maintenance mechanisms.</x:v>
      </x:c>
      <x:c r="H176" s="28" t="str">
        <x:v>B — Potential Reform Action — Human Review</x:v>
      </x:c>
      <x:c r="I176" s="28" t="str">
        <x:v>Pending Human Review</x:v>
      </x:c>
      <x:c r="J176" s="28" t="str">
        <x:v>Reform Aspiration — Potential</x:v>
      </x:c>
      <x:c r="K176" s="28" t="str">
        <x:v>No</x:v>
      </x:c>
      <x:c r="L176" s="28" t="str">
        <x:v>Very Low</x:v>
      </x:c>
      <x:c r="M176" s="28" t="str">
        <x:v>The passage signals plausible system change, but the instrument, institutional design, scope, aggregation, or distinction from implementation is not sufficiently clear for high-confidence inclusion.</x:v>
      </x:c>
      <x:c r="N176" s="28" t="str">
        <x:v>Water for People</x:v>
      </x:c>
      <x:c r="O176" s="28" t="str">
        <x:v>S1; S2; S3</x:v>
      </x:c>
      <x:c r="P176" s="28" t="str">
        <x:v>Financial Sustainability &amp; Sector Financing</x:v>
      </x:c>
      <x:c r="Q176" s="28" t="str">
        <x:v>Sector financing reform</x:v>
      </x:c>
      <x:c r="R176" s="28" t="str">
        <x:v>MWRS; Ministry of Finance</x:v>
      </x:c>
      <x:c r="S176" s="28" t="str">
        <x:v>SLE-039; SLE-042; SLE-043; SLE-044</x:v>
      </x:c>
      <x:c r="T176" s="28" t="str">
        <x:v>Pending human review</x:v>
      </x:c>
      <x:c r="U176" s="28" t="str"/>
      <x:c r="V176" s="28" t="str"/>
      <x:c r="W176" s="28" t="str">
        <x:v>Aspiration Linked to Explicit Mechanism</x:v>
      </x:c>
      <x:c r="X176" s="28" t="str">
        <x:v>Commitment=Yes/Partial; Actionable Mechanism=Partial; System Change=Partial; Not Merely Implementation=Partial; Distinct/Aggregated=Partial</x:v>
      </x:c>
    </x:row>
    <x:row r="177" ht="52" customHeight="1">
      <x:c r="A177" s="28" t="str">
        <x:v>SLE-054</x:v>
      </x:c>
      <x:c r="B177" s="28" t="str">
        <x:v>Sierra Leone</x:v>
      </x:c>
      <x:c r="C177" s="28" t="str">
        <x:v>PDF p. 10, Priority Action 1</x:v>
      </x:c>
      <x:c r="D177" s="28" t="str">
        <x:v>Reform aspiration</x:v>
      </x:c>
      <x:c r="E177" s="28" t="str">
        <x:v>Improve customer engagement and cost recovery</x:v>
      </x:c>
      <x:c r="F177" s="28" t="str">
        <x:v>Strengthen customer engagement and cost recovery</x:v>
      </x:c>
      <x:c r="G177" s="28" t="str">
        <x:v>Plausible service and financial reform, but the passage lacks a discrete mechanism; tariff reform is mapped separately.</x:v>
      </x:c>
      <x:c r="H177" s="28" t="str">
        <x:v>B — Potential Reform Action — Human Review</x:v>
      </x:c>
      <x:c r="I177" s="28" t="str">
        <x:v>Pending Human Review</x:v>
      </x:c>
      <x:c r="J177" s="28" t="str">
        <x:v>Reform Aspiration — Potential</x:v>
      </x:c>
      <x:c r="K177" s="28" t="str">
        <x:v>No</x:v>
      </x:c>
      <x:c r="L177" s="28" t="str">
        <x:v>Very Low</x:v>
      </x:c>
      <x:c r="M177" s="28" t="str">
        <x:v>The passage signals plausible system change, but the instrument, institutional design, scope, aggregation, or distinction from implementation is not sufficiently clear for high-confidence inclusion.</x:v>
      </x:c>
      <x:c r="N177" s="28" t="str">
        <x:v>Water for People</x:v>
      </x:c>
      <x:c r="O177" s="28" t="str">
        <x:v>S1</x:v>
      </x:c>
      <x:c r="P177" s="28" t="str">
        <x:v>WSS Service Delivery &amp; Utility Reform</x:v>
      </x:c>
      <x:c r="Q177" s="28" t="str">
        <x:v>Customer engagement and cost recovery</x:v>
      </x:c>
      <x:c r="R177" s="28" t="str">
        <x:v>GVWC; SALWACO; local councils</x:v>
      </x:c>
      <x:c r="S177" s="28" t="str">
        <x:v>SLE-042</x:v>
      </x:c>
      <x:c r="T177" s="28" t="str">
        <x:v>Pending human review</x:v>
      </x:c>
      <x:c r="U177" s="28" t="str"/>
      <x:c r="V177" s="28" t="str"/>
      <x:c r="W177" s="28" t="str">
        <x:v>Aspiration Linked to Explicit Mechanism</x:v>
      </x:c>
      <x:c r="X177" s="28" t="str">
        <x:v>Commitment=Yes/Partial; Actionable Mechanism=Partial; System Change=Partial; Not Merely Implementation=Partial; Distinct/Aggregated=Partial</x:v>
      </x:c>
    </x:row>
    <x:row r="178" ht="52" customHeight="1">
      <x:c r="A178" s="28" t="str">
        <x:v>SLE-055</x:v>
      </x:c>
      <x:c r="B178" s="28" t="str">
        <x:v>Sierra Leone</x:v>
      </x:c>
      <x:c r="C178" s="28" t="str">
        <x:v>PDF p. 11, Priority Action 3</x:v>
      </x:c>
      <x:c r="D178" s="28" t="str">
        <x:v>Reform aspiration</x:v>
      </x:c>
      <x:c r="E178" s="28" t="str">
        <x:v>Gender-responsive inclusive sanitation</x:v>
      </x:c>
      <x:c r="F178" s="28" t="str">
        <x:v>Institutionalize gender-responsive sanitation service design</x:v>
      </x:c>
      <x:c r="G178" s="28" t="str">
        <x:v>The commitment signals inclusion and service-model change, but the Compact mainly specifies infrastructure design and campaigns rather than a governance instrument.</x:v>
      </x:c>
      <x:c r="H178" s="28" t="str">
        <x:v>B — Potential Reform Action — Human Review</x:v>
      </x:c>
      <x:c r="I178" s="28" t="str">
        <x:v>Pending Human Review</x:v>
      </x:c>
      <x:c r="J178" s="28" t="str">
        <x:v>Reform Aspiration — Potential</x:v>
      </x:c>
      <x:c r="K178" s="28" t="str">
        <x:v>No</x:v>
      </x:c>
      <x:c r="L178" s="28" t="str">
        <x:v>Very Low</x:v>
      </x:c>
      <x:c r="M178" s="28" t="str">
        <x:v>The passage signals plausible system change, but the instrument, institutional design, scope, aggregation, or distinction from implementation is not sufficiently clear for high-confidence inclusion.</x:v>
      </x:c>
      <x:c r="N178" s="28" t="str">
        <x:v>Water for People</x:v>
      </x:c>
      <x:c r="O178" s="28" t="str">
        <x:v>S3</x:v>
      </x:c>
      <x:c r="P178" s="28" t="str">
        <x:v>Accountability, Inclusion &amp; Citizen Engagement</x:v>
      </x:c>
      <x:c r="Q178" s="28" t="str">
        <x:v>Gender-responsive sanitation governance</x:v>
      </x:c>
      <x:c r="R178" s="28" t="str">
        <x:v>MWRS; local councils</x:v>
      </x:c>
      <x:c r="S178" s="28" t="str"/>
      <x:c r="T178" s="28" t="str">
        <x:v>Pending human review</x:v>
      </x:c>
      <x:c r="U178" s="28" t="str"/>
      <x:c r="V178" s="28" t="str"/>
      <x:c r="W178" s="28" t="str">
        <x:v>Unlinked Reform Aspiration</x:v>
      </x:c>
      <x:c r="X178" s="28" t="str">
        <x:v>Commitment=Yes/Partial; Actionable Mechanism=Partial; System Change=Partial; Not Merely Implementation=Partial; Distinct/Aggregated=Partial</x:v>
      </x:c>
    </x:row>
    <x:row r="179" ht="52" customHeight="1">
      <x:c r="A179" s="28" t="str">
        <x:v>SLE-056</x:v>
      </x:c>
      <x:c r="B179" s="28" t="str">
        <x:v>Sierra Leone</x:v>
      </x:c>
      <x:c r="C179" s="28" t="str">
        <x:v>PDF p. 9, Table 1</x:v>
      </x:c>
      <x:c r="D179" s="28" t="str">
        <x:v>Target table</x:v>
      </x:c>
      <x:c r="E179" s="28" t="str">
        <x:v>90% basic water access</x:v>
      </x:c>
      <x:c r="F179" s="28" t="str">
        <x:v>Reach 90 percent basic water access</x:v>
      </x:c>
      <x:c r="G179" s="28" t="str">
        <x:v>Coverage target.</x:v>
      </x:c>
      <x:c r="H179" s="28" t="str">
        <x:v>C — High-confidence Non-reform</x:v>
      </x:c>
      <x:c r="I179" s="28" t="str">
        <x:v>Excluded by LLM</x:v>
      </x:c>
      <x:c r="J179" s="28" t="str">
        <x:v>Outcome/Coverage Target</x:v>
      </x:c>
      <x:c r="K179" s="28" t="str">
        <x:v>No</x:v>
      </x:c>
      <x:c r="L179" s="28" t="str">
        <x:v>High</x:v>
      </x:c>
      <x:c r="M179" s="28" t="str">
        <x:v>This is a coverage, outcome, or production target without a discrete system-change mechanism.</x:v>
      </x:c>
      <x:c r="N179" s="28" t="str">
        <x:v>Water for People</x:v>
      </x:c>
      <x:c r="O179" s="28" t="str">
        <x:v>S1; S3</x:v>
      </x:c>
      <x:c r="P179" s="28" t="str">
        <x:v>WSS Service Delivery &amp; Utility Reform</x:v>
      </x:c>
      <x:c r="Q179" s="28" t="str">
        <x:v>Water-access target</x:v>
      </x:c>
      <x:c r="R179" s="28" t="str">
        <x:v>Government of Sierra Leone</x:v>
      </x:c>
      <x:c r="S179" s="28" t="str"/>
      <x:c r="T179" s="28" t="str">
        <x:v>Pending human review</x:v>
      </x:c>
      <x:c r="U179" s="28" t="str"/>
      <x:c r="V179" s="28" t="str"/>
      <x:c r="W179" s="28" t="str">
        <x:v>Aspiration Excluded as General Ambition</x:v>
      </x:c>
      <x:c r="X179" s="28" t="str">
        <x:v>Commitment=Yes; Actionable Mechanism=No; System Change=No; Not Merely Implementation=No; Distinct/Aggregated=Yes</x:v>
      </x:c>
    </x:row>
    <x:row r="180" ht="52" customHeight="1">
      <x:c r="A180" s="28" t="str">
        <x:v>SLE-057</x:v>
      </x:c>
      <x:c r="B180" s="28" t="str">
        <x:v>Sierra Leone</x:v>
      </x:c>
      <x:c r="C180" s="28" t="str">
        <x:v>PDF p. 9, Table 1</x:v>
      </x:c>
      <x:c r="D180" s="28" t="str">
        <x:v>Target table</x:v>
      </x:c>
      <x:c r="E180" s="28" t="str">
        <x:v>76% sanitation access</x:v>
      </x:c>
      <x:c r="F180" s="28" t="str">
        <x:v>Reach 76 percent basic sanitation access</x:v>
      </x:c>
      <x:c r="G180" s="28" t="str">
        <x:v>Coverage target.</x:v>
      </x:c>
      <x:c r="H180" s="28" t="str">
        <x:v>C — High-confidence Non-reform</x:v>
      </x:c>
      <x:c r="I180" s="28" t="str">
        <x:v>Excluded by LLM</x:v>
      </x:c>
      <x:c r="J180" s="28" t="str">
        <x:v>Outcome/Coverage Target</x:v>
      </x:c>
      <x:c r="K180" s="28" t="str">
        <x:v>No</x:v>
      </x:c>
      <x:c r="L180" s="28" t="str">
        <x:v>High</x:v>
      </x:c>
      <x:c r="M180" s="28" t="str">
        <x:v>This is a coverage, outcome, or production target without a discrete system-change mechanism.</x:v>
      </x:c>
      <x:c r="N180" s="28" t="str">
        <x:v>Water for People</x:v>
      </x:c>
      <x:c r="O180" s="28" t="str">
        <x:v>S1; S3</x:v>
      </x:c>
      <x:c r="P180" s="28" t="str">
        <x:v>WSS Service Delivery &amp; Utility Reform</x:v>
      </x:c>
      <x:c r="Q180" s="28" t="str">
        <x:v>Sanitation-access target</x:v>
      </x:c>
      <x:c r="R180" s="28" t="str">
        <x:v>Government of Sierra Leone</x:v>
      </x:c>
      <x:c r="S180" s="28" t="str"/>
      <x:c r="T180" s="28" t="str">
        <x:v>Pending human review</x:v>
      </x:c>
      <x:c r="U180" s="28" t="str"/>
      <x:c r="V180" s="28" t="str"/>
      <x:c r="W180" s="28" t="str">
        <x:v>Aspiration Excluded as General Ambition</x:v>
      </x:c>
      <x:c r="X180" s="28" t="str">
        <x:v>Commitment=Yes; Actionable Mechanism=No; System Change=No; Not Merely Implementation=No; Distinct/Aggregated=Yes</x:v>
      </x:c>
    </x:row>
    <x:row r="181" ht="52" customHeight="1">
      <x:c r="A181" s="28" t="str">
        <x:v>SLE-058</x:v>
      </x:c>
      <x:c r="B181" s="28" t="str">
        <x:v>Sierra Leone</x:v>
      </x:c>
      <x:c r="C181" s="28" t="str">
        <x:v>PDF pp. 9–10, Table 1</x:v>
      </x:c>
      <x:c r="D181" s="28" t="str">
        <x:v>Target table</x:v>
      </x:c>
      <x:c r="E181" s="28" t="str">
        <x:v>School and healthcare WASH targets</x:v>
      </x:c>
      <x:c r="F181" s="28" t="str">
        <x:v>Expand WASH coverage in schools and healthcare facilities</x:v>
      </x:c>
      <x:c r="G181" s="28" t="str">
        <x:v>Coverage and facility-output targets.</x:v>
      </x:c>
      <x:c r="H181" s="28" t="str">
        <x:v>C — High-confidence Non-reform</x:v>
      </x:c>
      <x:c r="I181" s="28" t="str">
        <x:v>Excluded by LLM</x:v>
      </x:c>
      <x:c r="J181" s="28" t="str">
        <x:v>Outcome/Coverage Target</x:v>
      </x:c>
      <x:c r="K181" s="28" t="str">
        <x:v>No</x:v>
      </x:c>
      <x:c r="L181" s="28" t="str">
        <x:v>High</x:v>
      </x:c>
      <x:c r="M181" s="28" t="str">
        <x:v>This is a coverage, outcome, or production target without a discrete system-change mechanism.</x:v>
      </x:c>
      <x:c r="N181" s="28" t="str">
        <x:v>Water for People</x:v>
      </x:c>
      <x:c r="O181" s="28" t="str">
        <x:v>S3</x:v>
      </x:c>
      <x:c r="P181" s="28" t="str">
        <x:v>WSS Service Delivery &amp; Utility Reform</x:v>
      </x:c>
      <x:c r="Q181" s="28" t="str">
        <x:v>Institutional WASH coverage</x:v>
      </x:c>
      <x:c r="R181" s="28" t="str">
        <x:v>MWRS; education and health ministries</x:v>
      </x:c>
      <x:c r="S181" s="28" t="str"/>
      <x:c r="T181" s="28" t="str">
        <x:v>Pending human review</x:v>
      </x:c>
      <x:c r="U181" s="28" t="str"/>
      <x:c r="V181" s="28" t="str"/>
      <x:c r="W181" s="28" t="str">
        <x:v>Aspiration Excluded as General Ambition</x:v>
      </x:c>
      <x:c r="X181" s="28" t="str">
        <x:v>Commitment=Yes; Actionable Mechanism=No; System Change=No; Not Merely Implementation=No; Distinct/Aggregated=Yes</x:v>
      </x:c>
    </x:row>
    <x:row r="182" ht="52" customHeight="1">
      <x:c r="A182" s="28" t="str">
        <x:v>SLE-059</x:v>
      </x:c>
      <x:c r="B182" s="28" t="str">
        <x:v>Sierra Leone</x:v>
      </x:c>
      <x:c r="C182" s="28" t="str">
        <x:v>PDF p. 9, Table 1</x:v>
      </x:c>
      <x:c r="D182" s="28" t="str">
        <x:v>Target table</x:v>
      </x:c>
      <x:c r="E182" s="28" t="str">
        <x:v>Restore two polluted basins</x:v>
      </x:c>
      <x:c r="F182" s="28" t="str">
        <x:v>Implement ecohydrological restoration in two basins</x:v>
      </x:c>
      <x:c r="G182" s="28" t="str">
        <x:v>Ecosystem-restoration implementation target without a governance mechanism.</x:v>
      </x:c>
      <x:c r="H182" s="28" t="str">
        <x:v>C — High-confidence Non-reform</x:v>
      </x:c>
      <x:c r="I182" s="28" t="str">
        <x:v>Excluded by LLM</x:v>
      </x:c>
      <x:c r="J182" s="28" t="str">
        <x:v>Outcome/Coverage Target</x:v>
      </x:c>
      <x:c r="K182" s="28" t="str">
        <x:v>No</x:v>
      </x:c>
      <x:c r="L182" s="28" t="str">
        <x:v>High</x:v>
      </x:c>
      <x:c r="M182" s="28" t="str">
        <x:v>This is a coverage, outcome, or production target without a discrete system-change mechanism.</x:v>
      </x:c>
      <x:c r="N182" s="28" t="str">
        <x:v>Water for Planet</x:v>
      </x:c>
      <x:c r="O182" s="28" t="str">
        <x:v>S7</x:v>
      </x:c>
      <x:c r="P182" s="28" t="str">
        <x:v>Water Resources &amp; Climate Governance</x:v>
      </x:c>
      <x:c r="Q182" s="28" t="str">
        <x:v>Basin restoration</x:v>
      </x:c>
      <x:c r="R182" s="28" t="str">
        <x:v>NWRMA; EPA-SL</x:v>
      </x:c>
      <x:c r="S182" s="28" t="str"/>
      <x:c r="T182" s="28" t="str">
        <x:v>Pending human review</x:v>
      </x:c>
      <x:c r="U182" s="28" t="str"/>
      <x:c r="V182" s="28" t="str"/>
      <x:c r="W182" s="28" t="str">
        <x:v>Aspiration Excluded as General Ambition</x:v>
      </x:c>
      <x:c r="X182" s="28" t="str">
        <x:v>Commitment=Yes; Actionable Mechanism=No; System Change=No; Not Merely Implementation=No; Distinct/Aggregated=Yes</x:v>
      </x:c>
    </x:row>
    <x:row r="183" ht="52" customHeight="1">
      <x:c r="A183" s="28" t="str">
        <x:v>SLE-060</x:v>
      </x:c>
      <x:c r="B183" s="28" t="str">
        <x:v>Sierra Leone</x:v>
      </x:c>
      <x:c r="C183" s="28" t="str">
        <x:v>PDF p. 14, Appendix 1</x:v>
      </x:c>
      <x:c r="D183" s="28" t="str">
        <x:v>Programmatic outlook</x:v>
      </x:c>
      <x:c r="E183" s="28" t="str">
        <x:v>Water infrastructure construction</x:v>
      </x:c>
      <x:c r="F183" s="28" t="str">
        <x:v>Construct and rehabilitate urban water systems</x:v>
      </x:c>
      <x:c r="G183" s="28" t="str">
        <x:v>Capital works and service-expansion outputs.</x:v>
      </x:c>
      <x:c r="H183" s="28" t="str">
        <x:v>C — High-confidence Non-reform</x:v>
      </x:c>
      <x:c r="I183" s="28" t="str">
        <x:v>Excluded by LLM</x:v>
      </x:c>
      <x:c r="J183" s="28" t="str">
        <x:v>Implementation/Investment Activity</x:v>
      </x:c>
      <x:c r="K183" s="28" t="str">
        <x:v>No</x:v>
      </x:c>
      <x:c r="L183" s="28" t="str">
        <x:v>High</x:v>
      </x:c>
      <x:c r="M183" s="28" t="str">
        <x:v>This is an investment, construction, operational, training, study, or implementation output rather than a discrete system-change commitment.</x:v>
      </x:c>
      <x:c r="N183" s="28" t="str">
        <x:v>Water for People</x:v>
      </x:c>
      <x:c r="O183" s="28" t="str">
        <x:v>S1</x:v>
      </x:c>
      <x:c r="P183" s="28" t="str">
        <x:v>WSS Service Delivery &amp; Utility Reform</x:v>
      </x:c>
      <x:c r="Q183" s="28" t="str">
        <x:v>Urban water investment</x:v>
      </x:c>
      <x:c r="R183" s="28" t="str">
        <x:v>GVWC; SALWACO</x:v>
      </x:c>
      <x:c r="S183" s="28" t="str"/>
      <x:c r="T183" s="28" t="str">
        <x:v>Pending human review</x:v>
      </x:c>
      <x:c r="U183" s="28" t="str"/>
      <x:c r="V183" s="28" t="str"/>
      <x:c r="W183" s="28" t="str">
        <x:v>Not an Aspiration</x:v>
      </x:c>
      <x:c r="X183" s="28" t="str">
        <x:v>Commitment=Yes; Actionable Mechanism=Partial; System Change=No; Not Merely Implementation=No; Distinct/Aggregated=Yes</x:v>
      </x:c>
    </x:row>
    <x:row r="184" ht="52" customHeight="1">
      <x:c r="A184" s="28" t="str">
        <x:v>SLE-061</x:v>
      </x:c>
      <x:c r="B184" s="28" t="str">
        <x:v>Sierra Leone</x:v>
      </x:c>
      <x:c r="C184" s="28" t="str">
        <x:v>PDF p. 14, Appendix 1</x:v>
      </x:c>
      <x:c r="D184" s="28" t="str">
        <x:v>Programmatic outlook</x:v>
      </x:c>
      <x:c r="E184" s="28" t="str">
        <x:v>Install meters and establish DMAs</x:v>
      </x:c>
      <x:c r="F184" s="28" t="str">
        <x:v>Install bulk, zonal, and customer meters and DMAs</x:v>
      </x:c>
      <x:c r="G184" s="28" t="str">
        <x:v>Operational NRW activities; any service-model reform would need a separate contractual or governance mechanism.</x:v>
      </x:c>
      <x:c r="H184" s="28" t="str">
        <x:v>C — High-confidence Non-reform</x:v>
      </x:c>
      <x:c r="I184" s="28" t="str">
        <x:v>Excluded by LLM</x:v>
      </x:c>
      <x:c r="J184" s="28" t="str">
        <x:v>Implementation/Investment Activity</x:v>
      </x:c>
      <x:c r="K184" s="28" t="str">
        <x:v>No</x:v>
      </x:c>
      <x:c r="L184" s="28" t="str">
        <x:v>High</x:v>
      </x:c>
      <x:c r="M184" s="28" t="str">
        <x:v>This is an investment, construction, operational, training, study, or implementation output rather than a discrete system-change commitment.</x:v>
      </x:c>
      <x:c r="N184" s="28" t="str">
        <x:v>Water for People</x:v>
      </x:c>
      <x:c r="O184" s="28" t="str">
        <x:v>S1</x:v>
      </x:c>
      <x:c r="P184" s="28" t="str">
        <x:v>WSS Service Delivery &amp; Utility Reform</x:v>
      </x:c>
      <x:c r="Q184" s="28" t="str">
        <x:v>NRW operational measures</x:v>
      </x:c>
      <x:c r="R184" s="28" t="str">
        <x:v>GVWC; SALWACO</x:v>
      </x:c>
      <x:c r="S184" s="28" t="str"/>
      <x:c r="T184" s="28" t="str">
        <x:v>Pending human review</x:v>
      </x:c>
      <x:c r="U184" s="28" t="str"/>
      <x:c r="V184" s="28" t="str"/>
      <x:c r="W184" s="28" t="str">
        <x:v>Not an Aspiration</x:v>
      </x:c>
      <x:c r="X184" s="28" t="str">
        <x:v>Commitment=Yes; Actionable Mechanism=Partial; System Change=No; Not Merely Implementation=No; Distinct/Aggregated=Yes</x:v>
      </x:c>
    </x:row>
    <x:row r="185" ht="52" customHeight="1">
      <x:c r="A185" s="28" t="str">
        <x:v>SLE-062</x:v>
      </x:c>
      <x:c r="B185" s="28" t="str">
        <x:v>Sierra Leone</x:v>
      </x:c>
      <x:c r="C185" s="28" t="str">
        <x:v>PDF p. 15, Appendix 1</x:v>
      </x:c>
      <x:c r="D185" s="28" t="str">
        <x:v>Programmatic outlook</x:v>
      </x:c>
      <x:c r="E185" s="28" t="str">
        <x:v>WWTP and fecal-sludge facilities</x:v>
      </x:c>
      <x:c r="F185" s="28" t="str">
        <x:v>Construct wastewater and fecal-sludge treatment facilities</x:v>
      </x:c>
      <x:c r="G185" s="28" t="str">
        <x:v>Infrastructure investment.</x:v>
      </x:c>
      <x:c r="H185" s="28" t="str">
        <x:v>C — High-confidence Non-reform</x:v>
      </x:c>
      <x:c r="I185" s="28" t="str">
        <x:v>Excluded by LLM</x:v>
      </x:c>
      <x:c r="J185" s="28" t="str">
        <x:v>Implementation/Investment Activity</x:v>
      </x:c>
      <x:c r="K185" s="28" t="str">
        <x:v>No</x:v>
      </x:c>
      <x:c r="L185" s="28" t="str">
        <x:v>High</x:v>
      </x:c>
      <x:c r="M185" s="28" t="str">
        <x:v>This is an investment, construction, operational, training, study, or implementation output rather than a discrete system-change commitment.</x:v>
      </x:c>
      <x:c r="N185" s="28" t="str">
        <x:v>Water for People</x:v>
      </x:c>
      <x:c r="O185" s="28" t="str">
        <x:v>S1</x:v>
      </x:c>
      <x:c r="P185" s="28" t="str">
        <x:v>WSS Service Delivery &amp; Utility Reform</x:v>
      </x:c>
      <x:c r="Q185" s="28" t="str">
        <x:v>Wastewater infrastructure</x:v>
      </x:c>
      <x:c r="R185" s="28" t="str">
        <x:v>MWRS; local authorities</x:v>
      </x:c>
      <x:c r="S185" s="28" t="str"/>
      <x:c r="T185" s="28" t="str">
        <x:v>Pending human review</x:v>
      </x:c>
      <x:c r="U185" s="28" t="str"/>
      <x:c r="V185" s="28" t="str"/>
      <x:c r="W185" s="28" t="str">
        <x:v>Not an Aspiration</x:v>
      </x:c>
      <x:c r="X185" s="28" t="str">
        <x:v>Commitment=Yes; Actionable Mechanism=Partial; System Change=No; Not Merely Implementation=No; Distinct/Aggregated=Yes</x:v>
      </x:c>
    </x:row>
    <x:row r="186" ht="52" customHeight="1">
      <x:c r="A186" s="28" t="str">
        <x:v>SLE-063</x:v>
      </x:c>
      <x:c r="B186" s="28" t="str">
        <x:v>Sierra Leone</x:v>
      </x:c>
      <x:c r="C186" s="28" t="str">
        <x:v>PDF p. 15, Appendix 1</x:v>
      </x:c>
      <x:c r="D186" s="28" t="str">
        <x:v>Programmatic outlook</x:v>
      </x:c>
      <x:c r="E186" s="28" t="str">
        <x:v>Landfill and composting construction</x:v>
      </x:c>
      <x:c r="F186" s="28" t="str">
        <x:v>Construct landfill and materials-recovery facilities</x:v>
      </x:c>
      <x:c r="G186" s="28" t="str">
        <x:v>Solid-waste capital investment outside the core water-sector reform inventory.</x:v>
      </x:c>
      <x:c r="H186" s="28" t="str">
        <x:v>C — High-confidence Non-reform</x:v>
      </x:c>
      <x:c r="I186" s="28" t="str">
        <x:v>Excluded by LLM</x:v>
      </x:c>
      <x:c r="J186" s="28" t="str">
        <x:v>Outside Sector Scope</x:v>
      </x:c>
      <x:c r="K186" s="28" t="str">
        <x:v>No</x:v>
      </x:c>
      <x:c r="L186" s="28" t="str">
        <x:v>High</x:v>
      </x:c>
      <x:c r="M186" s="28" t="str">
        <x:v>This is an investment, construction, operational, training, study, or implementation output rather than a discrete system-change commitment.</x:v>
      </x:c>
      <x:c r="N186" s="28" t="str">
        <x:v>Water for Planet</x:v>
      </x:c>
      <x:c r="O186" s="28" t="str">
        <x:v>S7</x:v>
      </x:c>
      <x:c r="P186" s="28" t="str">
        <x:v>Legal &amp; Regulatory Reform</x:v>
      </x:c>
      <x:c r="Q186" s="28" t="str">
        <x:v>Solid-waste infrastructure</x:v>
      </x:c>
      <x:c r="R186" s="28" t="str">
        <x:v>Local government; EPA-SL</x:v>
      </x:c>
      <x:c r="S186" s="28" t="str"/>
      <x:c r="T186" s="28" t="str">
        <x:v>Pending human review</x:v>
      </x:c>
      <x:c r="U186" s="28" t="str"/>
      <x:c r="V186" s="28" t="str"/>
      <x:c r="W186" s="28" t="str">
        <x:v>Not an Aspiration</x:v>
      </x:c>
      <x:c r="X186" s="28" t="str">
        <x:v>Commitment=Yes; Actionable Mechanism=Partial; System Change=No; Not Merely Implementation=No; Distinct/Aggregated=Yes</x:v>
      </x:c>
    </x:row>
    <x:row r="187" ht="52" customHeight="1">
      <x:c r="A187" s="28" t="str">
        <x:v>SLE-064</x:v>
      </x:c>
      <x:c r="B187" s="28" t="str">
        <x:v>Sierra Leone</x:v>
      </x:c>
      <x:c r="C187" s="28" t="str">
        <x:v>PDF p. 16, Appendix 1</x:v>
      </x:c>
      <x:c r="D187" s="28" t="str">
        <x:v>Programmatic outlook</x:v>
      </x:c>
      <x:c r="E187" s="28" t="str">
        <x:v>Institutional capacity assessment</x:v>
      </x:c>
      <x:c r="F187" s="28" t="str">
        <x:v>Assess institutional capacity of sector agencies</x:v>
      </x:c>
      <x:c r="G187" s="28" t="str">
        <x:v>Diagnostic assessment; resulting institutional changes are not specified in this line.</x:v>
      </x:c>
      <x:c r="H187" s="28" t="str">
        <x:v>C — High-confidence Non-reform</x:v>
      </x:c>
      <x:c r="I187" s="28" t="str">
        <x:v>Excluded by LLM</x:v>
      </x:c>
      <x:c r="J187" s="28" t="str">
        <x:v>Implementation/Investment Activity</x:v>
      </x:c>
      <x:c r="K187" s="28" t="str">
        <x:v>No</x:v>
      </x:c>
      <x:c r="L187" s="28" t="str">
        <x:v>High</x:v>
      </x:c>
      <x:c r="M187" s="28" t="str">
        <x:v>This is an investment, construction, operational, training, study, or implementation output rather than a discrete system-change commitment.</x:v>
      </x:c>
      <x:c r="N187" s="28" t="str">
        <x:v>Cross-cutting</x:v>
      </x:c>
      <x:c r="O187" s="28" t="str">
        <x:v>S1; S3; S7</x:v>
      </x:c>
      <x:c r="P187" s="28" t="str">
        <x:v>Sector Governance &amp; Institutional Architecture</x:v>
      </x:c>
      <x:c r="Q187" s="28" t="str">
        <x:v>Institutional diagnostic</x:v>
      </x:c>
      <x:c r="R187" s="28" t="str">
        <x:v>MWRS</x:v>
      </x:c>
      <x:c r="S187" s="28" t="str"/>
      <x:c r="T187" s="28" t="str">
        <x:v>Pending human review</x:v>
      </x:c>
      <x:c r="U187" s="28" t="str"/>
      <x:c r="V187" s="28" t="str"/>
      <x:c r="W187" s="28" t="str">
        <x:v>Not an Aspiration</x:v>
      </x:c>
      <x:c r="X187" s="28" t="str">
        <x:v>Commitment=Yes; Actionable Mechanism=Partial; System Change=No; Not Merely Implementation=No; Distinct/Aggregated=Yes</x:v>
      </x:c>
    </x:row>
    <x:row r="188" ht="52" customHeight="1">
      <x:c r="A188" s="28" t="str">
        <x:v>SLE-065</x:v>
      </x:c>
      <x:c r="B188" s="28" t="str">
        <x:v>Sierra Leone</x:v>
      </x:c>
      <x:c r="C188" s="28" t="str">
        <x:v>PDF p. 16, Appendix 1</x:v>
      </x:c>
      <x:c r="D188" s="28" t="str">
        <x:v>Programmatic outlook</x:v>
      </x:c>
      <x:c r="E188" s="28" t="str">
        <x:v>Build Water House</x:v>
      </x:c>
      <x:c r="F188" s="28" t="str">
        <x:v>Build an office for the water ministry and institutions</x:v>
      </x:c>
      <x:c r="G188" s="28" t="str">
        <x:v>Construction output.</x:v>
      </x:c>
      <x:c r="H188" s="28" t="str">
        <x:v>C — High-confidence Non-reform</x:v>
      </x:c>
      <x:c r="I188" s="28" t="str">
        <x:v>Excluded by LLM</x:v>
      </x:c>
      <x:c r="J188" s="28" t="str">
        <x:v>Implementation/Investment Activity</x:v>
      </x:c>
      <x:c r="K188" s="28" t="str">
        <x:v>No</x:v>
      </x:c>
      <x:c r="L188" s="28" t="str">
        <x:v>High</x:v>
      </x:c>
      <x:c r="M188" s="28" t="str">
        <x:v>This is an investment, construction, operational, training, study, or implementation output rather than a discrete system-change commitment.</x:v>
      </x:c>
      <x:c r="N188" s="28" t="str">
        <x:v>Cross-cutting</x:v>
      </x:c>
      <x:c r="O188" s="28" t="str">
        <x:v>S1; S3; S7</x:v>
      </x:c>
      <x:c r="P188" s="28" t="str">
        <x:v>Sector Governance &amp; Institutional Architecture</x:v>
      </x:c>
      <x:c r="Q188" s="28" t="str">
        <x:v>Government office construction</x:v>
      </x:c>
      <x:c r="R188" s="28" t="str">
        <x:v>MWRS</x:v>
      </x:c>
      <x:c r="S188" s="28" t="str"/>
      <x:c r="T188" s="28" t="str">
        <x:v>Pending human review</x:v>
      </x:c>
      <x:c r="U188" s="28" t="str"/>
      <x:c r="V188" s="28" t="str"/>
      <x:c r="W188" s="28" t="str">
        <x:v>Not an Aspiration</x:v>
      </x:c>
      <x:c r="X188" s="28" t="str">
        <x:v>Commitment=Yes; Actionable Mechanism=Partial; System Change=No; Not Merely Implementation=No; Distinct/Aggregated=Yes</x:v>
      </x:c>
    </x:row>
    <x:row r="189" ht="52" customHeight="1">
      <x:c r="A189" s="28" t="str">
        <x:v>SLE-066</x:v>
      </x:c>
      <x:c r="B189" s="28" t="str">
        <x:v>Sierra Leone</x:v>
      </x:c>
      <x:c r="C189" s="28" t="str">
        <x:v>PDF p. 16, Appendix 1</x:v>
      </x:c>
      <x:c r="D189" s="28" t="str">
        <x:v>Programmatic outlook</x:v>
      </x:c>
      <x:c r="E189" s="28" t="str">
        <x:v>Staffing audit</x:v>
      </x:c>
      <x:c r="F189" s="28" t="str">
        <x:v>Undertake a staffing audit</x:v>
      </x:c>
      <x:c r="G189" s="28" t="str">
        <x:v>Diagnostic activity without a specified staffing, mandate, or performance-system reform.</x:v>
      </x:c>
      <x:c r="H189" s="28" t="str">
        <x:v>C — High-confidence Non-reform</x:v>
      </x:c>
      <x:c r="I189" s="28" t="str">
        <x:v>Excluded by LLM</x:v>
      </x:c>
      <x:c r="J189" s="28" t="str">
        <x:v>Implementation/Investment Activity</x:v>
      </x:c>
      <x:c r="K189" s="28" t="str">
        <x:v>No</x:v>
      </x:c>
      <x:c r="L189" s="28" t="str">
        <x:v>High</x:v>
      </x:c>
      <x:c r="M189" s="28" t="str">
        <x:v>This is an investment, construction, operational, training, study, or implementation output rather than a discrete system-change commitment.</x:v>
      </x:c>
      <x:c r="N189" s="28" t="str">
        <x:v>Cross-cutting</x:v>
      </x:c>
      <x:c r="O189" s="28" t="str">
        <x:v>S1; S3; S7</x:v>
      </x:c>
      <x:c r="P189" s="28" t="str">
        <x:v>Sector Governance &amp; Institutional Architecture</x:v>
      </x:c>
      <x:c r="Q189" s="28" t="str">
        <x:v>Human-resource diagnostic</x:v>
      </x:c>
      <x:c r="R189" s="28" t="str">
        <x:v>MWRS</x:v>
      </x:c>
      <x:c r="S189" s="28" t="str"/>
      <x:c r="T189" s="28" t="str">
        <x:v>Pending human review</x:v>
      </x:c>
      <x:c r="U189" s="28" t="str"/>
      <x:c r="V189" s="28" t="str"/>
      <x:c r="W189" s="28" t="str">
        <x:v>Not an Aspiration</x:v>
      </x:c>
      <x:c r="X189" s="28" t="str">
        <x:v>Commitment=Yes; Actionable Mechanism=Partial; System Change=No; Not Merely Implementation=No; Distinct/Aggregated=Yes</x:v>
      </x:c>
    </x:row>
    <x:row r="190" ht="52" customHeight="1">
      <x:c r="A190" s="28" t="str">
        <x:v>SLE-067</x:v>
      </x:c>
      <x:c r="B190" s="28" t="str">
        <x:v>Sierra Leone</x:v>
      </x:c>
      <x:c r="C190" s="28" t="str">
        <x:v>PDF p. 16, Appendix 1</x:v>
      </x:c>
      <x:c r="D190" s="28" t="str">
        <x:v>Programmatic outlook</x:v>
      </x:c>
      <x:c r="E190" s="28" t="str">
        <x:v>Technical training activities</x:v>
      </x:c>
      <x:c r="F190" s="28" t="str">
        <x:v>Deliver technical and community training</x:v>
      </x:c>
      <x:c r="G190" s="28" t="str">
        <x:v>One-off or activity-based training is excluded unless embedded in an enduring institutional mechanism.</x:v>
      </x:c>
      <x:c r="H190" s="28" t="str">
        <x:v>C — High-confidence Non-reform</x:v>
      </x:c>
      <x:c r="I190" s="28" t="str">
        <x:v>Excluded by LLM</x:v>
      </x:c>
      <x:c r="J190" s="28" t="str">
        <x:v>Implementation/Investment Activity</x:v>
      </x:c>
      <x:c r="K190" s="28" t="str">
        <x:v>No</x:v>
      </x:c>
      <x:c r="L190" s="28" t="str">
        <x:v>High</x:v>
      </x:c>
      <x:c r="M190" s="28" t="str">
        <x:v>This is an investment, construction, operational, training, study, or implementation output rather than a discrete system-change commitment.</x:v>
      </x:c>
      <x:c r="N190" s="28" t="str">
        <x:v>Cross-cutting</x:v>
      </x:c>
      <x:c r="O190" s="28" t="str">
        <x:v>S1; S3; S7</x:v>
      </x:c>
      <x:c r="P190" s="28" t="str">
        <x:v>Sector Governance &amp; Institutional Architecture</x:v>
      </x:c>
      <x:c r="Q190" s="28" t="str">
        <x:v>Training activity</x:v>
      </x:c>
      <x:c r="R190" s="28" t="str">
        <x:v>MWRS; service providers</x:v>
      </x:c>
      <x:c r="S190" s="28" t="str"/>
      <x:c r="T190" s="28" t="str">
        <x:v>Pending human review</x:v>
      </x:c>
      <x:c r="U190" s="28" t="str"/>
      <x:c r="V190" s="28" t="str"/>
      <x:c r="W190" s="28" t="str">
        <x:v>Not an Aspiration</x:v>
      </x:c>
      <x:c r="X190" s="28" t="str">
        <x:v>Commitment=Yes; Actionable Mechanism=Partial; System Change=No; Not Merely Implementation=No; Distinct/Aggregated=Yes</x:v>
      </x:c>
    </x:row>
    <x:row r="191" ht="52" customHeight="1">
      <x:c r="A191" s="28" t="str">
        <x:v>SLE-068</x:v>
      </x:c>
      <x:c r="B191" s="28" t="str">
        <x:v>Sierra Leone</x:v>
      </x:c>
      <x:c r="C191" s="28" t="str">
        <x:v>PDF p. 16, Appendix 1</x:v>
      </x:c>
      <x:c r="D191" s="28" t="str">
        <x:v>Programmatic outlook</x:v>
      </x:c>
      <x:c r="E191" s="28" t="str">
        <x:v>Develop MWRS website</x:v>
      </x:c>
      <x:c r="F191" s="28" t="str">
        <x:v>Develop a functional ministry website</x:v>
      </x:c>
      <x:c r="G191" s="28" t="str">
        <x:v>Communication output rather than sector system reform.</x:v>
      </x:c>
      <x:c r="H191" s="28" t="str">
        <x:v>C — High-confidence Non-reform</x:v>
      </x:c>
      <x:c r="I191" s="28" t="str">
        <x:v>Excluded by LLM</x:v>
      </x:c>
      <x:c r="J191" s="28" t="str">
        <x:v>Implementation/Investment Activity</x:v>
      </x:c>
      <x:c r="K191" s="28" t="str">
        <x:v>No</x:v>
      </x:c>
      <x:c r="L191" s="28" t="str">
        <x:v>High</x:v>
      </x:c>
      <x:c r="M191" s="28" t="str">
        <x:v>This is an investment, construction, operational, training, study, or implementation output rather than a discrete system-change commitment.</x:v>
      </x:c>
      <x:c r="N191" s="28" t="str">
        <x:v>Cross-cutting</x:v>
      </x:c>
      <x:c r="O191" s="28" t="str">
        <x:v>S1; S3; S7</x:v>
      </x:c>
      <x:c r="P191" s="28" t="str">
        <x:v>Data, Digitalization &amp; Sector Intelligence</x:v>
      </x:c>
      <x:c r="Q191" s="28" t="str">
        <x:v>Website development</x:v>
      </x:c>
      <x:c r="R191" s="28" t="str">
        <x:v>MWRS</x:v>
      </x:c>
      <x:c r="S191" s="28" t="str"/>
      <x:c r="T191" s="28" t="str">
        <x:v>Pending human review</x:v>
      </x:c>
      <x:c r="U191" s="28" t="str"/>
      <x:c r="V191" s="28" t="str"/>
      <x:c r="W191" s="28" t="str">
        <x:v>Not an Aspiration</x:v>
      </x:c>
      <x:c r="X191" s="28" t="str">
        <x:v>Commitment=Yes; Actionable Mechanism=Partial; System Change=No; Not Merely Implementation=No; Distinct/Aggregated=Yes</x:v>
      </x:c>
    </x:row>
    <x:row r="192" ht="52" customHeight="1">
      <x:c r="A192" s="28" t="str">
        <x:v>SLE-069</x:v>
      </x:c>
      <x:c r="B192" s="28" t="str">
        <x:v>Sierra Leone</x:v>
      </x:c>
      <x:c r="C192" s="28" t="str">
        <x:v>PDF p. 18, Appendix 1</x:v>
      </x:c>
      <x:c r="D192" s="28" t="str">
        <x:v>Programmatic outlook</x:v>
      </x:c>
      <x:c r="E192" s="28" t="str">
        <x:v>Gender assessment studies</x:v>
      </x:c>
      <x:c r="F192" s="28" t="str">
        <x:v>Conduct periodic gender assessments</x:v>
      </x:c>
      <x:c r="G192" s="28" t="str">
        <x:v>A diagnostic activity; the separately retained gender-indicator system is the enduring mechanism.</x:v>
      </x:c>
      <x:c r="H192" s="28" t="str">
        <x:v>C — High-confidence Non-reform</x:v>
      </x:c>
      <x:c r="I192" s="28" t="str">
        <x:v>Excluded by LLM</x:v>
      </x:c>
      <x:c r="J192" s="28" t="str">
        <x:v>Implementation/Investment Activity</x:v>
      </x:c>
      <x:c r="K192" s="28" t="str">
        <x:v>No</x:v>
      </x:c>
      <x:c r="L192" s="28" t="str">
        <x:v>High</x:v>
      </x:c>
      <x:c r="M192" s="28" t="str">
        <x:v>This is an investment, construction, operational, training, study, or implementation output rather than a discrete system-change commitment.</x:v>
      </x:c>
      <x:c r="N192" s="28" t="str">
        <x:v>Cross-cutting</x:v>
      </x:c>
      <x:c r="O192" s="28" t="str">
        <x:v>S1; S3</x:v>
      </x:c>
      <x:c r="P192" s="28" t="str">
        <x:v>Accountability, Inclusion &amp; Citizen Engagement</x:v>
      </x:c>
      <x:c r="Q192" s="28" t="str">
        <x:v>Gender diagnostic</x:v>
      </x:c>
      <x:c r="R192" s="28" t="str">
        <x:v>MWRS</x:v>
      </x:c>
      <x:c r="S192" s="28" t="str">
        <x:v>SLE-050</x:v>
      </x:c>
      <x:c r="T192" s="28" t="str">
        <x:v>Pending human review</x:v>
      </x:c>
      <x:c r="U192" s="28" t="str"/>
      <x:c r="V192" s="28" t="str"/>
      <x:c r="W192" s="28" t="str">
        <x:v>Not an Aspiration</x:v>
      </x:c>
      <x:c r="X192" s="28" t="str">
        <x:v>Commitment=Yes; Actionable Mechanism=Partial; System Change=No; Not Merely Implementation=No; Distinct/Aggregated=Yes</x:v>
      </x:c>
    </x:row>
    <x:row r="193" ht="52" customHeight="1">
      <x:c r="A193" s="29" t="str">
        <x:v>SLE-070</x:v>
      </x:c>
      <x:c r="B193" s="29" t="str">
        <x:v>Sierra Leone</x:v>
      </x:c>
      <x:c r="C193" s="29" t="str">
        <x:v>PDF pp. 11–12, financing table</x:v>
      </x:c>
      <x:c r="D193" s="29" t="str">
        <x:v>Financing table</x:v>
      </x:c>
      <x:c r="E193" s="29" t="str">
        <x:v>US$1 billion investment envelope</x:v>
      </x:c>
      <x:c r="F193" s="29" t="str">
        <x:v>Finance the Compact's intervention program</x:v>
      </x:c>
      <x:c r="G193" s="29" t="str">
        <x:v>Aggregate funding need and cost allocation, not a reform mechanism.</x:v>
      </x:c>
      <x:c r="H193" s="29" t="str">
        <x:v>C — High-confidence Non-reform</x:v>
      </x:c>
      <x:c r="I193" s="29" t="str">
        <x:v>Excluded by LLM</x:v>
      </x:c>
      <x:c r="J193" s="29" t="str">
        <x:v>Investment Pipeline/Project Preparation</x:v>
      </x:c>
      <x:c r="K193" s="29" t="str">
        <x:v>No</x:v>
      </x:c>
      <x:c r="L193" s="29" t="str">
        <x:v>High</x:v>
      </x:c>
      <x:c r="M193" s="29" t="str">
        <x:v>This is an investment, construction, operational, training, study, or implementation output rather than a discrete system-change commitment.</x:v>
      </x:c>
      <x:c r="N193" s="29" t="str">
        <x:v>Cross-cutting</x:v>
      </x:c>
      <x:c r="O193" s="29" t="str">
        <x:v>S1; S3; S6; S7</x:v>
      </x:c>
      <x:c r="P193" s="29" t="str">
        <x:v>Financial Sustainability &amp; Sector Financing</x:v>
      </x:c>
      <x:c r="Q193" s="29" t="str">
        <x:v>Investment envelope</x:v>
      </x:c>
      <x:c r="R193" s="29" t="str">
        <x:v>Government; development partners</x:v>
      </x:c>
      <x:c r="S193" s="29" t="str"/>
      <x:c r="T193" s="29" t="str">
        <x:v>Pending human review</x:v>
      </x:c>
      <x:c r="U193" s="29" t="str"/>
      <x:c r="V193" s="29" t="str"/>
      <x:c r="W193" s="29" t="str">
        <x:v>Not an Aspiration</x:v>
      </x:c>
      <x:c r="X193" s="29" t="str">
        <x:v>Commitment=Yes; Actionable Mechanism=Partial; System Change=No; Not Merely Implementation=No; Distinct/Aggregated=Yes</x:v>
      </x:c>
    </x:row>
  </x:sheetData>
  <x:mergeCells>
    <x:mergeCell ref="A1:X1"/>
    <x:mergeCell ref="A2:X2"/>
  </x:mergeCells>
  <x:conditionalFormatting sqref="H5:H193">
    <x:cfRule type="containsText" dxfId="0" priority="1" operator="containsText" text="High-confidence Reform Action"/>
    <x:cfRule type="containsText" dxfId="1" priority="2" operator="containsText" text="Potential Reform Action"/>
    <x:cfRule type="containsText" dxfId="2" priority="3" operator="containsText" text="High-confidence Non-reform"/>
  </x:conditionalFormatting>
  <x:dataValidations count="1">
    <x:dataValidation type="list" sqref="T5:T193">
      <x:formula1>"Pending human review,Review in progress,Human reviewed,Needs adjudication"</x:formula1>
    </x:dataValidation>
  </x:dataValidations>
  <x:pageMargins left="0.7" right="0.7" top="0.75" bottom="0.75" header="0.3" footer="0.3"/>
  <x:tableParts count="1">
    <x:tablePart xmlns:r="http://schemas.openxmlformats.org/officeDocument/2006/relationships" r:id="R9a90244e5d77444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16" hidden="0" customWidth="1"/>
    <x:col min="3" max="3" width="22" hidden="0" customWidth="1"/>
    <x:col min="4" max="4" width="27" hidden="0" customWidth="1"/>
    <x:col min="5" max="5" width="18" hidden="0" customWidth="1"/>
    <x:col min="6" max="6" width="20" hidden="0" customWidth="1"/>
    <x:col min="7" max="7" width="24" hidden="0" customWidth="1"/>
    <x:col min="8" max="8" width="12" hidden="0" customWidth="1"/>
    <x:col min="9" max="9" width="12" hidden="0" customWidth="1"/>
    <x:col min="10" max="10" width="13" hidden="0" customWidth="1"/>
    <x:col min="11" max="11" width="12" hidden="0" customWidth="1"/>
    <x:col min="12" max="12" width="25" hidden="0" customWidth="1"/>
    <x:col min="13" max="13" width="70" hidden="0" customWidth="1"/>
    <x:col min="14" max="14" width="70" hidden="0" customWidth="1"/>
    <x:col min="15" max="15" width="68" hidden="0" customWidth="1"/>
    <x:col min="16" max="16" width="15" hidden="0" customWidth="1"/>
    <x:col min="17" max="17" width="15" hidden="0" customWidth="1"/>
    <x:col min="18" max="18" width="28" hidden="0" customWidth="1"/>
    <x:col min="19" max="19" width="36" hidden="0" customWidth="1"/>
    <x:col min="20" max="20" width="27" hidden="0" customWidth="1"/>
    <x:col min="21" max="21" width="52" hidden="0" customWidth="1"/>
    <x:col min="22" max="22" width="16" hidden="0" customWidth="1"/>
    <x:col min="23" max="23" width="14" hidden="0" customWidth="1"/>
    <x:col min="24" max="24" width="14" hidden="0" customWidth="1"/>
    <x:col min="25" max="25" width="14" hidden="0" customWidth="1"/>
    <x:col min="26" max="26" width="16" hidden="0" customWidth="1"/>
    <x:col min="27" max="27" width="18" hidden="0" customWidth="1"/>
    <x:col min="28" max="28" width="24" hidden="0" customWidth="1"/>
    <x:col min="29" max="29" width="24" hidden="0" customWidth="1"/>
    <x:col min="30" max="30" width="42" hidden="0" customWidth="1"/>
    <x:col min="31" max="31" width="24" hidden="0" customWidth="1"/>
  </x:cols>
  <x:sheetData>
    <x:row r="1" ht="31" customHeight="1">
      <x:c r="A1" s="44" t="str">
        <x:v>Source Anchors — Verbatim Text and Match Audit</x:v>
      </x:c>
      <x:c r="B1" s="44"/>
      <x:c r="C1" s="44"/>
      <x:c r="D1" s="44"/>
      <x:c r="E1" s="44"/>
      <x:c r="F1" s="44"/>
      <x:c r="G1" s="44"/>
      <x:c r="H1" s="44"/>
      <x:c r="I1" s="44"/>
      <x:c r="J1" s="44"/>
      <x:c r="K1" s="44"/>
      <x:c r="L1" s="44"/>
      <x:c r="M1" s="44"/>
      <x:c r="N1" s="44"/>
      <x:c r="O1" s="44"/>
      <x:c r="P1" s="44"/>
      <x:c r="Q1" s="44"/>
      <x:c r="R1" s="44"/>
      <x:c r="S1" s="44"/>
      <x:c r="T1" s="44"/>
      <x:c r="U1" s="44"/>
      <x:c r="V1" s="44"/>
      <x:c r="W1" s="44"/>
      <x:c r="X1" s="44"/>
      <x:c r="Y1" s="44"/>
      <x:c r="Z1" s="44"/>
      <x:c r="AA1" s="44"/>
      <x:c r="AB1" s="44"/>
      <x:c r="AC1" s="44"/>
      <x:c r="AD1" s="44"/>
      <x:c r="AE1" s="44"/>
    </x:row>
    <x:row r="2" ht="32" customHeight="1">
      <x:c r="A2" s="24" t="str">
        <x:v>Every quotation is assembled from PDF tokens. Use Anchor Rectangles for visual highlights and verify the document hash first.</x:v>
      </x:c>
      <x:c r="B2" s="24"/>
      <x:c r="C2" s="24"/>
      <x:c r="D2" s="24"/>
      <x:c r="E2" s="24"/>
      <x:c r="F2" s="24"/>
      <x:c r="G2" s="24"/>
      <x:c r="H2" s="24"/>
      <x:c r="I2" s="24"/>
      <x:c r="J2" s="24"/>
      <x:c r="K2" s="24"/>
      <x:c r="L2" s="24"/>
      <x:c r="M2" s="24"/>
      <x:c r="N2" s="24"/>
      <x:c r="O2" s="24"/>
      <x:c r="P2" s="24"/>
      <x:c r="Q2" s="24"/>
      <x:c r="R2" s="24"/>
      <x:c r="S2" s="24"/>
      <x:c r="T2" s="24"/>
      <x:c r="U2" s="24"/>
      <x:c r="V2" s="24"/>
      <x:c r="W2" s="24"/>
      <x:c r="X2" s="24"/>
      <x:c r="Y2" s="24"/>
      <x:c r="Z2" s="24"/>
      <x:c r="AA2" s="24"/>
      <x:c r="AB2" s="24"/>
      <x:c r="AC2" s="24"/>
      <x:c r="AD2" s="24"/>
      <x:c r="AE2" s="24"/>
    </x:row>
    <x:row r="3">
      <x:c r="A3" s="25"/>
      <x:c r="B3" s="25"/>
      <x:c r="C3" s="25"/>
      <x:c r="D3" s="25"/>
      <x:c r="E3" s="25"/>
      <x:c r="F3" s="25"/>
      <x:c r="G3" s="25"/>
      <x:c r="H3" s="25"/>
      <x:c r="I3" s="25"/>
      <x:c r="J3" s="25"/>
      <x:c r="K3" s="25"/>
      <x:c r="L3" s="25"/>
      <x:c r="M3" s="25"/>
      <x:c r="N3" s="25"/>
      <x:c r="O3" s="25"/>
      <x:c r="P3" s="25"/>
      <x:c r="Q3" s="25"/>
      <x:c r="R3" s="25"/>
      <x:c r="S3" s="25"/>
      <x:c r="T3" s="25"/>
      <x:c r="U3" s="25"/>
      <x:c r="V3" s="25"/>
      <x:c r="W3" s="25"/>
      <x:c r="X3" s="25"/>
      <x:c r="Y3" s="25"/>
      <x:c r="Z3" s="25"/>
      <x:c r="AA3" s="25"/>
      <x:c r="AB3" s="25"/>
      <x:c r="AC3" s="25"/>
      <x:c r="AD3" s="25"/>
      <x:c r="AE3" s="25"/>
    </x:row>
    <x:row r="4" ht="40" customHeight="1">
      <x:c r="A4" s="45" t="str">
        <x:v>anchor_id</x:v>
      </x:c>
      <x:c r="B4" s="45" t="str">
        <x:v>candidate_id</x:v>
      </x:c>
      <x:c r="C4" s="45" t="str">
        <x:v>document_id</x:v>
      </x:c>
      <x:c r="D4" s="45" t="str">
        <x:v>anchor_role</x:v>
      </x:c>
      <x:c r="E4" s="45" t="str">
        <x:v>anchor_type</x:v>
      </x:c>
      <x:c r="F4" s="45" t="str">
        <x:v>linked_candidate_id</x:v>
      </x:c>
      <x:c r="G4" s="45" t="str">
        <x:v>source_reference</x:v>
      </x:c>
      <x:c r="H4" s="45" t="str">
        <x:v>page_start</x:v>
      </x:c>
      <x:c r="I4" s="45" t="str">
        <x:v>page_end</x:v>
      </x:c>
      <x:c r="J4" s="45" t="str">
        <x:v>matched_page</x:v>
      </x:c>
      <x:c r="K4" s="45" t="str">
        <x:v>page_label</x:v>
      </x:c>
      <x:c r="L4" s="45" t="str">
        <x:v>section_or_table</x:v>
      </x:c>
      <x:c r="M4" s="45" t="str">
        <x:v>verbatim_source_text</x:v>
      </x:c>
      <x:c r="N4" s="45" t="str">
        <x:v>normalized_source_text</x:v>
      </x:c>
      <x:c r="O4" s="45" t="str">
        <x:v>quote_sha256</x:v>
      </x:c>
      <x:c r="P4" s="45" t="str">
        <x:v>page_char_start</x:v>
      </x:c>
      <x:c r="Q4" s="45" t="str">
        <x:v>page_char_end</x:v>
      </x:c>
      <x:c r="R4" s="45" t="str">
        <x:v>page_char_spans_json</x:v>
      </x:c>
      <x:c r="S4" s="45" t="str">
        <x:v>match_method</x:v>
      </x:c>
      <x:c r="T4" s="45" t="str">
        <x:v>match_query_source</x:v>
      </x:c>
      <x:c r="U4" s="45" t="str">
        <x:v>match_query</x:v>
      </x:c>
      <x:c r="V4" s="45" t="str">
        <x:v>match_score</x:v>
      </x:c>
      <x:c r="W4" s="45" t="str">
        <x:v>token_f1</x:v>
      </x:c>
      <x:c r="X4" s="45" t="str">
        <x:v>token_precision</x:v>
      </x:c>
      <x:c r="Y4" s="45" t="str">
        <x:v>token_recall</x:v>
      </x:c>
      <x:c r="Z4" s="45" t="str">
        <x:v>sequence_similarity</x:v>
      </x:c>
      <x:c r="AA4" s="45" t="str">
        <x:v>anchor_confidence</x:v>
      </x:c>
      <x:c r="AB4" s="45" t="str">
        <x:v>automated_validation_status</x:v>
      </x:c>
      <x:c r="AC4" s="45" t="str">
        <x:v>human_review_status</x:v>
      </x:c>
      <x:c r="AD4" s="45" t="str">
        <x:v>reviewer_comment</x:v>
      </x:c>
      <x:c r="AE4" s="45" t="str">
        <x:v>created_at_utc</x:v>
      </x:c>
    </x:row>
    <x:row r="5" ht="60" customHeight="1">
      <x:c r="A5" s="27" t="str">
        <x:v>ANC-CAM-001-01</x:v>
      </x:c>
      <x:c r="B5" s="27" t="str">
        <x:v>CAM-001</x:v>
      </x:c>
      <x:c r="C5" s="27" t="str">
        <x:v>DOC-CAM-WC-2026</x:v>
      </x:c>
      <x:c r="D5" s="27" t="str">
        <x:v>Primary Evidence</x:v>
      </x:c>
      <x:c r="E5" s="27" t="str">
        <x:v>Table Cell/Row</x:v>
      </x:c>
      <x:c r="F5" s="27" t="str"/>
      <x:c r="G5" s="27" t="str">
        <x:v>PDF p. 6, Table 2</x:v>
      </x:c>
      <x:c r="H5" s="27" t="n">
        <x:v>6</x:v>
      </x:c>
      <x:c r="I5" s="27" t="n">
        <x:v>6</x:v>
      </x:c>
      <x:c r="J5" s="27" t="n">
        <x:v>6</x:v>
      </x:c>
      <x:c r="K5" s="27" t="str">
        <x:v>6</x:v>
      </x:c>
      <x:c r="L5" s="27" t="str">
        <x:v>Priority reform table</x:v>
      </x:c>
      <x:c r="M5" s="27" t="str">
        <x:v>1. Update National Policy on Water Supply and Sanitation to</x:v>
      </x:c>
      <x:c r="N5" s="27" t="str">
        <x:v>1 update national policy on water supply and sanitation to</x:v>
      </x:c>
      <x:c r="O5" s="27" t="str">
        <x:v>bb44685a76a64d1e8f63228902e49f65e41a507bab420c91b6af8cae1a951b55</x:v>
      </x:c>
      <x:c r="P5" s="27" t="n">
        <x:v>109</x:v>
      </x:c>
      <x:c r="Q5" s="27" t="n">
        <x:v>168</x:v>
      </x:c>
      <x:c r="R5" s="27" t="str">
        <x:v>[[109,168]]</x:v>
      </x:c>
      <x:c r="S5" s="27" t="str">
        <x:v>Fuzzy spatial line-cluster match</x:v>
      </x:c>
      <x:c r="T5" s="27" t="str">
        <x:v>Standardized Candidate</x:v>
      </x:c>
      <x:c r="U5" s="27" t="str">
        <x:v>Update the National Policy on Water Supply and Sanitation</x:v>
      </x:c>
      <x:c r="V5" s="27" t="n">
        <x:v>0.940578</x:v>
      </x:c>
      <x:c r="W5" s="27" t="n">
        <x:v>0.951881</x:v>
      </x:c>
      <x:c r="X5" s="27" t="n">
        <x:v>0.90818</x:v>
      </x:c>
      <x:c r="Y5" s="27" t="n">
        <x:v>1</x:v>
      </x:c>
      <x:c r="Z5" s="27" t="n">
        <x:v>0.921739</x:v>
      </x:c>
      <x:c r="AA5" s="27" t="str">
        <x:v>High</x:v>
      </x:c>
      <x:c r="AB5" s="27" t="str">
        <x:v>Pass</x:v>
      </x:c>
      <x:c r="AC5" s="27" t="str">
        <x:v>Pending human review</x:v>
      </x:c>
      <x:c r="AD5" s="27" t="str"/>
      <x:c r="AE5" s="27" t="n">
        <x:v>46238.87231481481</x:v>
      </x:c>
    </x:row>
    <x:row r="6" ht="60" customHeight="1">
      <x:c r="A6" s="28" t="str">
        <x:v>ANC-CAM-002-01</x:v>
      </x:c>
      <x:c r="B6" s="28" t="str">
        <x:v>CAM-002</x:v>
      </x:c>
      <x:c r="C6" s="28" t="str">
        <x:v>DOC-CAM-WC-2026</x:v>
      </x:c>
      <x:c r="D6" s="28" t="str">
        <x:v>Primary Evidence</x:v>
      </x:c>
      <x:c r="E6" s="28" t="str">
        <x:v>Table Cell/Row</x:v>
      </x:c>
      <x:c r="F6" s="28" t="str"/>
      <x:c r="G6" s="28" t="str">
        <x:v>PDF p. 6, Table 2</x:v>
      </x:c>
      <x:c r="H6" s="28" t="n">
        <x:v>6</x:v>
      </x:c>
      <x:c r="I6" s="28" t="n">
        <x:v>6</x:v>
      </x:c>
      <x:c r="J6" s="28" t="n">
        <x:v>6</x:v>
      </x:c>
      <x:c r="K6" s="28" t="str">
        <x:v>6</x:v>
      </x:c>
      <x:c r="L6" s="28" t="str">
        <x:v>Priority reform table</x:v>
      </x:c>
      <x:c r="M6" s="28" t="str">
        <x:v>2. Develop a New Water Supply Law that clearly delineates</x:v>
      </x:c>
      <x:c r="N6" s="28" t="str">
        <x:v>2 develop a new water supply law that clearly delineate</x:v>
      </x:c>
      <x:c r="O6" s="28" t="str">
        <x:v>22dfe9f288a19e7c6951c26a8a4b60c82572aeb01e5ee8634511a6a9c0fab698</x:v>
      </x:c>
      <x:c r="P6" s="28" t="n">
        <x:v>232</x:v>
      </x:c>
      <x:c r="Q6" s="28" t="n">
        <x:v>289</x:v>
      </x:c>
      <x:c r="R6" s="28" t="str">
        <x:v>[[232,289]]</x:v>
      </x:c>
      <x:c r="S6" s="28" t="str">
        <x:v>Fuzzy spatial line-cluster match</x:v>
      </x:c>
      <x:c r="T6" s="28" t="str">
        <x:v>Original Compact Text</x:v>
      </x:c>
      <x:c r="U6" s="28" t="str">
        <x:v>Develop new Water Supply Law</x:v>
      </x:c>
      <x:c r="V6" s="28" t="n">
        <x:v>0.793296</x:v>
      </x:c>
      <x:c r="W6" s="28" t="n">
        <x:v>0.730832</x:v>
      </x:c>
      <x:c r="X6" s="28" t="n">
        <x:v>0.575835</x:v>
      </x:c>
      <x:c r="Y6" s="28" t="n">
        <x:v>1</x:v>
      </x:c>
      <x:c r="Z6" s="28" t="n">
        <x:v>0.674699</x:v>
      </x:c>
      <x:c r="AA6" s="28" t="str">
        <x:v>High</x:v>
      </x:c>
      <x:c r="AB6" s="28" t="str">
        <x:v>Pass</x:v>
      </x:c>
      <x:c r="AC6" s="28" t="str">
        <x:v>Pending human review</x:v>
      </x:c>
      <x:c r="AD6" s="28" t="str"/>
      <x:c r="AE6" s="28" t="n">
        <x:v>46238.87231481481</x:v>
      </x:c>
    </x:row>
    <x:row r="7" ht="60" customHeight="1">
      <x:c r="A7" s="28" t="str">
        <x:v>ANC-CAM-003-01</x:v>
      </x:c>
      <x:c r="B7" s="28" t="str">
        <x:v>CAM-003</x:v>
      </x:c>
      <x:c r="C7" s="28" t="str">
        <x:v>DOC-CAM-WC-2026</x:v>
      </x:c>
      <x:c r="D7" s="28" t="str">
        <x:v>Primary Evidence</x:v>
      </x:c>
      <x:c r="E7" s="28" t="str">
        <x:v>Table Cell/Row</x:v>
      </x:c>
      <x:c r="F7" s="28" t="str"/>
      <x:c r="G7" s="28" t="str">
        <x:v>PDF p. 6, Table 2</x:v>
      </x:c>
      <x:c r="H7" s="28" t="n">
        <x:v>6</x:v>
      </x:c>
      <x:c r="I7" s="28" t="n">
        <x:v>6</x:v>
      </x:c>
      <x:c r="J7" s="28" t="n">
        <x:v>6</x:v>
      </x:c>
      <x:c r="K7" s="28" t="str">
        <x:v>6</x:v>
      </x:c>
      <x:c r="L7" s="28" t="str">
        <x:v>Priority reform table</x:v>
      </x:c>
      <x:c r="M7" s="28" t="str">
        <x:v>3. Establish an autonomous water supply regulator</x:v>
      </x:c>
      <x:c r="N7" s="28" t="str">
        <x:v>3 establish an autonomou water supply regulator</x:v>
      </x:c>
      <x:c r="O7" s="28" t="str">
        <x:v>b1d31810935db1869ac2195b873e23e0137b78c4aa8e9d3bcf4294b249ec12bb</x:v>
      </x:c>
      <x:c r="P7" s="28" t="n">
        <x:v>359</x:v>
      </x:c>
      <x:c r="Q7" s="28" t="n">
        <x:v>408</x:v>
      </x:c>
      <x:c r="R7" s="28" t="str">
        <x:v>[[359,408]]</x:v>
      </x:c>
      <x:c r="S7" s="28" t="str">
        <x:v>Fuzzy spatial line-cluster match</x:v>
      </x:c>
      <x:c r="T7" s="28" t="str">
        <x:v>Original Compact Text</x:v>
      </x:c>
      <x:c r="U7" s="28" t="str">
        <x:v>Establish autonomous water supply regulator</x:v>
      </x:c>
      <x:c r="V7" s="28" t="n">
        <x:v>0.976221</x:v>
      </x:c>
      <x:c r="W7" s="28" t="n">
        <x:v>0.941676</x:v>
      </x:c>
      <x:c r="X7" s="28" t="n">
        <x:v>0.88978</x:v>
      </x:c>
      <x:c r="Y7" s="28" t="n">
        <x:v>1</x:v>
      </x:c>
      <x:c r="Z7" s="28" t="n">
        <x:v>0.94382</x:v>
      </x:c>
      <x:c r="AA7" s="28" t="str">
        <x:v>High</x:v>
      </x:c>
      <x:c r="AB7" s="28" t="str">
        <x:v>Pass</x:v>
      </x:c>
      <x:c r="AC7" s="28" t="str">
        <x:v>Pending human review</x:v>
      </x:c>
      <x:c r="AD7" s="28" t="str"/>
      <x:c r="AE7" s="28" t="n">
        <x:v>46238.87231481481</x:v>
      </x:c>
    </x:row>
    <x:row r="8" ht="60" customHeight="1">
      <x:c r="A8" s="28" t="str">
        <x:v>ANC-CAM-004-01</x:v>
      </x:c>
      <x:c r="B8" s="28" t="str">
        <x:v>CAM-004</x:v>
      </x:c>
      <x:c r="C8" s="28" t="str">
        <x:v>DOC-CAM-WC-2026</x:v>
      </x:c>
      <x:c r="D8" s="28" t="str">
        <x:v>Primary Evidence</x:v>
      </x:c>
      <x:c r="E8" s="28" t="str">
        <x:v>Table Cell/Row</x:v>
      </x:c>
      <x:c r="F8" s="28" t="str"/>
      <x:c r="G8" s="28" t="str">
        <x:v>PDF pp. 6–7, Table 2</x:v>
      </x:c>
      <x:c r="H8" s="28" t="n">
        <x:v>6</x:v>
      </x:c>
      <x:c r="I8" s="28" t="n">
        <x:v>7</x:v>
      </x:c>
      <x:c r="J8" s="28" t="n">
        <x:v>6</x:v>
      </x:c>
      <x:c r="K8" s="28" t="str">
        <x:v>6</x:v>
      </x:c>
      <x:c r="L8" s="28" t="str">
        <x:v>Priority reform table</x:v>
      </x:c>
      <x:c r="M8" s="28" t="str">
        <x:v>4. Develop Sub-Decree on Water Allocation and Licensing</x:v>
      </x:c>
      <x:c r="N8" s="28" t="str">
        <x:v>4 develop subdecree on water allocation and licens</x:v>
      </x:c>
      <x:c r="O8" s="28" t="str">
        <x:v>67f242846298a6dd451b1010c2c78b6a4ceed2d071f31ac4028a4f6816859eca</x:v>
      </x:c>
      <x:c r="P8" s="28" t="n">
        <x:v>489</x:v>
      </x:c>
      <x:c r="Q8" s="28" t="n">
        <x:v>544</x:v>
      </x:c>
      <x:c r="R8" s="28" t="str">
        <x:v>[[489,544]]</x:v>
      </x:c>
      <x:c r="S8" s="28" t="str">
        <x:v>Fuzzy spatial line-cluster match</x:v>
      </x:c>
      <x:c r="T8" s="28" t="str">
        <x:v>Original Compact Text</x:v>
      </x:c>
      <x:c r="U8" s="28" t="str">
        <x:v>Sub-decree on allocation and licensing</x:v>
      </x:c>
      <x:c r="V8" s="28" t="n">
        <x:v>0.950194</x:v>
      </x:c>
      <x:c r="W8" s="28" t="n">
        <x:v>0.943123</x:v>
      </x:c>
      <x:c r="X8" s="28" t="n">
        <x:v>0.892368</x:v>
      </x:c>
      <x:c r="Y8" s="28" t="n">
        <x:v>1</x:v>
      </x:c>
      <x:c r="Z8" s="28" t="n">
        <x:v>0.809524</x:v>
      </x:c>
      <x:c r="AA8" s="28" t="str">
        <x:v>High</x:v>
      </x:c>
      <x:c r="AB8" s="28" t="str">
        <x:v>Pass</x:v>
      </x:c>
      <x:c r="AC8" s="28" t="str">
        <x:v>Pending human review</x:v>
      </x:c>
      <x:c r="AD8" s="28" t="str"/>
      <x:c r="AE8" s="28" t="n">
        <x:v>46238.87231481481</x:v>
      </x:c>
    </x:row>
    <x:row r="9" ht="60" customHeight="1">
      <x:c r="A9" s="28" t="str">
        <x:v>ANC-CAM-005-01</x:v>
      </x:c>
      <x:c r="B9" s="28" t="str">
        <x:v>CAM-005</x:v>
      </x:c>
      <x:c r="C9" s="28" t="str">
        <x:v>DOC-CAM-WC-2026</x:v>
      </x:c>
      <x:c r="D9" s="28" t="str">
        <x:v>Primary Evidence</x:v>
      </x:c>
      <x:c r="E9" s="28" t="str">
        <x:v>Table Cell/Row</x:v>
      </x:c>
      <x:c r="F9" s="28" t="str"/>
      <x:c r="G9" s="28" t="str">
        <x:v>PDF p. 6, Table 2</x:v>
      </x:c>
      <x:c r="H9" s="28" t="n">
        <x:v>6</x:v>
      </x:c>
      <x:c r="I9" s="28" t="n">
        <x:v>6</x:v>
      </x:c>
      <x:c r="J9" s="28" t="n">
        <x:v>6</x:v>
      </x:c>
      <x:c r="K9" s="28" t="str">
        <x:v>6</x:v>
      </x:c>
      <x:c r="L9" s="28" t="str">
        <x:v>Priority reform table</x:v>
      </x:c>
      <x:c r="M9" s="28" t="str">
        <x:v>operations through a sub-decree on conditions and procedures for granting clean water supply business licenses</x:v>
      </x:c>
      <x:c r="N9" s="28" t="str">
        <x:v>operation through a subdecree on condition and procedure for grant clean water supply business license</x:v>
      </x:c>
      <x:c r="O9" s="28" t="str">
        <x:v>c483b700d14bea4c8f4be87ebe15e8cb4141924c5f15e6a6d7fce4129a7475d5</x:v>
      </x:c>
      <x:c r="P9" s="28" t="str"/>
      <x:c r="Q9" s="28" t="str"/>
      <x:c r="R9" s="28" t="str">
        <x:v>[[795,844],[868,928]]</x:v>
      </x:c>
      <x:c r="S9" s="28" t="str">
        <x:v>Exact spatial line-cluster phrase</x:v>
      </x:c>
      <x:c r="T9" s="28" t="str">
        <x:v>Verified PDF locator hint</x:v>
      </x:c>
      <x:c r="U9" s="28" t="str">
        <x:v>conditions and procedures for granting clean water supply business licenses</x:v>
      </x:c>
      <x:c r="V9" s="28" t="n">
        <x:v>0.999</x:v>
      </x:c>
      <x:c r="W9" s="28" t="n">
        <x:v>0.945382</x:v>
      </x:c>
      <x:c r="X9" s="28" t="n">
        <x:v>0.896422</x:v>
      </x:c>
      <x:c r="Y9" s="28" t="n">
        <x:v>1</x:v>
      </x:c>
      <x:c r="Z9" s="28" t="n">
        <x:v>0.807018</x:v>
      </x:c>
      <x:c r="AA9" s="28" t="str">
        <x:v>High</x:v>
      </x:c>
      <x:c r="AB9" s="28" t="str">
        <x:v>Pass</x:v>
      </x:c>
      <x:c r="AC9" s="28" t="str">
        <x:v>Pending human review</x:v>
      </x:c>
      <x:c r="AD9" s="28" t="str"/>
      <x:c r="AE9" s="28" t="n">
        <x:v>46238.87231481481</x:v>
      </x:c>
    </x:row>
    <x:row r="10" ht="60" customHeight="1">
      <x:c r="A10" s="28" t="str">
        <x:v>ANC-CAM-006-01</x:v>
      </x:c>
      <x:c r="B10" s="28" t="str">
        <x:v>CAM-006</x:v>
      </x:c>
      <x:c r="C10" s="28" t="str">
        <x:v>DOC-CAM-WC-2026</x:v>
      </x:c>
      <x:c r="D10" s="28" t="str">
        <x:v>Primary Evidence</x:v>
      </x:c>
      <x:c r="E10" s="28" t="str">
        <x:v>Table Cell/Row</x:v>
      </x:c>
      <x:c r="F10" s="28" t="str"/>
      <x:c r="G10" s="28" t="str">
        <x:v>PDF p. 6, Table 2</x:v>
      </x:c>
      <x:c r="H10" s="28" t="n">
        <x:v>6</x:v>
      </x:c>
      <x:c r="I10" s="28" t="n">
        <x:v>6</x:v>
      </x:c>
      <x:c r="J10" s="28" t="n">
        <x:v>6</x:v>
      </x:c>
      <x:c r="K10" s="28" t="str">
        <x:v>6</x:v>
      </x:c>
      <x:c r="L10" s="28" t="str">
        <x:v>Priority reform table</x:v>
      </x:c>
      <x:c r="M10" s="28" t="str">
        <x:v>6. Develop regulation on clean water tariff determination</x:v>
      </x:c>
      <x:c r="N10" s="28" t="str">
        <x:v>6 develop regulation on clean water tariff determination</x:v>
      </x:c>
      <x:c r="O10" s="28" t="str">
        <x:v>66fe8dd116fd5a516c281f24eb466a48d7ba63d70d68520f487955b00d4e8b09</x:v>
      </x:c>
      <x:c r="P10" s="28" t="n">
        <x:v>948</x:v>
      </x:c>
      <x:c r="Q10" s="28" t="n">
        <x:v>1005</x:v>
      </x:c>
      <x:c r="R10" s="28" t="str">
        <x:v>[[948,1005]]</x:v>
      </x:c>
      <x:c r="S10" s="28" t="str">
        <x:v>Fuzzy spatial line-cluster match</x:v>
      </x:c>
      <x:c r="T10" s="28" t="str">
        <x:v>Original Compact Text</x:v>
      </x:c>
      <x:c r="U10" s="28" t="str">
        <x:v>Clean-water tariff determination regulation</x:v>
      </x:c>
      <x:c r="V10" s="28" t="n">
        <x:v>0.736023</x:v>
      </x:c>
      <x:c r="W10" s="28" t="n">
        <x:v>0.781395</x:v>
      </x:c>
      <x:c r="X10" s="28" t="n">
        <x:v>0.820847</x:v>
      </x:c>
      <x:c r="Y10" s="28" t="n">
        <x:v>0.745562</x:v>
      </x:c>
      <x:c r="Z10" s="28" t="n">
        <x:v>0.632653</x:v>
      </x:c>
      <x:c r="AA10" s="28" t="str">
        <x:v>Medium</x:v>
      </x:c>
      <x:c r="AB10" s="28" t="str">
        <x:v>Pass</x:v>
      </x:c>
      <x:c r="AC10" s="28" t="str">
        <x:v>Pending human review</x:v>
      </x:c>
      <x:c r="AD10" s="28" t="str"/>
      <x:c r="AE10" s="28" t="n">
        <x:v>46238.87231481481</x:v>
      </x:c>
    </x:row>
    <x:row r="11" ht="60" customHeight="1">
      <x:c r="A11" s="28" t="str">
        <x:v>ANC-CAM-007-01</x:v>
      </x:c>
      <x:c r="B11" s="28" t="str">
        <x:v>CAM-007</x:v>
      </x:c>
      <x:c r="C11" s="28" t="str">
        <x:v>DOC-CAM-WC-2026</x:v>
      </x:c>
      <x:c r="D11" s="28" t="str">
        <x:v>Primary Evidence</x:v>
      </x:c>
      <x:c r="E11" s="28" t="str">
        <x:v>Table Cell/Row</x:v>
      </x:c>
      <x:c r="F11" s="28" t="str"/>
      <x:c r="G11" s="28" t="str">
        <x:v>PDF p. 6, Table 2</x:v>
      </x:c>
      <x:c r="H11" s="28" t="n">
        <x:v>6</x:v>
      </x:c>
      <x:c r="I11" s="28" t="n">
        <x:v>6</x:v>
      </x:c>
      <x:c r="J11" s="28" t="n">
        <x:v>6</x:v>
      </x:c>
      <x:c r="K11" s="28" t="str">
        <x:v>6</x:v>
      </x:c>
      <x:c r="L11" s="28" t="str">
        <x:v>Priority reform table</x:v>
      </x:c>
      <x:c r="M11" s="28" t="str">
        <x:v>7. Establish a Clean Water Development Fund through a</x:v>
      </x:c>
      <x:c r="N11" s="28" t="str">
        <x:v>7 establish a clean water development fund through a</x:v>
      </x:c>
      <x:c r="O11" s="28" t="str">
        <x:v>a36eb4a5394837bf554c1cf2307287634a7f6b47f0e4d27b8bd38fb89883feae</x:v>
      </x:c>
      <x:c r="P11" s="28" t="n">
        <x:v>1093</x:v>
      </x:c>
      <x:c r="Q11" s="28" t="n">
        <x:v>1146</x:v>
      </x:c>
      <x:c r="R11" s="28" t="str">
        <x:v>[[1093,1146]]</x:v>
      </x:c>
      <x:c r="S11" s="28" t="str">
        <x:v>Fuzzy spatial line-cluster match</x:v>
      </x:c>
      <x:c r="T11" s="28" t="str">
        <x:v>Original Compact Text</x:v>
      </x:c>
      <x:c r="U11" s="28" t="str">
        <x:v>Establish Clean Water Development Fund</x:v>
      </x:c>
      <x:c r="V11" s="28" t="n">
        <x:v>0.944649</x:v>
      </x:c>
      <x:c r="W11" s="28" t="n">
        <x:v>0.935065</x:v>
      </x:c>
      <x:c r="X11" s="28" t="n">
        <x:v>0.878049</x:v>
      </x:c>
      <x:c r="Y11" s="28" t="n">
        <x:v>1</x:v>
      </x:c>
      <x:c r="Z11" s="28" t="n">
        <x:v>0.844444</x:v>
      </x:c>
      <x:c r="AA11" s="28" t="str">
        <x:v>High</x:v>
      </x:c>
      <x:c r="AB11" s="28" t="str">
        <x:v>Pass</x:v>
      </x:c>
      <x:c r="AC11" s="28" t="str">
        <x:v>Pending human review</x:v>
      </x:c>
      <x:c r="AD11" s="28" t="str"/>
      <x:c r="AE11" s="28" t="n">
        <x:v>46238.87231481481</x:v>
      </x:c>
    </x:row>
    <x:row r="12" ht="60" customHeight="1">
      <x:c r="A12" s="28" t="str">
        <x:v>ANC-CAM-008-01</x:v>
      </x:c>
      <x:c r="B12" s="28" t="str">
        <x:v>CAM-008</x:v>
      </x:c>
      <x:c r="C12" s="28" t="str">
        <x:v>DOC-CAM-WC-2026</x:v>
      </x:c>
      <x:c r="D12" s="28" t="str">
        <x:v>Primary Evidence</x:v>
      </x:c>
      <x:c r="E12" s="28" t="str">
        <x:v>Table Cell/Row</x:v>
      </x:c>
      <x:c r="F12" s="28" t="str"/>
      <x:c r="G12" s="28" t="str">
        <x:v>PDF p. 6, Table 2</x:v>
      </x:c>
      <x:c r="H12" s="28" t="n">
        <x:v>6</x:v>
      </x:c>
      <x:c r="I12" s="28" t="n">
        <x:v>6</x:v>
      </x:c>
      <x:c r="J12" s="28" t="n">
        <x:v>6</x:v>
      </x:c>
      <x:c r="K12" s="28" t="str">
        <x:v>6</x:v>
      </x:c>
      <x:c r="L12" s="28" t="str">
        <x:v>Priority reform table</x:v>
      </x:c>
      <x:c r="M12" s="28" t="str">
        <x:v>8. Establish Cambodia National Water Utility to consolidate</x:v>
      </x:c>
      <x:c r="N12" s="28" t="str">
        <x:v>8 establish cambodia national water utility to consolidate</x:v>
      </x:c>
      <x:c r="O12" s="28" t="str">
        <x:v>61cfd2c4ecb92dce6872be1044ea634edc1b065620b7877bbb8f7ca803ba25d3</x:v>
      </x:c>
      <x:c r="P12" s="28" t="n">
        <x:v>1213</x:v>
      </x:c>
      <x:c r="Q12" s="28" t="n">
        <x:v>1272</x:v>
      </x:c>
      <x:c r="R12" s="28" t="str">
        <x:v>[[1213,1272]]</x:v>
      </x:c>
      <x:c r="S12" s="28" t="str">
        <x:v>Exact spatial line-cluster phrase</x:v>
      </x:c>
      <x:c r="T12" s="28" t="str">
        <x:v>Original Compact Text</x:v>
      </x:c>
      <x:c r="U12" s="28" t="str">
        <x:v>Establish Cambodia National Water Utility</x:v>
      </x:c>
      <x:c r="V12" s="28" t="n">
        <x:v>0.999</x:v>
      </x:c>
      <x:c r="W12" s="28" t="n">
        <x:v>0.837758</x:v>
      </x:c>
      <x:c r="X12" s="28" t="n">
        <x:v>0.720812</x:v>
      </x:c>
      <x:c r="Y12" s="28" t="n">
        <x:v>1</x:v>
      </x:c>
      <x:c r="Z12" s="28" t="n">
        <x:v>0.828283</x:v>
      </x:c>
      <x:c r="AA12" s="28" t="str">
        <x:v>High</x:v>
      </x:c>
      <x:c r="AB12" s="28" t="str">
        <x:v>Pass</x:v>
      </x:c>
      <x:c r="AC12" s="28" t="str">
        <x:v>Pending human review</x:v>
      </x:c>
      <x:c r="AD12" s="28" t="str"/>
      <x:c r="AE12" s="28" t="n">
        <x:v>46238.87231481481</x:v>
      </x:c>
    </x:row>
    <x:row r="13" ht="60" customHeight="1">
      <x:c r="A13" s="28" t="str">
        <x:v>ANC-CAM-009-01</x:v>
      </x:c>
      <x:c r="B13" s="28" t="str">
        <x:v>CAM-009</x:v>
      </x:c>
      <x:c r="C13" s="28" t="str">
        <x:v>DOC-CAM-WC-2026</x:v>
      </x:c>
      <x:c r="D13" s="28" t="str">
        <x:v>Primary Evidence</x:v>
      </x:c>
      <x:c r="E13" s="28" t="str">
        <x:v>Table Cell/Row</x:v>
      </x:c>
      <x:c r="F13" s="28" t="str"/>
      <x:c r="G13" s="28" t="str">
        <x:v>PDF p. 6, Table 2</x:v>
      </x:c>
      <x:c r="H13" s="28" t="n">
        <x:v>6</x:v>
      </x:c>
      <x:c r="I13" s="28" t="n">
        <x:v>6</x:v>
      </x:c>
      <x:c r="J13" s="28" t="n">
        <x:v>6</x:v>
      </x:c>
      <x:c r="K13" s="28" t="str">
        <x:v>6</x:v>
      </x:c>
      <x:c r="L13" s="28" t="str">
        <x:v>Priority reform table</x:v>
      </x:c>
      <x:c r="M13" s="28" t="str">
        <x:v>9. Develop and Implement National Strategic Plan for Rural</x:v>
      </x:c>
      <x:c r="N13" s="28" t="str">
        <x:v>9 develop and implement national strategic plan for rural</x:v>
      </x:c>
      <x:c r="O13" s="28" t="str">
        <x:v>a2295f16ee22e9e82a6008aec6e662c481c1cd1f8857e088528dc248aa0cef17</x:v>
      </x:c>
      <x:c r="P13" s="28" t="n">
        <x:v>1321</x:v>
      </x:c>
      <x:c r="Q13" s="28" t="n">
        <x:v>1379</x:v>
      </x:c>
      <x:c r="R13" s="28" t="str">
        <x:v>[[1321,1379]]</x:v>
      </x:c>
      <x:c r="S13" s="28" t="str">
        <x:v>Fuzzy spatial line-cluster match</x:v>
      </x:c>
      <x:c r="T13" s="28" t="str">
        <x:v>Original Compact Text</x:v>
      </x:c>
      <x:c r="U13" s="28" t="str">
        <x:v>National rural WSSH strategic plan</x:v>
      </x:c>
      <x:c r="V13" s="28" t="n">
        <x:v>0.757259</x:v>
      </x:c>
      <x:c r="W13" s="28" t="n">
        <x:v>0.827586</x:v>
      </x:c>
      <x:c r="X13" s="28" t="n">
        <x:v>0.871194</x:v>
      </x:c>
      <x:c r="Y13" s="28" t="n">
        <x:v>0.788136</x:v>
      </x:c>
      <x:c r="Z13" s="28" t="n">
        <x:v>0.505495</x:v>
      </x:c>
      <x:c r="AA13" s="28" t="str">
        <x:v>Medium</x:v>
      </x:c>
      <x:c r="AB13" s="28" t="str">
        <x:v>Pass</x:v>
      </x:c>
      <x:c r="AC13" s="28" t="str">
        <x:v>Pending human review</x:v>
      </x:c>
      <x:c r="AD13" s="28" t="str"/>
      <x:c r="AE13" s="28" t="n">
        <x:v>46238.87231481481</x:v>
      </x:c>
    </x:row>
    <x:row r="14" ht="60" customHeight="1">
      <x:c r="A14" s="28" t="str">
        <x:v>ANC-CAM-010-01</x:v>
      </x:c>
      <x:c r="B14" s="28" t="str">
        <x:v>CAM-010</x:v>
      </x:c>
      <x:c r="C14" s="28" t="str">
        <x:v>DOC-CAM-WC-2026</x:v>
      </x:c>
      <x:c r="D14" s="28" t="str">
        <x:v>Primary Evidence</x:v>
      </x:c>
      <x:c r="E14" s="28" t="str">
        <x:v>Table Cell/Row</x:v>
      </x:c>
      <x:c r="F14" s="28" t="str"/>
      <x:c r="G14" s="28" t="str">
        <x:v>PDF p. 6, Table 2</x:v>
      </x:c>
      <x:c r="H14" s="28" t="n">
        <x:v>6</x:v>
      </x:c>
      <x:c r="I14" s="28" t="n">
        <x:v>6</x:v>
      </x:c>
      <x:c r="J14" s="28" t="n">
        <x:v>6</x:v>
      </x:c>
      <x:c r="K14" s="28" t="str">
        <x:v>6</x:v>
      </x:c>
      <x:c r="L14" s="28" t="str">
        <x:v>Priority reform table</x:v>
      </x:c>
      <x:c r="M14" s="28" t="str">
        <x:v>1. Improve wastewater fee collection through combined billing with water supply services via sub-decree procedure for the collection of wastewater fees (2026).</x:v>
      </x:c>
      <x:c r="N14" s="28" t="str">
        <x:v>1 improve wastewater fee collection through combin bill with water supply service via subdecree procedure for the collection of wastewater fees 2026</x:v>
      </x:c>
      <x:c r="O14" s="28" t="str">
        <x:v>49555ae418253845e9b81ca0d8d19f325727b4eff4b030eecdcda661207a5e6b</x:v>
      </x:c>
      <x:c r="P14" s="28" t="str"/>
      <x:c r="Q14" s="28" t="str"/>
      <x:c r="R14" s="28" t="str">
        <x:v>[[1430,1483],[1484,1547],[1548,1589]]</x:v>
      </x:c>
      <x:c r="S14" s="28" t="str">
        <x:v>Exact spatial line-cluster phrase</x:v>
      </x:c>
      <x:c r="T14" s="28" t="str">
        <x:v>Verified PDF locator hint</x:v>
      </x:c>
      <x:c r="U14" s="28" t="str">
        <x:v>Improve wastewater fee collection through combined billing with water supply services via sub-decree procedure for the collection of wastewater fees</x:v>
      </x:c>
      <x:c r="V14" s="28" t="n">
        <x:v>0.999</x:v>
      </x:c>
      <x:c r="W14" s="28" t="n">
        <x:v>0.968517</x:v>
      </x:c>
      <x:c r="X14" s="28" t="n">
        <x:v>0.938957</x:v>
      </x:c>
      <x:c r="Y14" s="28" t="n">
        <x:v>1</x:v>
      </x:c>
      <x:c r="Z14" s="28" t="n">
        <x:v>0.975779</x:v>
      </x:c>
      <x:c r="AA14" s="28" t="str">
        <x:v>High</x:v>
      </x:c>
      <x:c r="AB14" s="28" t="str">
        <x:v>Pass</x:v>
      </x:c>
      <x:c r="AC14" s="28" t="str">
        <x:v>Pending human review</x:v>
      </x:c>
      <x:c r="AD14" s="28" t="str"/>
      <x:c r="AE14" s="28" t="n">
        <x:v>46238.87231481481</x:v>
      </x:c>
    </x:row>
    <x:row r="15" ht="60" customHeight="1">
      <x:c r="A15" s="28" t="str">
        <x:v>ANC-CAM-011-01</x:v>
      </x:c>
      <x:c r="B15" s="28" t="str">
        <x:v>CAM-011</x:v>
      </x:c>
      <x:c r="C15" s="28" t="str">
        <x:v>DOC-CAM-WC-2026</x:v>
      </x:c>
      <x:c r="D15" s="28" t="str">
        <x:v>Primary Evidence</x:v>
      </x:c>
      <x:c r="E15" s="28" t="str">
        <x:v>Table Cell/Row</x:v>
      </x:c>
      <x:c r="F15" s="28" t="str"/>
      <x:c r="G15" s="28" t="str">
        <x:v>PDF p. 6, Table 2</x:v>
      </x:c>
      <x:c r="H15" s="28" t="n">
        <x:v>6</x:v>
      </x:c>
      <x:c r="I15" s="28" t="n">
        <x:v>6</x:v>
      </x:c>
      <x:c r="J15" s="28" t="n">
        <x:v>6</x:v>
      </x:c>
      <x:c r="K15" s="28" t="str">
        <x:v>6</x:v>
      </x:c>
      <x:c r="L15" s="28" t="str">
        <x:v>Priority reform table</x:v>
      </x:c>
      <x:c r="M15" s="28" t="str">
        <x:v>2. Interministerial decree on wastewater tariff determination based on cost-recovery principles (2027).</x:v>
      </x:c>
      <x:c r="N15" s="28" t="str">
        <x:v>2 interministerial decree on wastewater tariff determination bas on costrecovery principle 2027</x:v>
      </x:c>
      <x:c r="O15" s="28" t="str">
        <x:v>2c467697435fcf98b9d24907f7956ef0d08c68e8a4fdcdcb9eda63359c99e4ff</x:v>
      </x:c>
      <x:c r="P15" s="28" t="str"/>
      <x:c r="Q15" s="28" t="str"/>
      <x:c r="R15" s="28" t="str">
        <x:v>[[1590,1637],[1638,1693]]</x:v>
      </x:c>
      <x:c r="S15" s="28" t="str">
        <x:v>Fuzzy spatial line-cluster match</x:v>
      </x:c>
      <x:c r="T15" s="28" t="str">
        <x:v>Original Compact Text</x:v>
      </x:c>
      <x:c r="U15" s="28" t="str">
        <x:v>Wastewater tariff determination decree</x:v>
      </x:c>
      <x:c r="V15" s="28" t="n">
        <x:v>0.789777</x:v>
      </x:c>
      <x:c r="W15" s="28" t="n">
        <x:v>0.791929</x:v>
      </x:c>
      <x:c r="X15" s="28" t="n">
        <x:v>0.655532</x:v>
      </x:c>
      <x:c r="Y15" s="28" t="n">
        <x:v>1</x:v>
      </x:c>
      <x:c r="Z15" s="28" t="n">
        <x:v>0.541353</x:v>
      </x:c>
      <x:c r="AA15" s="28" t="str">
        <x:v>High</x:v>
      </x:c>
      <x:c r="AB15" s="28" t="str">
        <x:v>Pass</x:v>
      </x:c>
      <x:c r="AC15" s="28" t="str">
        <x:v>Pending human review</x:v>
      </x:c>
      <x:c r="AD15" s="28" t="str"/>
      <x:c r="AE15" s="28" t="n">
        <x:v>46238.87231481481</x:v>
      </x:c>
    </x:row>
    <x:row r="16" ht="60" customHeight="1">
      <x:c r="A16" s="28" t="str">
        <x:v>ANC-CAM-012-01</x:v>
      </x:c>
      <x:c r="B16" s="28" t="str">
        <x:v>CAM-012</x:v>
      </x:c>
      <x:c r="C16" s="28" t="str">
        <x:v>DOC-CAM-WC-2026</x:v>
      </x:c>
      <x:c r="D16" s="28" t="str">
        <x:v>Primary Evidence</x:v>
      </x:c>
      <x:c r="E16" s="28" t="str">
        <x:v>Table Cell/Row</x:v>
      </x:c>
      <x:c r="F16" s="28" t="str"/>
      <x:c r="G16" s="28" t="str">
        <x:v>PDF p. 6, Table 2</x:v>
      </x:c>
      <x:c r="H16" s="28" t="n">
        <x:v>6</x:v>
      </x:c>
      <x:c r="I16" s="28" t="n">
        <x:v>6</x:v>
      </x:c>
      <x:c r="J16" s="28" t="n">
        <x:v>6</x:v>
      </x:c>
      <x:c r="K16" s="28" t="str">
        <x:v>6</x:v>
      </x:c>
      <x:c r="L16" s="28" t="str">
        <x:v>Priority reform table</x:v>
      </x:c>
      <x:c r="M16" s="28" t="str">
        <x:v>3. Develop National Wastewater and Fecal Sludge Management Action Plan (2025-2035). (completed)</x:v>
      </x:c>
      <x:c r="N16" s="28" t="str">
        <x:v>3 develop national wastewater and fecal sludge management action plan 20252035 complet</x:v>
      </x:c>
      <x:c r="O16" s="28" t="str">
        <x:v>a9ad25bfaae2edc8ba947eddd9abd244f449c6320c51117e7081b5133fb37f66</x:v>
      </x:c>
      <x:c r="P16" s="28" t="str"/>
      <x:c r="Q16" s="28" t="str"/>
      <x:c r="R16" s="28" t="str">
        <x:v>[[1720,1767],[1796,1843]]</x:v>
      </x:c>
      <x:c r="S16" s="28" t="str">
        <x:v>Fuzzy spatial line-cluster match</x:v>
      </x:c>
      <x:c r="T16" s="28" t="str">
        <x:v>Original Compact Text</x:v>
      </x:c>
      <x:c r="U16" s="28" t="str">
        <x:v>Wastewater and fecal sludge action plan</x:v>
      </x:c>
      <x:c r="V16" s="28" t="n">
        <x:v>0.857034</x:v>
      </x:c>
      <x:c r="W16" s="28" t="n">
        <x:v>0.851752</x:v>
      </x:c>
      <x:c r="X16" s="28" t="n">
        <x:v>0.741784</x:v>
      </x:c>
      <x:c r="Y16" s="28" t="n">
        <x:v>1</x:v>
      </x:c>
      <x:c r="Z16" s="28" t="n">
        <x:v>0.624</x:v>
      </x:c>
      <x:c r="AA16" s="28" t="str">
        <x:v>High</x:v>
      </x:c>
      <x:c r="AB16" s="28" t="str">
        <x:v>Pass</x:v>
      </x:c>
      <x:c r="AC16" s="28" t="str">
        <x:v>Pending human review</x:v>
      </x:c>
      <x:c r="AD16" s="28" t="str"/>
      <x:c r="AE16" s="28" t="n">
        <x:v>46238.87231481481</x:v>
      </x:c>
    </x:row>
    <x:row r="17" ht="60" customHeight="1">
      <x:c r="A17" s="28" t="str">
        <x:v>ANC-CAM-013-01</x:v>
      </x:c>
      <x:c r="B17" s="28" t="str">
        <x:v>CAM-013</x:v>
      </x:c>
      <x:c r="C17" s="28" t="str">
        <x:v>DOC-CAM-WC-2026</x:v>
      </x:c>
      <x:c r="D17" s="28" t="str">
        <x:v>Primary Evidence</x:v>
      </x:c>
      <x:c r="E17" s="28" t="str">
        <x:v>Table Cell/Row</x:v>
      </x:c>
      <x:c r="F17" s="28" t="str"/>
      <x:c r="G17" s="28" t="str">
        <x:v>PDF p. 6, Table 2</x:v>
      </x:c>
      <x:c r="H17" s="28" t="n">
        <x:v>6</x:v>
      </x:c>
      <x:c r="I17" s="28" t="n">
        <x:v>6</x:v>
      </x:c>
      <x:c r="J17" s="28" t="n">
        <x:v>6</x:v>
      </x:c>
      <x:c r="K17" s="28" t="str">
        <x:v>6</x:v>
      </x:c>
      <x:c r="L17" s="28" t="str">
        <x:v>Priority reform table</x:v>
      </x:c>
      <x:c r="M17" s="28" t="str">
        <x:v>4. Improve long-term planning for wastewater infrastructure</x:v>
      </x:c>
      <x:c r="N17" s="28" t="str">
        <x:v>4 improve longterm plann for wastewater infrastructure</x:v>
      </x:c>
      <x:c r="O17" s="28" t="str">
        <x:v>d333078ae06595b8d9157bf7241503c768067fde8f46591ab3674d49ad352559</x:v>
      </x:c>
      <x:c r="P17" s="28" t="n">
        <x:v>1844</x:v>
      </x:c>
      <x:c r="Q17" s="28" t="n">
        <x:v>1903</x:v>
      </x:c>
      <x:c r="R17" s="28" t="str">
        <x:v>[[1844,1903]]</x:v>
      </x:c>
      <x:c r="S17" s="28" t="str">
        <x:v>Fuzzy spatial line-cluster match</x:v>
      </x:c>
      <x:c r="T17" s="28" t="str">
        <x:v>Standardized Candidate</x:v>
      </x:c>
      <x:c r="U17" s="28" t="str">
        <x:v>Strengthen long-term wastewater infrastructure planning</x:v>
      </x:c>
      <x:c r="V17" s="28" t="n">
        <x:v>0.903351</x:v>
      </x:c>
      <x:c r="W17" s="28" t="n">
        <x:v>0.959529</x:v>
      </x:c>
      <x:c r="X17" s="28" t="n">
        <x:v>0.922207</x:v>
      </x:c>
      <x:c r="Y17" s="28" t="n">
        <x:v>1</x:v>
      </x:c>
      <x:c r="Z17" s="28" t="n">
        <x:v>0.704762</x:v>
      </x:c>
      <x:c r="AA17" s="28" t="str">
        <x:v>High</x:v>
      </x:c>
      <x:c r="AB17" s="28" t="str">
        <x:v>Pass</x:v>
      </x:c>
      <x:c r="AC17" s="28" t="str">
        <x:v>Pending human review</x:v>
      </x:c>
      <x:c r="AD17" s="28" t="str"/>
      <x:c r="AE17" s="28" t="n">
        <x:v>46238.87231481481</x:v>
      </x:c>
    </x:row>
    <x:row r="18" ht="60" customHeight="1">
      <x:c r="A18" s="28" t="str">
        <x:v>ANC-CAM-014-01</x:v>
      </x:c>
      <x:c r="B18" s="28" t="str">
        <x:v>CAM-014</x:v>
      </x:c>
      <x:c r="C18" s="28" t="str">
        <x:v>DOC-CAM-WC-2026</x:v>
      </x:c>
      <x:c r="D18" s="28" t="str">
        <x:v>Primary Evidence</x:v>
      </x:c>
      <x:c r="E18" s="28" t="str">
        <x:v>Table Cell/Row</x:v>
      </x:c>
      <x:c r="F18" s="28" t="str"/>
      <x:c r="G18" s="28" t="str">
        <x:v>PDF p. 6, Table 2</x:v>
      </x:c>
      <x:c r="H18" s="28" t="n">
        <x:v>6</x:v>
      </x:c>
      <x:c r="I18" s="28" t="n">
        <x:v>6</x:v>
      </x:c>
      <x:c r="J18" s="28" t="n">
        <x:v>6</x:v>
      </x:c>
      <x:c r="K18" s="28" t="str">
        <x:v>6</x:v>
      </x:c>
      <x:c r="L18" s="28" t="str">
        <x:v>Priority reform table</x:v>
      </x:c>
      <x:c r="M18" s="28" t="str">
        <x:v>5. Develop guidelines for Public-Private Partnerships (PPP) in wastewater service</x:v>
      </x:c>
      <x:c r="N18" s="28" t="str">
        <x:v>5 develop guideline for publicprivate partnership ppp in wastewater service</x:v>
      </x:c>
      <x:c r="O18" s="28" t="str">
        <x:v>5f180237fa4d0043c10debe964232f930e19b80bacfed0f7ba92ca207ef2f35a</x:v>
      </x:c>
      <x:c r="P18" s="28" t="str"/>
      <x:c r="Q18" s="28" t="str"/>
      <x:c r="R18" s="28" t="str">
        <x:v>[[1958,2017],[2018,2039]]</x:v>
      </x:c>
      <x:c r="S18" s="28" t="str">
        <x:v>Fuzzy spatial line-cluster match</x:v>
      </x:c>
      <x:c r="T18" s="28" t="str">
        <x:v>Original Compact Text</x:v>
      </x:c>
      <x:c r="U18" s="28" t="str">
        <x:v>PPP guidelines for wastewater service</x:v>
      </x:c>
      <x:c r="V18" s="28" t="n">
        <x:v>0.867965</x:v>
      </x:c>
      <x:c r="W18" s="28" t="n">
        <x:v>0.873174</x:v>
      </x:c>
      <x:c r="X18" s="28" t="n">
        <x:v>0.774898</x:v>
      </x:c>
      <x:c r="Y18" s="28" t="n">
        <x:v>1</x:v>
      </x:c>
      <x:c r="Z18" s="28" t="n">
        <x:v>0.612613</x:v>
      </x:c>
      <x:c r="AA18" s="28" t="str">
        <x:v>High</x:v>
      </x:c>
      <x:c r="AB18" s="28" t="str">
        <x:v>Pass</x:v>
      </x:c>
      <x:c r="AC18" s="28" t="str">
        <x:v>Pending human review</x:v>
      </x:c>
      <x:c r="AD18" s="28" t="str"/>
      <x:c r="AE18" s="28" t="n">
        <x:v>46238.87231481481</x:v>
      </x:c>
    </x:row>
    <x:row r="19" ht="60" customHeight="1">
      <x:c r="A19" s="28" t="str">
        <x:v>ANC-CAM-015-01</x:v>
      </x:c>
      <x:c r="B19" s="28" t="str">
        <x:v>CAM-015</x:v>
      </x:c>
      <x:c r="C19" s="28" t="str">
        <x:v>DOC-CAM-WC-2026</x:v>
      </x:c>
      <x:c r="D19" s="28" t="str">
        <x:v>Primary Evidence</x:v>
      </x:c>
      <x:c r="E19" s="28" t="str">
        <x:v>Table Cell/Row</x:v>
      </x:c>
      <x:c r="F19" s="28" t="str"/>
      <x:c r="G19" s="28" t="str">
        <x:v>PDF p. 7, Table 2</x:v>
      </x:c>
      <x:c r="H19" s="28" t="n">
        <x:v>7</x:v>
      </x:c>
      <x:c r="I19" s="28" t="n">
        <x:v>7</x:v>
      </x:c>
      <x:c r="J19" s="28" t="n">
        <x:v>7</x:v>
      </x:c>
      <x:c r="K19" s="28" t="str">
        <x:v>7</x:v>
      </x:c>
      <x:c r="L19" s="28" t="str">
        <x:v>Priority reform table</x:v>
      </x:c>
      <x:c r="M19" s="28" t="str">
        <x:v>1. Strengthen regulatory enforcement and investment planning under the wastewater and fecal sludge management</x:v>
      </x:c>
      <x:c r="N19" s="28" t="str">
        <x:v>1 strengthen regulatory enforcement and investment plann under the wastewater and fecal sludge management</x:v>
      </x:c>
      <x:c r="O19" s="28" t="str">
        <x:v>0daf5bb6a128743ff94fe543ebca2f7dd2a5d320bbaaf520556705f560594b08</x:v>
      </x:c>
      <x:c r="P19" s="28" t="str"/>
      <x:c r="Q19" s="28" t="str"/>
      <x:c r="R19" s="28" t="str">
        <x:v>[[42,93],[125,182]]</x:v>
      </x:c>
      <x:c r="S19" s="28" t="str">
        <x:v>Fuzzy spatial line-cluster match</x:v>
      </x:c>
      <x:c r="T19" s="28" t="str">
        <x:v>Standardized Candidate</x:v>
      </x:c>
      <x:c r="U19" s="28" t="str">
        <x:v>Strengthen wastewater regulatory enforcement and investment planning</x:v>
      </x:c>
      <x:c r="V19" s="28" t="n">
        <x:v>0.832014</x:v>
      </x:c>
      <x:c r="W19" s="28" t="n">
        <x:v>0.880694</x:v>
      </x:c>
      <x:c r="X19" s="28" t="n">
        <x:v>0.786822</x:v>
      </x:c>
      <x:c r="Y19" s="28" t="n">
        <x:v>1</x:v>
      </x:c>
      <x:c r="Z19" s="28" t="n">
        <x:v>0.635294</x:v>
      </x:c>
      <x:c r="AA19" s="28" t="str">
        <x:v>High</x:v>
      </x:c>
      <x:c r="AB19" s="28" t="str">
        <x:v>Pass</x:v>
      </x:c>
      <x:c r="AC19" s="28" t="str">
        <x:v>Pending human review</x:v>
      </x:c>
      <x:c r="AD19" s="28" t="str"/>
      <x:c r="AE19" s="28" t="n">
        <x:v>46238.87231481481</x:v>
      </x:c>
    </x:row>
    <x:row r="20" ht="60" customHeight="1">
      <x:c r="A20" s="28" t="str">
        <x:v>ANC-CAM-016-01</x:v>
      </x:c>
      <x:c r="B20" s="28" t="str">
        <x:v>CAM-016</x:v>
      </x:c>
      <x:c r="C20" s="28" t="str">
        <x:v>DOC-CAM-WC-2026</x:v>
      </x:c>
      <x:c r="D20" s="28" t="str">
        <x:v>Primary Evidence</x:v>
      </x:c>
      <x:c r="E20" s="28" t="str">
        <x:v>Table Cell/Row</x:v>
      </x:c>
      <x:c r="F20" s="28" t="str"/>
      <x:c r="G20" s="28" t="str">
        <x:v>PDF p. 7, Table 2</x:v>
      </x:c>
      <x:c r="H20" s="28" t="n">
        <x:v>7</x:v>
      </x:c>
      <x:c r="I20" s="28" t="n">
        <x:v>7</x:v>
      </x:c>
      <x:c r="J20" s="28" t="n">
        <x:v>7</x:v>
      </x:c>
      <x:c r="K20" s="28" t="str">
        <x:v>7</x:v>
      </x:c>
      <x:c r="L20" s="28" t="str">
        <x:v>Priority reform table</x:v>
      </x:c>
      <x:c r="M20" s="28" t="str">
        <x:v>1. Update Water Resources Policy with integration of water</x:v>
      </x:c>
      <x:c r="N20" s="28" t="str">
        <x:v>1 update water resource policy with integration of water</x:v>
      </x:c>
      <x:c r="O20" s="28" t="str">
        <x:v>0cecf1e3e5108cc9b40cb57b54e3cd42ba3b928e5eb20008c00abbd1e9df6de8</x:v>
      </x:c>
      <x:c r="P20" s="28" t="n">
        <x:v>244</x:v>
      </x:c>
      <x:c r="Q20" s="28" t="n">
        <x:v>302</x:v>
      </x:c>
      <x:c r="R20" s="28" t="str">
        <x:v>[[244,302]]</x:v>
      </x:c>
      <x:c r="S20" s="28" t="str">
        <x:v>Exact spatial line-cluster phrase</x:v>
      </x:c>
      <x:c r="T20" s="28" t="str">
        <x:v>Original Compact Text</x:v>
      </x:c>
      <x:c r="U20" s="28" t="str">
        <x:v>Update Water Resources Policy</x:v>
      </x:c>
      <x:c r="V20" s="28" t="n">
        <x:v>0.999</x:v>
      </x:c>
      <x:c r="W20" s="28" t="n">
        <x:v>0.878049</x:v>
      </x:c>
      <x:c r="X20" s="28" t="n">
        <x:v>0.782609</x:v>
      </x:c>
      <x:c r="Y20" s="28" t="n">
        <x:v>1</x:v>
      </x:c>
      <x:c r="Z20" s="28" t="n">
        <x:v>0.666667</x:v>
      </x:c>
      <x:c r="AA20" s="28" t="str">
        <x:v>High</x:v>
      </x:c>
      <x:c r="AB20" s="28" t="str">
        <x:v>Pass</x:v>
      </x:c>
      <x:c r="AC20" s="28" t="str">
        <x:v>Pending human review</x:v>
      </x:c>
      <x:c r="AD20" s="28" t="str"/>
      <x:c r="AE20" s="28" t="n">
        <x:v>46238.87231481481</x:v>
      </x:c>
    </x:row>
    <x:row r="21" ht="60" customHeight="1">
      <x:c r="A21" s="28" t="str">
        <x:v>ANC-CAM-017-01</x:v>
      </x:c>
      <x:c r="B21" s="28" t="str">
        <x:v>CAM-017</x:v>
      </x:c>
      <x:c r="C21" s="28" t="str">
        <x:v>DOC-CAM-WC-2026</x:v>
      </x:c>
      <x:c r="D21" s="28" t="str">
        <x:v>Duplicate/Sub-action Evidence</x:v>
      </x:c>
      <x:c r="E21" s="28" t="str">
        <x:v>Table Cell/Row</x:v>
      </x:c>
      <x:c r="F21" s="28" t="str"/>
      <x:c r="G21" s="28" t="str">
        <x:v>PDF p. 7, Table 2</x:v>
      </x:c>
      <x:c r="H21" s="28" t="n">
        <x:v>7</x:v>
      </x:c>
      <x:c r="I21" s="28" t="n">
        <x:v>7</x:v>
      </x:c>
      <x:c r="J21" s="28" t="n">
        <x:v>7</x:v>
      </x:c>
      <x:c r="K21" s="28" t="str">
        <x:v>7</x:v>
      </x:c>
      <x:c r="L21" s="28" t="str">
        <x:v>Priority reform table</x:v>
      </x:c>
      <x:c r="M21" s="28" t="str">
        <x:v>2. Develop Sub-Decree on Water Allocation and Licensing to formalize water use rights for irrigation and improve</x:v>
      </x:c>
      <x:c r="N21" s="28" t="str">
        <x:v>2 develop subdecree on water allocation and licens to formalize water use right for irrigation and improve</x:v>
      </x:c>
      <x:c r="O21" s="28" t="str">
        <x:v>f9e2834d215973f897ecbb542fe9e7b5765a6d6dcca10f4003f7a0831bb5dfaa</x:v>
      </x:c>
      <x:c r="P21" s="28" t="str"/>
      <x:c r="Q21" s="28" t="str"/>
      <x:c r="R21" s="28" t="str">
        <x:v>[[346,401],[402,458]]</x:v>
      </x:c>
      <x:c r="S21" s="28" t="str">
        <x:v>Fuzzy spatial line-cluster match</x:v>
      </x:c>
      <x:c r="T21" s="28" t="str">
        <x:v>Original Compact Text</x:v>
      </x:c>
      <x:c r="U21" s="28" t="str">
        <x:v>Irrigation allocation and licensing sub-decree</x:v>
      </x:c>
      <x:c r="V21" s="28" t="n">
        <x:v>0.796931</x:v>
      </x:c>
      <x:c r="W21" s="28" t="n">
        <x:v>0.850949</x:v>
      </x:c>
      <x:c r="X21" s="28" t="n">
        <x:v>0.740566</x:v>
      </x:c>
      <x:c r="Y21" s="28" t="n">
        <x:v>1</x:v>
      </x:c>
      <x:c r="Z21" s="28" t="n">
        <x:v>0.391892</x:v>
      </x:c>
      <x:c r="AA21" s="28" t="str">
        <x:v>High</x:v>
      </x:c>
      <x:c r="AB21" s="28" t="str">
        <x:v>Pass</x:v>
      </x:c>
      <x:c r="AC21" s="28" t="str">
        <x:v>Pending human review</x:v>
      </x:c>
      <x:c r="AD21" s="28" t="str"/>
      <x:c r="AE21" s="28" t="n">
        <x:v>46238.87231481481</x:v>
      </x:c>
    </x:row>
    <x:row r="22" ht="60" customHeight="1">
      <x:c r="A22" s="28" t="str">
        <x:v>ANC-CAM-018-01</x:v>
      </x:c>
      <x:c r="B22" s="28" t="str">
        <x:v>CAM-018</x:v>
      </x:c>
      <x:c r="C22" s="28" t="str">
        <x:v>DOC-CAM-WC-2026</x:v>
      </x:c>
      <x:c r="D22" s="28" t="str">
        <x:v>Primary Evidence</x:v>
      </x:c>
      <x:c r="E22" s="28" t="str">
        <x:v>Table Cell/Row</x:v>
      </x:c>
      <x:c r="F22" s="28" t="str"/>
      <x:c r="G22" s="28" t="str">
        <x:v>PDF p. 7, Table 2</x:v>
      </x:c>
      <x:c r="H22" s="28" t="n">
        <x:v>7</x:v>
      </x:c>
      <x:c r="I22" s="28" t="n">
        <x:v>7</x:v>
      </x:c>
      <x:c r="J22" s="28" t="n">
        <x:v>7</x:v>
      </x:c>
      <x:c r="K22" s="28" t="str">
        <x:v>7</x:v>
      </x:c>
      <x:c r="L22" s="28" t="str">
        <x:v>Priority reform table</x:v>
      </x:c>
      <x:c r="M22" s="28" t="str">
        <x:v>3. Revise Sub-Decree on the establishment and operation</x:v>
      </x:c>
      <x:c r="N22" s="28" t="str">
        <x:v>3 revise subdecree on the establishment and operation</x:v>
      </x:c>
      <x:c r="O22" s="28" t="str">
        <x:v>658ac16aab9398b2df6d5e556d09613c28542fcfb0c58a51929ddb7293f0e7bf</x:v>
      </x:c>
      <x:c r="P22" s="28" t="n">
        <x:v>484</x:v>
      </x:c>
      <x:c r="Q22" s="28" t="n">
        <x:v>539</x:v>
      </x:c>
      <x:c r="R22" s="28" t="str">
        <x:v>[[484,539]]</x:v>
      </x:c>
      <x:c r="S22" s="28" t="str">
        <x:v>Fuzzy spatial line-cluster match</x:v>
      </x:c>
      <x:c r="T22" s="28" t="str">
        <x:v>Standardized Candidate</x:v>
      </x:c>
      <x:c r="U22" s="28" t="str">
        <x:v>Revise the FWUC establishment and operations sub-decree</x:v>
      </x:c>
      <x:c r="V22" s="28" t="n">
        <x:v>0.821586</x:v>
      </x:c>
      <x:c r="W22" s="28" t="n">
        <x:v>0.893763</x:v>
      </x:c>
      <x:c r="X22" s="28" t="n">
        <x:v>0.922207</x:v>
      </x:c>
      <x:c r="Y22" s="28" t="n">
        <x:v>0.867021</x:v>
      </x:c>
      <x:c r="Z22" s="28" t="n">
        <x:v>0.716981</x:v>
      </x:c>
      <x:c r="AA22" s="28" t="str">
        <x:v>High</x:v>
      </x:c>
      <x:c r="AB22" s="28" t="str">
        <x:v>Pass</x:v>
      </x:c>
      <x:c r="AC22" s="28" t="str">
        <x:v>Pending human review</x:v>
      </x:c>
      <x:c r="AD22" s="28" t="str"/>
      <x:c r="AE22" s="28" t="n">
        <x:v>46238.87231481481</x:v>
      </x:c>
    </x:row>
    <x:row r="23" ht="60" customHeight="1">
      <x:c r="A23" s="28" t="str">
        <x:v>ANC-CAM-019-01</x:v>
      </x:c>
      <x:c r="B23" s="28" t="str">
        <x:v>CAM-019</x:v>
      </x:c>
      <x:c r="C23" s="28" t="str">
        <x:v>DOC-CAM-WC-2026</x:v>
      </x:c>
      <x:c r="D23" s="28" t="str">
        <x:v>Primary Evidence</x:v>
      </x:c>
      <x:c r="E23" s="28" t="str">
        <x:v>Table Cell/Row</x:v>
      </x:c>
      <x:c r="F23" s="28" t="str"/>
      <x:c r="G23" s="28" t="str">
        <x:v>PDF p. 7, Table 2</x:v>
      </x:c>
      <x:c r="H23" s="28" t="n">
        <x:v>7</x:v>
      </x:c>
      <x:c r="I23" s="28" t="n">
        <x:v>7</x:v>
      </x:c>
      <x:c r="J23" s="28" t="n">
        <x:v>7</x:v>
      </x:c>
      <x:c r="K23" s="28" t="str">
        <x:v>7</x:v>
      </x:c>
      <x:c r="L23" s="28" t="str">
        <x:v>Priority reform table</x:v>
      </x:c>
      <x:c r="M23" s="28" t="str">
        <x:v>4. Develop a National Dam Safety Framework to ensure</x:v>
      </x:c>
      <x:c r="N23" s="28" t="str">
        <x:v>4 develop a national dam safety framework to ensure</x:v>
      </x:c>
      <x:c r="O23" s="28" t="str">
        <x:v>15a9b17d67e953c0707d3fe0eb02d81e37a6530366103134699e6f26dc979259</x:v>
      </x:c>
      <x:c r="P23" s="28" t="n">
        <x:v>707</x:v>
      </x:c>
      <x:c r="Q23" s="28" t="n">
        <x:v>759</x:v>
      </x:c>
      <x:c r="R23" s="28" t="str">
        <x:v>[[707,759]]</x:v>
      </x:c>
      <x:c r="S23" s="28" t="str">
        <x:v>Fuzzy spatial line-cluster match</x:v>
      </x:c>
      <x:c r="T23" s="28" t="str">
        <x:v>Original Compact Text</x:v>
      </x:c>
      <x:c r="U23" s="28" t="str">
        <x:v>Develop National Dam Safety Framework</x:v>
      </x:c>
      <x:c r="V23" s="28" t="n">
        <x:v>0.908513</x:v>
      </x:c>
      <x:c r="W23" s="28" t="n">
        <x:v>0.874715</x:v>
      </x:c>
      <x:c r="X23" s="28" t="n">
        <x:v>0.777328</x:v>
      </x:c>
      <x:c r="Y23" s="28" t="n">
        <x:v>1</x:v>
      </x:c>
      <x:c r="Z23" s="28" t="n">
        <x:v>0.840909</x:v>
      </x:c>
      <x:c r="AA23" s="28" t="str">
        <x:v>High</x:v>
      </x:c>
      <x:c r="AB23" s="28" t="str">
        <x:v>Pass</x:v>
      </x:c>
      <x:c r="AC23" s="28" t="str">
        <x:v>Pending human review</x:v>
      </x:c>
      <x:c r="AD23" s="28" t="str"/>
      <x:c r="AE23" s="28" t="n">
        <x:v>46238.87231481481</x:v>
      </x:c>
    </x:row>
    <x:row r="24" ht="60" customHeight="1">
      <x:c r="A24" s="28" t="str">
        <x:v>ANC-CAM-020-01</x:v>
      </x:c>
      <x:c r="B24" s="28" t="str">
        <x:v>CAM-020</x:v>
      </x:c>
      <x:c r="C24" s="28" t="str">
        <x:v>DOC-CAM-WC-2026</x:v>
      </x:c>
      <x:c r="D24" s="28" t="str">
        <x:v>Primary Evidence</x:v>
      </x:c>
      <x:c r="E24" s="28" t="str">
        <x:v>Table Cell/Row</x:v>
      </x:c>
      <x:c r="F24" s="28" t="str"/>
      <x:c r="G24" s="28" t="str">
        <x:v>PDF p. 7, Table 2; pp. 11–12 roadmap</x:v>
      </x:c>
      <x:c r="H24" s="28" t="n">
        <x:v>7</x:v>
      </x:c>
      <x:c r="I24" s="28" t="n">
        <x:v>12</x:v>
      </x:c>
      <x:c r="J24" s="28" t="n">
        <x:v>11</x:v>
      </x:c>
      <x:c r="K24" s="28" t="str">
        <x:v>11</x:v>
      </x:c>
      <x:c r="L24" s="28" t="str">
        <x:v>Priority reform table + roadmap</x:v>
      </x:c>
      <x:c r="M24" s="28" t="str">
        <x:v>Maintenance Standard Develop National Irrigation</x:v>
      </x:c>
      <x:c r="N24" s="28" t="str">
        <x:v>maintenance standard develop national irrigation</x:v>
      </x:c>
      <x:c r="O24" s="28" t="str">
        <x:v>c5be77a860f442a302b13f107b2a3596b4b492e4332c70aec5604f63d0accc8c</x:v>
      </x:c>
      <x:c r="P24" s="28" t="str"/>
      <x:c r="Q24" s="28" t="str"/>
      <x:c r="R24" s="28" t="str">
        <x:v>[[887,907],[947,974]]</x:v>
      </x:c>
      <x:c r="S24" s="28" t="str">
        <x:v>Fuzzy spatial line-cluster match</x:v>
      </x:c>
      <x:c r="T24" s="28" t="str">
        <x:v>Original Compact Text</x:v>
      </x:c>
      <x:c r="U24" s="28" t="str">
        <x:v>National irrigation standards</x:v>
      </x:c>
      <x:c r="V24" s="28" t="n">
        <x:v>0.888548</x:v>
      </x:c>
      <x:c r="W24" s="28" t="n">
        <x:v>0.920863</x:v>
      </x:c>
      <x:c r="X24" s="28" t="n">
        <x:v>0.853333</x:v>
      </x:c>
      <x:c r="Y24" s="28" t="n">
        <x:v>1</x:v>
      </x:c>
      <x:c r="Z24" s="28" t="n">
        <x:v>0.5</x:v>
      </x:c>
      <x:c r="AA24" s="28" t="str">
        <x:v>High</x:v>
      </x:c>
      <x:c r="AB24" s="28" t="str">
        <x:v>Pass</x:v>
      </x:c>
      <x:c r="AC24" s="28" t="str">
        <x:v>Pending human review</x:v>
      </x:c>
      <x:c r="AD24" s="28" t="str"/>
      <x:c r="AE24" s="28" t="n">
        <x:v>46238.87231481481</x:v>
      </x:c>
    </x:row>
    <x:row r="25" ht="60" customHeight="1">
      <x:c r="A25" s="28" t="str">
        <x:v>ANC-CAM-021-01</x:v>
      </x:c>
      <x:c r="B25" s="28" t="str">
        <x:v>CAM-021</x:v>
      </x:c>
      <x:c r="C25" s="28" t="str">
        <x:v>DOC-CAM-WC-2026</x:v>
      </x:c>
      <x:c r="D25" s="28" t="str">
        <x:v>Primary Evidence</x:v>
      </x:c>
      <x:c r="E25" s="28" t="str">
        <x:v>Table Cell/Row</x:v>
      </x:c>
      <x:c r="F25" s="28" t="str"/>
      <x:c r="G25" s="28" t="str">
        <x:v>PDF p. 7, Table 2</x:v>
      </x:c>
      <x:c r="H25" s="28" t="n">
        <x:v>7</x:v>
      </x:c>
      <x:c r="I25" s="28" t="n">
        <x:v>7</x:v>
      </x:c>
      <x:c r="J25" s="28" t="n">
        <x:v>7</x:v>
      </x:c>
      <x:c r="K25" s="28" t="str">
        <x:v>7</x:v>
      </x:c>
      <x:c r="L25" s="28" t="str">
        <x:v>Priority reform table</x:v>
      </x:c>
      <x:c r="M25" s="28" t="str">
        <x:v>1. Develop Public-Private Partnerships (PPP) / Private Sector Participation (PSP) roadmap for irrigation service delivery, incorporating global good practices on performance- based contracts, asset management, and cost recovery.</x:v>
      </x:c>
      <x:c r="N25" s="28" t="str">
        <x:v>1 develop publicprivate partnership ppp private sector participation psp roadmap for irrigation service delivery incorporat global good practice on performance bas contract asset management and cost recovery</x:v>
      </x:c>
      <x:c r="O25" s="28" t="str">
        <x:v>4386a0f62e29f39ef16677d31e0424498f3c11deabe8fceb7648a7f106f695ed</x:v>
      </x:c>
      <x:c r="P25" s="28" t="str"/>
      <x:c r="Q25" s="28" t="str"/>
      <x:c r="R25" s="28" t="str">
        <x:v>[[969,1023],[1024,1081],[1082,1143],[1169,1222]]</x:v>
      </x:c>
      <x:c r="S25" s="28" t="str">
        <x:v>Fuzzy spatial line-cluster match</x:v>
      </x:c>
      <x:c r="T25" s="28" t="str">
        <x:v>Verified PDF locator hint</x:v>
      </x:c>
      <x:c r="U25" s="28" t="str">
        <x:v>Develop Public–Private Partnerships (PPP) / Private Sector Participation (PSP) roadmap for irrigation service delivery, incorporating global good practices on performance-based contracts, asset management, and cost recovery.</x:v>
      </x:c>
      <x:c r="V25" s="28" t="n">
        <x:v>0.978531</x:v>
      </x:c>
      <x:c r="W25" s="28" t="n">
        <x:v>0.934624</x:v>
      </x:c>
      <x:c r="X25" s="28" t="n">
        <x:v>0.943435</x:v>
      </x:c>
      <x:c r="Y25" s="28" t="n">
        <x:v>0.925976</x:v>
      </x:c>
      <x:c r="Z25" s="28" t="n">
        <x:v>0.992701</x:v>
      </x:c>
      <x:c r="AA25" s="28" t="str">
        <x:v>High</x:v>
      </x:c>
      <x:c r="AB25" s="28" t="str">
        <x:v>Pass</x:v>
      </x:c>
      <x:c r="AC25" s="28" t="str">
        <x:v>Pending human review</x:v>
      </x:c>
      <x:c r="AD25" s="28" t="str"/>
      <x:c r="AE25" s="28" t="n">
        <x:v>46238.87231481481</x:v>
      </x:c>
    </x:row>
    <x:row r="26" ht="60" customHeight="1">
      <x:c r="A26" s="28" t="str">
        <x:v>ANC-CAM-022-01</x:v>
      </x:c>
      <x:c r="B26" s="28" t="str">
        <x:v>CAM-022</x:v>
      </x:c>
      <x:c r="C26" s="28" t="str">
        <x:v>DOC-CAM-WC-2026</x:v>
      </x:c>
      <x:c r="D26" s="28" t="str">
        <x:v>Exclusion Evidence</x:v>
      </x:c>
      <x:c r="E26" s="28" t="str">
        <x:v>Table Cell/Row</x:v>
      </x:c>
      <x:c r="F26" s="28" t="str"/>
      <x:c r="G26" s="28" t="str">
        <x:v>PDF p. 7, Table 2</x:v>
      </x:c>
      <x:c r="H26" s="28" t="n">
        <x:v>7</x:v>
      </x:c>
      <x:c r="I26" s="28" t="n">
        <x:v>7</x:v>
      </x:c>
      <x:c r="J26" s="28" t="n">
        <x:v>7</x:v>
      </x:c>
      <x:c r="K26" s="28" t="str">
        <x:v>7</x:v>
      </x:c>
      <x:c r="L26" s="28" t="str">
        <x:v>Priority reform table</x:v>
      </x:c>
      <x:c r="M26" s="28" t="str">
        <x:v>2. Promote combined solutions for gravity-fed systems and high-efficiency irrigation technologies, including solar-</x:v>
      </x:c>
      <x:c r="N26" s="28" t="str">
        <x:v>2 promote combin solution for gravityf system and highefficiency irrigation technology includ solar</x:v>
      </x:c>
      <x:c r="O26" s="28" t="str">
        <x:v>9fa3a246abef5f36fce16cf9082144f58aff3bb5893f04969b559dc93d46ac55</x:v>
      </x:c>
      <x:c r="P26" s="28" t="str"/>
      <x:c r="Q26" s="28" t="str"/>
      <x:c r="R26" s="28" t="str">
        <x:v>[[1278,1335],[1343,1400]]</x:v>
      </x:c>
      <x:c r="S26" s="28" t="str">
        <x:v>Fuzzy spatial line-cluster match</x:v>
      </x:c>
      <x:c r="T26" s="28" t="str">
        <x:v>Standardized Candidate</x:v>
      </x:c>
      <x:c r="U26" s="28" t="str">
        <x:v>Promote gravity-fed and high-efficiency irrigation technologies</x:v>
      </x:c>
      <x:c r="V26" s="28" t="n">
        <x:v>0.817338</x:v>
      </x:c>
      <x:c r="W26" s="28" t="n">
        <x:v>0.837117</x:v>
      </x:c>
      <x:c r="X26" s="28" t="n">
        <x:v>0.719864</x:v>
      </x:c>
      <x:c r="Y26" s="28" t="n">
        <x:v>1</x:v>
      </x:c>
      <x:c r="Z26" s="28" t="n">
        <x:v>0.730769</x:v>
      </x:c>
      <x:c r="AA26" s="28" t="str">
        <x:v>High</x:v>
      </x:c>
      <x:c r="AB26" s="28" t="str">
        <x:v>Pass</x:v>
      </x:c>
      <x:c r="AC26" s="28" t="str">
        <x:v>Pending human review</x:v>
      </x:c>
      <x:c r="AD26" s="28" t="str"/>
      <x:c r="AE26" s="28" t="n">
        <x:v>46238.87231481481</x:v>
      </x:c>
    </x:row>
    <x:row r="27" ht="60" customHeight="1">
      <x:c r="A27" s="28" t="str">
        <x:v>ANC-CAM-023-01</x:v>
      </x:c>
      <x:c r="B27" s="28" t="str">
        <x:v>CAM-023</x:v>
      </x:c>
      <x:c r="C27" s="28" t="str">
        <x:v>DOC-CAM-WC-2026</x:v>
      </x:c>
      <x:c r="D27" s="28" t="str">
        <x:v>Primary Evidence</x:v>
      </x:c>
      <x:c r="E27" s="28" t="str">
        <x:v>Table Cell/Row</x:v>
      </x:c>
      <x:c r="F27" s="28" t="str"/>
      <x:c r="G27" s="28" t="str">
        <x:v>PDF p. 7, Table 2</x:v>
      </x:c>
      <x:c r="H27" s="28" t="n">
        <x:v>7</x:v>
      </x:c>
      <x:c r="I27" s="28" t="n">
        <x:v>7</x:v>
      </x:c>
      <x:c r="J27" s="28" t="n">
        <x:v>7</x:v>
      </x:c>
      <x:c r="K27" s="28" t="str">
        <x:v>7</x:v>
      </x:c>
      <x:c r="L27" s="28" t="str">
        <x:v>Priority reform table</x:v>
      </x:c>
      <x:c r="M27" s="28" t="str">
        <x:v>1. Sub-Decree on Hydrometeorology to strengthen hydro-</x:v>
      </x:c>
      <x:c r="N27" s="28" t="str">
        <x:v>1 subdecree on hydrometeorology to strengthen hydro</x:v>
      </x:c>
      <x:c r="O27" s="28" t="str">
        <x:v>4c1c9d024ca0b52b87ce3ce75b5b078941b382e0101561ecf9651bee47c82066</x:v>
      </x:c>
      <x:c r="P27" s="28" t="n">
        <x:v>1603</x:v>
      </x:c>
      <x:c r="Q27" s="28" t="n">
        <x:v>1657</x:v>
      </x:c>
      <x:c r="R27" s="28" t="str">
        <x:v>[[1603,1657]]</x:v>
      </x:c>
      <x:c r="S27" s="28" t="str">
        <x:v>Exact spatial line-cluster phrase</x:v>
      </x:c>
      <x:c r="T27" s="28" t="str">
        <x:v>Original Compact Text</x:v>
      </x:c>
      <x:c r="U27" s="28" t="str">
        <x:v>Sub-decree on Hydrometeorology</x:v>
      </x:c>
      <x:c r="V27" s="28" t="n">
        <x:v>0.999</x:v>
      </x:c>
      <x:c r="W27" s="28" t="n">
        <x:v>0.880174</x:v>
      </x:c>
      <x:c r="X27" s="28" t="n">
        <x:v>0.785992</x:v>
      </x:c>
      <x:c r="Y27" s="28" t="n">
        <x:v>1</x:v>
      </x:c>
      <x:c r="Z27" s="28" t="n">
        <x:v>0.725</x:v>
      </x:c>
      <x:c r="AA27" s="28" t="str">
        <x:v>High</x:v>
      </x:c>
      <x:c r="AB27" s="28" t="str">
        <x:v>Pass</x:v>
      </x:c>
      <x:c r="AC27" s="28" t="str">
        <x:v>Pending human review</x:v>
      </x:c>
      <x:c r="AD27" s="28" t="str"/>
      <x:c r="AE27" s="28" t="n">
        <x:v>46238.87231481481</x:v>
      </x:c>
    </x:row>
    <x:row r="28" ht="60" customHeight="1">
      <x:c r="A28" s="28" t="str">
        <x:v>ANC-CAM-024-01</x:v>
      </x:c>
      <x:c r="B28" s="28" t="str">
        <x:v>CAM-024</x:v>
      </x:c>
      <x:c r="C28" s="28" t="str">
        <x:v>DOC-CAM-WC-2026</x:v>
      </x:c>
      <x:c r="D28" s="28" t="str">
        <x:v>Primary Evidence</x:v>
      </x:c>
      <x:c r="E28" s="28" t="str">
        <x:v>Table Cell/Row</x:v>
      </x:c>
      <x:c r="F28" s="28" t="str"/>
      <x:c r="G28" s="28" t="str">
        <x:v>PDF p. 8, Table 2</x:v>
      </x:c>
      <x:c r="H28" s="28" t="n">
        <x:v>8</x:v>
      </x:c>
      <x:c r="I28" s="28" t="n">
        <x:v>8</x:v>
      </x:c>
      <x:c r="J28" s="28" t="n">
        <x:v>8</x:v>
      </x:c>
      <x:c r="K28" s="28" t="str">
        <x:v>8</x:v>
      </x:c>
      <x:c r="L28" s="28" t="str">
        <x:v>Priority reform table</x:v>
      </x:c>
      <x:c r="M28" s="28" t="str">
        <x:v>1. Sub-Decree on Groundwater Management to regulate</x:v>
      </x:c>
      <x:c r="N28" s="28" t="str">
        <x:v>1 subdecree on groundwater management to regulate</x:v>
      </x:c>
      <x:c r="O28" s="28" t="str">
        <x:v>b2ed3b6cef85d5d68bc1d72c35d99d144814f537a569dedc61be90f8246a6df7</x:v>
      </x:c>
      <x:c r="P28" s="28" t="n">
        <x:v>42</x:v>
      </x:c>
      <x:c r="Q28" s="28" t="n">
        <x:v>93</x:v>
      </x:c>
      <x:c r="R28" s="28" t="str">
        <x:v>[[42,93]]</x:v>
      </x:c>
      <x:c r="S28" s="28" t="str">
        <x:v>Exact spatial line-cluster phrase</x:v>
      </x:c>
      <x:c r="T28" s="28" t="str">
        <x:v>Original Compact Text</x:v>
      </x:c>
      <x:c r="U28" s="28" t="str">
        <x:v>Sub-decree on Groundwater Management</x:v>
      </x:c>
      <x:c r="V28" s="28" t="n">
        <x:v>0.999</x:v>
      </x:c>
      <x:c r="W28" s="28" t="n">
        <x:v>0.903678</x:v>
      </x:c>
      <x:c r="X28" s="28" t="n">
        <x:v>0.824281</x:v>
      </x:c>
      <x:c r="Y28" s="28" t="n">
        <x:v>1</x:v>
      </x:c>
      <x:c r="Z28" s="28" t="n">
        <x:v>0.833333</x:v>
      </x:c>
      <x:c r="AA28" s="28" t="str">
        <x:v>High</x:v>
      </x:c>
      <x:c r="AB28" s="28" t="str">
        <x:v>Pass</x:v>
      </x:c>
      <x:c r="AC28" s="28" t="str">
        <x:v>Pending human review</x:v>
      </x:c>
      <x:c r="AD28" s="28" t="str"/>
      <x:c r="AE28" s="28" t="n">
        <x:v>46238.87231481481</x:v>
      </x:c>
    </x:row>
    <x:row r="29" ht="60" customHeight="1">
      <x:c r="A29" s="28" t="str">
        <x:v>ANC-CAM-025-01</x:v>
      </x:c>
      <x:c r="B29" s="28" t="str">
        <x:v>CAM-025</x:v>
      </x:c>
      <x:c r="C29" s="28" t="str">
        <x:v>DOC-CAM-WC-2026</x:v>
      </x:c>
      <x:c r="D29" s="28" t="str">
        <x:v>Primary Evidence</x:v>
      </x:c>
      <x:c r="E29" s="28" t="str">
        <x:v>Table Cell/Row</x:v>
      </x:c>
      <x:c r="F29" s="28" t="str"/>
      <x:c r="G29" s="28" t="str">
        <x:v>PDF p. 8, Table 2</x:v>
      </x:c>
      <x:c r="H29" s="28" t="n">
        <x:v>8</x:v>
      </x:c>
      <x:c r="I29" s="28" t="n">
        <x:v>8</x:v>
      </x:c>
      <x:c r="J29" s="28" t="n">
        <x:v>8</x:v>
      </x:c>
      <x:c r="K29" s="28" t="str">
        <x:v>8</x:v>
      </x:c>
      <x:c r="L29" s="28" t="str">
        <x:v>Priority reform table</x:v>
      </x:c>
      <x:c r="M29" s="28" t="str">
        <x:v>1. Sub-Decree on the establishment of river basin committees and river basin management plans,</x:v>
      </x:c>
      <x:c r="N29" s="28" t="str">
        <x:v>1 subdecree on the establishment of river basin committee and river basin management plan</x:v>
      </x:c>
      <x:c r="O29" s="28" t="str">
        <x:v>f1b2d0a56cab21f3b708de835cbe9f51fa345c8044ac963978267c6df80a101b</x:v>
      </x:c>
      <x:c r="P29" s="28" t="str"/>
      <x:c r="Q29" s="28" t="str"/>
      <x:c r="R29" s="28" t="str">
        <x:v>[[290,339],[360,404]]</x:v>
      </x:c>
      <x:c r="S29" s="28" t="str">
        <x:v>Fuzzy spatial line-cluster match</x:v>
      </x:c>
      <x:c r="T29" s="28" t="str">
        <x:v>Original Compact Text</x:v>
      </x:c>
      <x:c r="U29" s="28" t="str">
        <x:v>Sub-decree on river basin committees</x:v>
      </x:c>
      <x:c r="V29" s="28" t="n">
        <x:v>0.746365</x:v>
      </x:c>
      <x:c r="W29" s="28" t="n">
        <x:v>0.710183</x:v>
      </x:c>
      <x:c r="X29" s="28" t="n">
        <x:v>0.550607</x:v>
      </x:c>
      <x:c r="Y29" s="28" t="n">
        <x:v>1</x:v>
      </x:c>
      <x:c r="Z29" s="28" t="n">
        <x:v>0.552846</x:v>
      </x:c>
      <x:c r="AA29" s="28" t="str">
        <x:v>Medium</x:v>
      </x:c>
      <x:c r="AB29" s="28" t="str">
        <x:v>Pass</x:v>
      </x:c>
      <x:c r="AC29" s="28" t="str">
        <x:v>Pending human review</x:v>
      </x:c>
      <x:c r="AD29" s="28" t="str"/>
      <x:c r="AE29" s="28" t="n">
        <x:v>46238.87231481481</x:v>
      </x:c>
    </x:row>
    <x:row r="30" ht="60" customHeight="1">
      <x:c r="A30" s="28" t="str">
        <x:v>ANC-CAM-026-01</x:v>
      </x:c>
      <x:c r="B30" s="28" t="str">
        <x:v>CAM-026</x:v>
      </x:c>
      <x:c r="C30" s="28" t="str">
        <x:v>DOC-CAM-WC-2026</x:v>
      </x:c>
      <x:c r="D30" s="28" t="str">
        <x:v>Primary Evidence</x:v>
      </x:c>
      <x:c r="E30" s="28" t="str">
        <x:v>Text Span</x:v>
      </x:c>
      <x:c r="F30" s="28" t="str"/>
      <x:c r="G30" s="28" t="str">
        <x:v>PDF p. 10, Table 3</x:v>
      </x:c>
      <x:c r="H30" s="28" t="n">
        <x:v>10</x:v>
      </x:c>
      <x:c r="I30" s="28" t="n">
        <x:v>10</x:v>
      </x:c>
      <x:c r="J30" s="28" t="n">
        <x:v>10</x:v>
      </x:c>
      <x:c r="K30" s="28" t="str">
        <x:v>10</x:v>
      </x:c>
      <x:c r="L30" s="28" t="str">
        <x:v>Activity roadmap</x:v>
      </x:c>
      <x:c r="M30" s="28" t="str">
        <x:v>Establish fecal sludge management framework</x:v>
      </x:c>
      <x:c r="N30" s="28" t="str">
        <x:v>establish fecal sludge management framework</x:v>
      </x:c>
      <x:c r="O30" s="28" t="str">
        <x:v>9a6f417575fd8ed4fc05713cb2308c62d1bb32156b27aed98786b64d9845ecfd</x:v>
      </x:c>
      <x:c r="P30" s="28" t="str"/>
      <x:c r="Q30" s="28" t="str"/>
      <x:c r="R30" s="28" t="str">
        <x:v>[[443,465],[484,504]]</x:v>
      </x:c>
      <x:c r="S30" s="28" t="str">
        <x:v>Fuzzy spatial line-cluster match</x:v>
      </x:c>
      <x:c r="T30" s="28" t="str">
        <x:v>Original Compact Text</x:v>
      </x:c>
      <x:c r="U30" s="28" t="str">
        <x:v>Establish fecal-sludge management framework</x:v>
      </x:c>
      <x:c r="V30" s="28" t="n">
        <x:v>0.742611</x:v>
      </x:c>
      <x:c r="W30" s="28" t="n">
        <x:v>0.693111</x:v>
      </x:c>
      <x:c r="X30" s="28" t="n">
        <x:v>0.751131</x:v>
      </x:c>
      <x:c r="Y30" s="28" t="n">
        <x:v>0.643411</x:v>
      </x:c>
      <x:c r="Z30" s="28" t="n">
        <x:v>0.988235</x:v>
      </x:c>
      <x:c r="AA30" s="28" t="str">
        <x:v>Medium</x:v>
      </x:c>
      <x:c r="AB30" s="28" t="str">
        <x:v>Pass</x:v>
      </x:c>
      <x:c r="AC30" s="28" t="str">
        <x:v>Pending human review</x:v>
      </x:c>
      <x:c r="AD30" s="28" t="str"/>
      <x:c r="AE30" s="28" t="n">
        <x:v>46238.87231481481</x:v>
      </x:c>
    </x:row>
    <x:row r="31" ht="60" customHeight="1">
      <x:c r="A31" s="28" t="str">
        <x:v>ANC-CAM-027-01</x:v>
      </x:c>
      <x:c r="B31" s="28" t="str">
        <x:v>CAM-027</x:v>
      </x:c>
      <x:c r="C31" s="28" t="str">
        <x:v>DOC-CAM-WC-2026</x:v>
      </x:c>
      <x:c r="D31" s="28" t="str">
        <x:v>Primary Evidence</x:v>
      </x:c>
      <x:c r="E31" s="28" t="str">
        <x:v>Text Span</x:v>
      </x:c>
      <x:c r="F31" s="28" t="str"/>
      <x:c r="G31" s="28" t="str">
        <x:v>PDF p. 10, Table 3</x:v>
      </x:c>
      <x:c r="H31" s="28" t="n">
        <x:v>10</x:v>
      </x:c>
      <x:c r="I31" s="28" t="n">
        <x:v>10</x:v>
      </x:c>
      <x:c r="J31" s="28" t="n">
        <x:v>10</x:v>
      </x:c>
      <x:c r="K31" s="28" t="str">
        <x:v>10</x:v>
      </x:c>
      <x:c r="L31" s="28" t="str">
        <x:v>Activity roadmap</x:v>
      </x:c>
      <x:c r="M31" s="28" t="str">
        <x:v>2029 - 2030 Strengthening policy, - Establish water supply - Strengthen regulatory institution and regulator [MISTI] enforcement in water supply regulations in water - Develop new water supply [MISTI] supply and sanitation law [MISTI] - Strengthen provincial - Update national policy for institutional framework for Water Supply and Sanitation wastewater through setting up [MISTI, MPWT, MRD] utilities /corporatized - Establish fecal sludge structures [MPWT] management framework [MPWT] - Develop a ten-year national urban/sub-urban sanitation strategy</x:v>
      </x:c>
      <x:c r="N31" s="28" t="str">
        <x:v>2029 2030 strengthen policy establish water supply strengthen regulatory institution and regulator misti enforcement in water supply regulation in water develop new water supply misti supply and sanitation law misti strengthen provincial update national policy for institutional framework for water supply and sanitation wastewater through sett up misti mpwt mrd utility corporatiz establish fecal sludge structure mpwt management framework mpwt develop a tenyear national urbansuburban sanitation strategy</x:v>
      </x:c>
      <x:c r="O31" s="28" t="str">
        <x:v>50a3aa2dcca85a9c3714fddd7605cae41927820f46a47afbaa4e662c6b26b7d3</x:v>
      </x:c>
      <x:c r="P31" s="28" t="str"/>
      <x:c r="Q31" s="28" t="str"/>
      <x:c r="R31" s="28" t="str">
        <x:v>[[24,35],[36,57],[58,59],[60,82],[83,84],[85,106],[107,122],[123,140],[141,168],[169,189],[190,191],[192,216],[217,224],[225,246],[247,258],[259,260],[261,282],[283,284],[285,311],[312,339],[340,367],[368,397],[398,416],[417,440],[441,442],[443,465],[466,483],[484,504],[505,511],[512,513],[514,541],[542,568],[569,577]]</x:v>
      </x:c>
      <x:c r="S31" s="28" t="str">
        <x:v>Fuzzy token-window match</x:v>
      </x:c>
      <x:c r="T31" s="28" t="str">
        <x:v>Original Compact Text</x:v>
      </x:c>
      <x:c r="U31" s="28" t="str">
        <x:v>Ten-year urban sanitation strategy</x:v>
      </x:c>
      <x:c r="V31" s="28" t="n">
        <x:v>0.832096</x:v>
      </x:c>
      <x:c r="W31" s="28" t="n">
        <x:v>0.845227</x:v>
      </x:c>
      <x:c r="X31" s="28" t="n">
        <x:v>0.892368</x:v>
      </x:c>
      <x:c r="Y31" s="28" t="n">
        <x:v>0.802817</x:v>
      </x:c>
      <x:c r="Z31" s="28" t="n">
        <x:v>0.795181</x:v>
      </x:c>
      <x:c r="AA31" s="28" t="str">
        <x:v>High</x:v>
      </x:c>
      <x:c r="AB31" s="28" t="str">
        <x:v>Pass</x:v>
      </x:c>
      <x:c r="AC31" s="28" t="str">
        <x:v>Pending human review</x:v>
      </x:c>
      <x:c r="AD31" s="28" t="str"/>
      <x:c r="AE31" s="28" t="n">
        <x:v>46238.87231481481</x:v>
      </x:c>
    </x:row>
    <x:row r="32" ht="60" customHeight="1">
      <x:c r="A32" s="28" t="str">
        <x:v>ANC-CAM-028-01</x:v>
      </x:c>
      <x:c r="B32" s="28" t="str">
        <x:v>CAM-028</x:v>
      </x:c>
      <x:c r="C32" s="28" t="str">
        <x:v>DOC-CAM-WC-2026</x:v>
      </x:c>
      <x:c r="D32" s="28" t="str">
        <x:v>Primary Evidence</x:v>
      </x:c>
      <x:c r="E32" s="28" t="str">
        <x:v>Text Span</x:v>
      </x:c>
      <x:c r="F32" s="28" t="str"/>
      <x:c r="G32" s="28" t="str">
        <x:v>PDF p. 10, Table 3</x:v>
      </x:c>
      <x:c r="H32" s="28" t="n">
        <x:v>10</x:v>
      </x:c>
      <x:c r="I32" s="28" t="n">
        <x:v>10</x:v>
      </x:c>
      <x:c r="J32" s="28" t="n">
        <x:v>10</x:v>
      </x:c>
      <x:c r="K32" s="28" t="str">
        <x:v>10</x:v>
      </x:c>
      <x:c r="L32" s="28" t="str">
        <x:v>Activity roadmap</x:v>
      </x:c>
      <x:c r="M32" s="28" t="str">
        <x:v>Strengthen provincial institutional framework for wastewater through setting up utilities /corporatized structures [MPWT]</x:v>
      </x:c>
      <x:c r="N32" s="28" t="str">
        <x:v>strengthen provincial institutional framework for wastewater through sett up utility corporatiz structure mpwt</x:v>
      </x:c>
      <x:c r="O32" s="28" t="str">
        <x:v>5d3937524dbd9e06a8743ff40260c4a818c0534f26612f254f392363825bf054</x:v>
      </x:c>
      <x:c r="P32" s="28" t="str"/>
      <x:c r="Q32" s="28" t="str"/>
      <x:c r="R32" s="28" t="str">
        <x:v>[[261,282],[312,339],[368,397],[417,440],[466,483]]</x:v>
      </x:c>
      <x:c r="S32" s="28" t="str">
        <x:v>Fuzzy spatial line-cluster match</x:v>
      </x:c>
      <x:c r="T32" s="28" t="str">
        <x:v>Standardized Candidate</x:v>
      </x:c>
      <x:c r="U32" s="28" t="str">
        <x:v>Establish provincial wastewater utilities or corporatized structures</x:v>
      </x:c>
      <x:c r="V32" s="28" t="n">
        <x:v>0.834046</x:v>
      </x:c>
      <x:c r="W32" s="28" t="n">
        <x:v>0.880694</x:v>
      </x:c>
      <x:c r="X32" s="28" t="n">
        <x:v>0.786822</x:v>
      </x:c>
      <x:c r="Y32" s="28" t="n">
        <x:v>1</x:v>
      </x:c>
      <x:c r="Z32" s="28" t="n">
        <x:v>0.624277</x:v>
      </x:c>
      <x:c r="AA32" s="28" t="str">
        <x:v>High</x:v>
      </x:c>
      <x:c r="AB32" s="28" t="str">
        <x:v>Pass</x:v>
      </x:c>
      <x:c r="AC32" s="28" t="str">
        <x:v>Pending human review</x:v>
      </x:c>
      <x:c r="AD32" s="28" t="str"/>
      <x:c r="AE32" s="28" t="n">
        <x:v>46238.87231481481</x:v>
      </x:c>
    </x:row>
    <x:row r="33" ht="60" customHeight="1">
      <x:c r="A33" s="28" t="str">
        <x:v>ANC-CAM-029-01</x:v>
      </x:c>
      <x:c r="B33" s="28" t="str">
        <x:v>CAM-029</x:v>
      </x:c>
      <x:c r="C33" s="28" t="str">
        <x:v>DOC-CAM-WC-2026</x:v>
      </x:c>
      <x:c r="D33" s="28" t="str">
        <x:v>Primary Evidence</x:v>
      </x:c>
      <x:c r="E33" s="28" t="str">
        <x:v>Text Span</x:v>
      </x:c>
      <x:c r="F33" s="28" t="str"/>
      <x:c r="G33" s="28" t="str">
        <x:v>PDF p. 10, Table 3</x:v>
      </x:c>
      <x:c r="H33" s="28" t="n">
        <x:v>10</x:v>
      </x:c>
      <x:c r="I33" s="28" t="n">
        <x:v>10</x:v>
      </x:c>
      <x:c r="J33" s="28" t="n">
        <x:v>10</x:v>
      </x:c>
      <x:c r="K33" s="28" t="str">
        <x:v>10</x:v>
      </x:c>
      <x:c r="L33" s="28" t="str">
        <x:v>Activity roadmap</x:v>
      </x:c>
      <x:c r="M33" s="28" t="str">
        <x:v>Develop performance monitoring and benchmarking for wastewater service [MPWT]</x:v>
      </x:c>
      <x:c r="N33" s="28" t="str">
        <x:v>develop performance monitor and benchmark for wastewater service mpwt</x:v>
      </x:c>
      <x:c r="O33" s="28" t="str">
        <x:v>1186ff75818c3f14e66e54e752eaf1e6e6ebe3bd116f03e449f3ab301fdd3ceb</x:v>
      </x:c>
      <x:c r="P33" s="28" t="str"/>
      <x:c r="Q33" s="28" t="str"/>
      <x:c r="R33" s="28" t="str">
        <x:v>[[1109,1128],[1129,1143],[1144,1160],[1161,1186]]</x:v>
      </x:c>
      <x:c r="S33" s="28" t="str">
        <x:v>Exact spatial line-cluster phrase</x:v>
      </x:c>
      <x:c r="T33" s="28" t="str">
        <x:v>Verified PDF locator hint</x:v>
      </x:c>
      <x:c r="U33" s="28" t="str">
        <x:v>Develop performance monitoring and benchmarking for wastewater service</x:v>
      </x:c>
      <x:c r="V33" s="28" t="n">
        <x:v>0.999</x:v>
      </x:c>
      <x:c r="W33" s="28" t="n">
        <x:v>0.966278</x:v>
      </x:c>
      <x:c r="X33" s="28" t="n">
        <x:v>0.934757</x:v>
      </x:c>
      <x:c r="Y33" s="28" t="n">
        <x:v>1</x:v>
      </x:c>
      <x:c r="Z33" s="28" t="n">
        <x:v>0.962406</x:v>
      </x:c>
      <x:c r="AA33" s="28" t="str">
        <x:v>High</x:v>
      </x:c>
      <x:c r="AB33" s="28" t="str">
        <x:v>Pass</x:v>
      </x:c>
      <x:c r="AC33" s="28" t="str">
        <x:v>Pending human review</x:v>
      </x:c>
      <x:c r="AD33" s="28" t="str"/>
      <x:c r="AE33" s="28" t="n">
        <x:v>46238.87231481481</x:v>
      </x:c>
    </x:row>
    <x:row r="34" ht="60" customHeight="1">
      <x:c r="A34" s="28" t="str">
        <x:v>ANC-CAM-030-01</x:v>
      </x:c>
      <x:c r="B34" s="28" t="str">
        <x:v>CAM-030</x:v>
      </x:c>
      <x:c r="C34" s="28" t="str">
        <x:v>DOC-CAM-WC-2026</x:v>
      </x:c>
      <x:c r="D34" s="28" t="str">
        <x:v>Primary Evidence</x:v>
      </x:c>
      <x:c r="E34" s="28" t="str">
        <x:v>Text Span</x:v>
      </x:c>
      <x:c r="F34" s="28" t="str"/>
      <x:c r="G34" s="28" t="str">
        <x:v>PDF p. 10, Table 3</x:v>
      </x:c>
      <x:c r="H34" s="28" t="n">
        <x:v>10</x:v>
      </x:c>
      <x:c r="I34" s="28" t="n">
        <x:v>10</x:v>
      </x:c>
      <x:c r="J34" s="28" t="n">
        <x:v>10</x:v>
      </x:c>
      <x:c r="K34" s="28" t="str">
        <x:v>10</x:v>
      </x:c>
      <x:c r="L34" s="28" t="str">
        <x:v>Activity roadmap</x:v>
      </x:c>
      <x:c r="M34" s="28" t="str">
        <x:v>approaches for large, medium and small urban centers [MPWT] Strengthening - Develop digital water supply - Implement aggregation of operational performance monitoring system [MISTI] water supply service providers of service providers [MISTI] - Study the establishment of Cambodian National Water - Strengthen monitoring utility [MISTI] performance of water and - Assess the feasibility of sanitation service providers aggregation and bulk water through digital platform [MISTI, [MISTI] MPWT] - Develop performance monitoring and benchmarking for wastewater</x:v>
      </x:c>
      <x:c r="N34" s="28" t="str">
        <x:v>approache for large medium and small urban center mpwt strengthen develop digital water supply implement aggregation of operational performance monitor system misti water supply service provider of service provider misti study the establishment of cambodian national water strengthen monitor utility misti performance of water and assess the feasibility of sanitation service provider aggregation and bulk water through digital platform misti misti mpwt develop performance monitor and benchmark for wastewater</x:v>
      </x:c>
      <x:c r="O34" s="28" t="str">
        <x:v>9a1e64c974fbc009db592ed0961496bbc05a85a95de2d7b1bd1c5560634d5f80</x:v>
      </x:c>
      <x:c r="P34" s="28" t="str"/>
      <x:c r="Q34" s="28" t="str"/>
      <x:c r="R34" s="28" t="str">
        <x:v>[[615,636],[637,659],[660,674],[675,688],[689,690],[691,719],[720,721],[722,746],[747,770],[771,796],[797,827],[828,848],[878,885],[849,850],[851,877],[886,910],[911,912],[913,934],[935,950],[951,975],[976,977],[978,1003],[1004,1032],[1033,1059],[1060,1092],[1093,1100],[1101,1106],[1107,1108],[1109,1128],[1129,1143],[1144,1160],[1161,1171]]</x:v>
      </x:c>
      <x:c r="S34" s="28" t="str">
        <x:v>Fuzzy token-window match</x:v>
      </x:c>
      <x:c r="T34" s="28" t="str">
        <x:v>Standardized Candidate</x:v>
      </x:c>
      <x:c r="U34" s="28" t="str">
        <x:v>Establish wastewater performance monitoring and benchmarking</x:v>
      </x:c>
      <x:c r="V34" s="28" t="n">
        <x:v>0.929603</x:v>
      </x:c>
      <x:c r="W34" s="28" t="n">
        <x:v>1</x:v>
      </x:c>
      <x:c r="X34" s="28" t="n">
        <x:v>1</x:v>
      </x:c>
      <x:c r="Y34" s="28" t="n">
        <x:v>1</x:v>
      </x:c>
      <x:c r="Z34" s="28" t="n">
        <x:v>0.647059</x:v>
      </x:c>
      <x:c r="AA34" s="28" t="str">
        <x:v>High</x:v>
      </x:c>
      <x:c r="AB34" s="28" t="str">
        <x:v>Pass</x:v>
      </x:c>
      <x:c r="AC34" s="28" t="str">
        <x:v>Pending human review</x:v>
      </x:c>
      <x:c r="AD34" s="28" t="str"/>
      <x:c r="AE34" s="28" t="n">
        <x:v>46238.87231481481</x:v>
      </x:c>
    </x:row>
    <x:row r="35" ht="60" customHeight="1">
      <x:c r="A35" s="28" t="str">
        <x:v>ANC-CAM-031-01</x:v>
      </x:c>
      <x:c r="B35" s="28" t="str">
        <x:v>CAM-031</x:v>
      </x:c>
      <x:c r="C35" s="28" t="str">
        <x:v>DOC-CAM-WC-2026</x:v>
      </x:c>
      <x:c r="D35" s="28" t="str">
        <x:v>Primary Evidence</x:v>
      </x:c>
      <x:c r="E35" s="28" t="str">
        <x:v>Text Span</x:v>
      </x:c>
      <x:c r="F35" s="28" t="str"/>
      <x:c r="G35" s="28" t="str">
        <x:v>PDF p. 10, Table 3</x:v>
      </x:c>
      <x:c r="H35" s="28" t="n">
        <x:v>10</x:v>
      </x:c>
      <x:c r="I35" s="28" t="n">
        <x:v>10</x:v>
      </x:c>
      <x:c r="J35" s="28" t="n">
        <x:v>10</x:v>
      </x:c>
      <x:c r="K35" s="28" t="str">
        <x:v>10</x:v>
      </x:c>
      <x:c r="L35" s="28" t="str">
        <x:v>Activity roadmap</x:v>
      </x:c>
      <x:c r="M35" s="28" t="str">
        <x:v>Implement aggregation of water supply service providers</x:v>
      </x:c>
      <x:c r="N35" s="28" t="str">
        <x:v>implement aggregation of water supply service provider</x:v>
      </x:c>
      <x:c r="O35" s="28" t="str">
        <x:v>4c98b994de990890666d718689415cc520305e1eba0869636f5262874da96266</x:v>
      </x:c>
      <x:c r="P35" s="28" t="str"/>
      <x:c r="Q35" s="28" t="str"/>
      <x:c r="R35" s="28" t="str">
        <x:v>[[722,746],[797,827]]</x:v>
      </x:c>
      <x:c r="S35" s="28" t="str">
        <x:v>Fuzzy spatial line-cluster match</x:v>
      </x:c>
      <x:c r="T35" s="28" t="str">
        <x:v>Standardized Candidate</x:v>
      </x:c>
      <x:c r="U35" s="28" t="str">
        <x:v>Implement aggregation of water-supply service providers</x:v>
      </x:c>
      <x:c r="V35" s="28" t="n">
        <x:v>0.779681</x:v>
      </x:c>
      <x:c r="W35" s="28" t="n">
        <x:v>0.796596</x:v>
      </x:c>
      <x:c r="X35" s="28" t="n">
        <x:v>0.894837</x:v>
      </x:c>
      <x:c r="Y35" s="28" t="n">
        <x:v>0.717791</x:v>
      </x:c>
      <x:c r="Z35" s="28" t="n">
        <x:v>0.990654</x:v>
      </x:c>
      <x:c r="AA35" s="28" t="str">
        <x:v>High</x:v>
      </x:c>
      <x:c r="AB35" s="28" t="str">
        <x:v>Pass</x:v>
      </x:c>
      <x:c r="AC35" s="28" t="str">
        <x:v>Pending human review</x:v>
      </x:c>
      <x:c r="AD35" s="28" t="str"/>
      <x:c r="AE35" s="28" t="n">
        <x:v>46238.87231481481</x:v>
      </x:c>
    </x:row>
    <x:row r="36" ht="60" customHeight="1">
      <x:c r="A36" s="28" t="str">
        <x:v>ANC-CAM-032-01</x:v>
      </x:c>
      <x:c r="B36" s="28" t="str">
        <x:v>CAM-032</x:v>
      </x:c>
      <x:c r="C36" s="28" t="str">
        <x:v>DOC-CAM-WC-2026</x:v>
      </x:c>
      <x:c r="D36" s="28" t="str">
        <x:v>Duplicate/Sub-action Evidence</x:v>
      </x:c>
      <x:c r="E36" s="28" t="str">
        <x:v>Text Span</x:v>
      </x:c>
      <x:c r="F36" s="28" t="str"/>
      <x:c r="G36" s="28" t="str">
        <x:v>PDF p. 10, Table 3</x:v>
      </x:c>
      <x:c r="H36" s="28" t="n">
        <x:v>10</x:v>
      </x:c>
      <x:c r="I36" s="28" t="n">
        <x:v>10</x:v>
      </x:c>
      <x:c r="J36" s="28" t="n">
        <x:v>10</x:v>
      </x:c>
      <x:c r="K36" s="28" t="str">
        <x:v>10</x:v>
      </x:c>
      <x:c r="L36" s="28" t="str">
        <x:v>Activity roadmap</x:v>
      </x:c>
      <x:c r="M36" s="28" t="str">
        <x:v>Strengthen monitoring performance of water and sanitation service providers through digital platform [MISTI,</x:v>
      </x:c>
      <x:c r="N36" s="28" t="str">
        <x:v>strengthen monitor performance of water and sanitation service provider through digital platform misti</x:v>
      </x:c>
      <x:c r="O36" s="28" t="str">
        <x:v>f70d00fdc0568ca8759033ce30bb14626449d63ba8e2f694390ff695cf9d1ece</x:v>
      </x:c>
      <x:c r="P36" s="28" t="str"/>
      <x:c r="Q36" s="28" t="str"/>
      <x:c r="R36" s="28" t="str">
        <x:v>[[913,934],[951,975],[1004,1032],[1060,1092]]</x:v>
      </x:c>
      <x:c r="S36" s="28" t="str">
        <x:v>Fuzzy spatial line-cluster match</x:v>
      </x:c>
      <x:c r="T36" s="28" t="str">
        <x:v>Original Compact Text</x:v>
      </x:c>
      <x:c r="U36" s="28" t="str">
        <x:v>Digital platform for provider monitoring</x:v>
      </x:c>
      <x:c r="V36" s="28" t="n">
        <x:v>0.783173</x:v>
      </x:c>
      <x:c r="W36" s="28" t="n">
        <x:v>0.837758</x:v>
      </x:c>
      <x:c r="X36" s="28" t="n">
        <x:v>0.720812</x:v>
      </x:c>
      <x:c r="Y36" s="28" t="n">
        <x:v>1</x:v>
      </x:c>
      <x:c r="Z36" s="28" t="n">
        <x:v>0.273381</x:v>
      </x:c>
      <x:c r="AA36" s="28" t="str">
        <x:v>High</x:v>
      </x:c>
      <x:c r="AB36" s="28" t="str">
        <x:v>Pass</x:v>
      </x:c>
      <x:c r="AC36" s="28" t="str">
        <x:v>Pending human review</x:v>
      </x:c>
      <x:c r="AD36" s="28" t="str"/>
      <x:c r="AE36" s="28" t="n">
        <x:v>46238.87231481481</x:v>
      </x:c>
    </x:row>
    <x:row r="37" ht="60" customHeight="1">
      <x:c r="A37" s="28" t="str">
        <x:v>ANC-CAM-033-01</x:v>
      </x:c>
      <x:c r="B37" s="28" t="str">
        <x:v>CAM-033</x:v>
      </x:c>
      <x:c r="C37" s="28" t="str">
        <x:v>DOC-CAM-WC-2026</x:v>
      </x:c>
      <x:c r="D37" s="28" t="str">
        <x:v>Primary Evidence</x:v>
      </x:c>
      <x:c r="E37" s="28" t="str">
        <x:v>Text Span</x:v>
      </x:c>
      <x:c r="F37" s="28" t="str"/>
      <x:c r="G37" s="28" t="str">
        <x:v>PDF p. 10, Table 3</x:v>
      </x:c>
      <x:c r="H37" s="28" t="n">
        <x:v>10</x:v>
      </x:c>
      <x:c r="I37" s="28" t="n">
        <x:v>10</x:v>
      </x:c>
      <x:c r="J37" s="28" t="n">
        <x:v>10</x:v>
      </x:c>
      <x:c r="K37" s="28" t="str">
        <x:v>10</x:v>
      </x:c>
      <x:c r="L37" s="28" t="str">
        <x:v>Activity roadmap</x:v>
      </x:c>
      <x:c r="M37" s="28" t="str">
        <x:v>Improve creditworthiness of water utilities [MISTI]</x:v>
      </x:c>
      <x:c r="N37" s="28" t="str">
        <x:v>improve creditworthiness of water utility misti</x:v>
      </x:c>
      <x:c r="O37" s="28" t="str">
        <x:v>13745f35e7e9eca058426fa05157792d67f4cd4f5d90f36546ef82d6b314fd91</x:v>
      </x:c>
      <x:c r="P37" s="28" t="str"/>
      <x:c r="Q37" s="28" t="str"/>
      <x:c r="R37" s="28" t="str">
        <x:v>[[1431,1458],[1486,1509]]</x:v>
      </x:c>
      <x:c r="S37" s="28" t="str">
        <x:v>Fuzzy spatial line-cluster match</x:v>
      </x:c>
      <x:c r="T37" s="28" t="str">
        <x:v>Standardized Candidate</x:v>
      </x:c>
      <x:c r="U37" s="28" t="str">
        <x:v>Improve the creditworthiness of water utilities</x:v>
      </x:c>
      <x:c r="V37" s="28" t="n">
        <x:v>0.929936</x:v>
      </x:c>
      <x:c r="W37" s="28" t="n">
        <x:v>0.932515</x:v>
      </x:c>
      <x:c r="X37" s="28" t="n">
        <x:v>0.873563</x:v>
      </x:c>
      <x:c r="Y37" s="28" t="n">
        <x:v>1</x:v>
      </x:c>
      <x:c r="Z37" s="28" t="n">
        <x:v>0.891304</x:v>
      </x:c>
      <x:c r="AA37" s="28" t="str">
        <x:v>High</x:v>
      </x:c>
      <x:c r="AB37" s="28" t="str">
        <x:v>Pass</x:v>
      </x:c>
      <x:c r="AC37" s="28" t="str">
        <x:v>Pending human review</x:v>
      </x:c>
      <x:c r="AD37" s="28" t="str"/>
      <x:c r="AE37" s="28" t="n">
        <x:v>46238.87231481481</x:v>
      </x:c>
    </x:row>
    <x:row r="38" ht="60" customHeight="1">
      <x:c r="A38" s="28" t="str">
        <x:v>ANC-CAM-034-01</x:v>
      </x:c>
      <x:c r="B38" s="28" t="str">
        <x:v>CAM-034</x:v>
      </x:c>
      <x:c r="C38" s="28" t="str">
        <x:v>DOC-CAM-WC-2026</x:v>
      </x:c>
      <x:c r="D38" s="28" t="str">
        <x:v>Primary Evidence</x:v>
      </x:c>
      <x:c r="E38" s="28" t="str">
        <x:v>Text Span</x:v>
      </x:c>
      <x:c r="F38" s="28" t="str"/>
      <x:c r="G38" s="28" t="str">
        <x:v>PDF pp. 10–11, Table 3</x:v>
      </x:c>
      <x:c r="H38" s="28" t="n">
        <x:v>10</x:v>
      </x:c>
      <x:c r="I38" s="28" t="n">
        <x:v>11</x:v>
      </x:c>
      <x:c r="J38" s="28" t="n">
        <x:v>10</x:v>
      </x:c>
      <x:c r="K38" s="28" t="str">
        <x:v>10</x:v>
      </x:c>
      <x:c r="L38" s="28" t="str">
        <x:v>Activity roadmap</x:v>
      </x:c>
      <x:c r="M38" s="28" t="str">
        <x:v>Implement credit enhancements for water supply through credit guarantee facility with Credit Guarantee Corporation of</x:v>
      </x:c>
      <x:c r="N38" s="28" t="str">
        <x:v>implement credit enhancement for water supply through credit guarantee facility with credit guarantee corporation of</x:v>
      </x:c>
      <x:c r="O38" s="28" t="str">
        <x:v>78dbd3af1270a5e0225917851e61395907da82dd0c4de1509df23e12bd257735</x:v>
      </x:c>
      <x:c r="P38" s="28" t="str"/>
      <x:c r="Q38" s="28" t="str"/>
      <x:c r="R38" s="28" t="str">
        <x:v>[[1725,1741],[1771,1793],[1810,1831],[1861,1891],[1915,1939]]</x:v>
      </x:c>
      <x:c r="S38" s="28" t="str">
        <x:v>Fuzzy spatial line-cluster match</x:v>
      </x:c>
      <x:c r="T38" s="28" t="str">
        <x:v>Verified PDF locator hint</x:v>
      </x:c>
      <x:c r="U38" s="28" t="str">
        <x:v>Implement credit enhancements for water supply through credit guarantee facility with Credit Guarantee Corporation of Cambodia</x:v>
      </x:c>
      <x:c r="V38" s="28" t="n">
        <x:v>0.977616</x:v>
      </x:c>
      <x:c r="W38" s="28" t="n">
        <x:v>0.947368</x:v>
      </x:c>
      <x:c r="X38" s="28" t="n">
        <x:v>1</x:v>
      </x:c>
      <x:c r="Y38" s="28" t="n">
        <x:v>0.9</x:v>
      </x:c>
      <x:c r="Z38" s="28" t="n">
        <x:v>0.962656</x:v>
      </x:c>
      <x:c r="AA38" s="28" t="str">
        <x:v>High</x:v>
      </x:c>
      <x:c r="AB38" s="28" t="str">
        <x:v>Pass</x:v>
      </x:c>
      <x:c r="AC38" s="28" t="str">
        <x:v>Pending human review</x:v>
      </x:c>
      <x:c r="AD38" s="28" t="str"/>
      <x:c r="AE38" s="28" t="n">
        <x:v>46238.87231481481</x:v>
      </x:c>
    </x:row>
    <x:row r="39" ht="60" customHeight="1">
      <x:c r="A39" s="28" t="str">
        <x:v>ANC-CAM-035-01</x:v>
      </x:c>
      <x:c r="B39" s="28" t="str">
        <x:v>CAM-035</x:v>
      </x:c>
      <x:c r="C39" s="28" t="str">
        <x:v>DOC-CAM-WC-2026</x:v>
      </x:c>
      <x:c r="D39" s="28" t="str">
        <x:v>Primary Evidence</x:v>
      </x:c>
      <x:c r="E39" s="28" t="str">
        <x:v>Text Span</x:v>
      </x:c>
      <x:c r="F39" s="28" t="str"/>
      <x:c r="G39" s="28" t="str">
        <x:v>PDF p. 10, Table 3</x:v>
      </x:c>
      <x:c r="H39" s="28" t="n">
        <x:v>10</x:v>
      </x:c>
      <x:c r="I39" s="28" t="n">
        <x:v>10</x:v>
      </x:c>
      <x:c r="J39" s="28" t="n">
        <x:v>10</x:v>
      </x:c>
      <x:c r="K39" s="28" t="str">
        <x:v>10</x:v>
      </x:c>
      <x:c r="L39" s="28" t="str">
        <x:v>Activity roadmap</x:v>
      </x:c>
      <x:c r="M39" s="28" t="str">
        <x:v>Pilot Non-Revenue Water Performance Based Contract</x:v>
      </x:c>
      <x:c r="N39" s="28" t="str">
        <x:v>pilot nonrevenue water performance bas contract</x:v>
      </x:c>
      <x:c r="O39" s="28" t="str">
        <x:v>e00981bc999eee9daa3910dfce33344ed0e0e40783ec98089b96d5501514c399</x:v>
      </x:c>
      <x:c r="P39" s="28" t="str"/>
      <x:c r="Q39" s="28" t="str"/>
      <x:c r="R39" s="28" t="str">
        <x:v>[[1405,1428],[1459,1485]]</x:v>
      </x:c>
      <x:c r="S39" s="28" t="str">
        <x:v>Fuzzy spatial line-cluster match</x:v>
      </x:c>
      <x:c r="T39" s="28" t="str">
        <x:v>Standardized Candidate</x:v>
      </x:c>
      <x:c r="U39" s="28" t="str">
        <x:v>Pilot a non-revenue-water performance-based contract</x:v>
      </x:c>
      <x:c r="V39" s="28" t="n">
        <x:v>0.523229</x:v>
      </x:c>
      <x:c r="W39" s="28" t="n">
        <x:v>0.457344</x:v>
      </x:c>
      <x:c r="X39" s="28" t="n">
        <x:v>0.611765</x:v>
      </x:c>
      <x:c r="Y39" s="28" t="n">
        <x:v>0.365169</x:v>
      </x:c>
      <x:c r="Z39" s="28" t="n">
        <x:v>0.957447</x:v>
      </x:c>
      <x:c r="AA39" s="28" t="str">
        <x:v>Low</x:v>
      </x:c>
      <x:c r="AB39" s="28" t="str">
        <x:v>Needs targeted review</x:v>
      </x:c>
      <x:c r="AC39" s="28" t="str">
        <x:v>Pending human review</x:v>
      </x:c>
      <x:c r="AD39" s="28" t="str"/>
      <x:c r="AE39" s="28" t="n">
        <x:v>46238.87231481481</x:v>
      </x:c>
    </x:row>
    <x:row r="40" ht="60" customHeight="1">
      <x:c r="A40" s="28" t="str">
        <x:v>ANC-CAM-036-01</x:v>
      </x:c>
      <x:c r="B40" s="28" t="str">
        <x:v>CAM-036</x:v>
      </x:c>
      <x:c r="C40" s="28" t="str">
        <x:v>DOC-CAM-WC-2026</x:v>
      </x:c>
      <x:c r="D40" s="28" t="str">
        <x:v>Primary Evidence</x:v>
      </x:c>
      <x:c r="E40" s="28" t="str">
        <x:v>Text Span</x:v>
      </x:c>
      <x:c r="F40" s="28" t="str"/>
      <x:c r="G40" s="28" t="str">
        <x:v>PDF p. 10, Table 3</x:v>
      </x:c>
      <x:c r="H40" s="28" t="n">
        <x:v>10</x:v>
      </x:c>
      <x:c r="I40" s="28" t="n">
        <x:v>10</x:v>
      </x:c>
      <x:c r="J40" s="28" t="n">
        <x:v>10</x:v>
      </x:c>
      <x:c r="K40" s="28" t="str">
        <x:v>10</x:v>
      </x:c>
      <x:c r="L40" s="28" t="str">
        <x:v>Activity roadmap</x:v>
      </x:c>
      <x:c r="M40" s="28" t="str">
        <x:v>Implement and scale up PPP for wastewater through Design-Build-Operate-Transfer (DBOT) and other models</x:v>
      </x:c>
      <x:c r="N40" s="28" t="str">
        <x:v>implement and scale up ppp for wastewater through designbuildoperatetransfer dbot and other model</x:v>
      </x:c>
      <x:c r="O40" s="28" t="str">
        <x:v>867e87283d7ac4cdf7a41616dc53a9ad2dc11b9070f306066f22eb78ea771a00</x:v>
      </x:c>
      <x:c r="P40" s="28" t="str"/>
      <x:c r="Q40" s="28" t="str"/>
      <x:c r="R40" s="28" t="str">
        <x:v>[[1834,1860],[1892,1914],[1940,1969],[1994,2017]]</x:v>
      </x:c>
      <x:c r="S40" s="28" t="str">
        <x:v>Fuzzy spatial line-cluster match</x:v>
      </x:c>
      <x:c r="T40" s="28" t="str">
        <x:v>Original Compact Text</x:v>
      </x:c>
      <x:c r="U40" s="28" t="str">
        <x:v>Wastewater DBOT and PPP models</x:v>
      </x:c>
      <x:c r="V40" s="28" t="n">
        <x:v>0.813871</x:v>
      </x:c>
      <x:c r="W40" s="28" t="n">
        <x:v>0.854369</x:v>
      </x:c>
      <x:c r="X40" s="28" t="n">
        <x:v>0.745763</x:v>
      </x:c>
      <x:c r="Y40" s="28" t="n">
        <x:v>1</x:v>
      </x:c>
      <x:c r="Z40" s="28" t="n">
        <x:v>0.412698</x:v>
      </x:c>
      <x:c r="AA40" s="28" t="str">
        <x:v>High</x:v>
      </x:c>
      <x:c r="AB40" s="28" t="str">
        <x:v>Pass</x:v>
      </x:c>
      <x:c r="AC40" s="28" t="str">
        <x:v>Pending human review</x:v>
      </x:c>
      <x:c r="AD40" s="28" t="str"/>
      <x:c r="AE40" s="28" t="n">
        <x:v>46238.87231481481</x:v>
      </x:c>
    </x:row>
    <x:row r="41" ht="60" customHeight="1">
      <x:c r="A41" s="28" t="str">
        <x:v>ANC-CAM-037-01</x:v>
      </x:c>
      <x:c r="B41" s="28" t="str">
        <x:v>CAM-037</x:v>
      </x:c>
      <x:c r="C41" s="28" t="str">
        <x:v>DOC-CAM-WC-2026</x:v>
      </x:c>
      <x:c r="D41" s="28" t="str">
        <x:v>Primary Evidence</x:v>
      </x:c>
      <x:c r="E41" s="28" t="str">
        <x:v>Text Span</x:v>
      </x:c>
      <x:c r="F41" s="28" t="str"/>
      <x:c r="G41" s="28" t="str">
        <x:v>PDF p. 11, Table 3</x:v>
      </x:c>
      <x:c r="H41" s="28" t="n">
        <x:v>11</x:v>
      </x:c>
      <x:c r="I41" s="28" t="n">
        <x:v>11</x:v>
      </x:c>
      <x:c r="J41" s="28" t="n">
        <x:v>11</x:v>
      </x:c>
      <x:c r="K41" s="28" t="str">
        <x:v>11</x:v>
      </x:c>
      <x:c r="L41" s="28" t="str">
        <x:v>Activity roadmap</x:v>
      </x:c>
      <x:c r="M41" s="28" t="str">
        <x:v>Pilot O&amp;M/management contract for municipal wastewater [MPWT]</x:v>
      </x:c>
      <x:c r="N41" s="28" t="str">
        <x:v>pilot o mmanagement contract for municipal wastewater mpwt</x:v>
      </x:c>
      <x:c r="O41" s="28" t="str">
        <x:v>af73a5da01a82dba8b0515c6ed1f69164bb220419ca96b1f627aec71a85adcb6</x:v>
      </x:c>
      <x:c r="P41" s="28" t="str"/>
      <x:c r="Q41" s="28" t="str"/>
      <x:c r="R41" s="28" t="str">
        <x:v>[[223,243],[244,266],[267,284]]</x:v>
      </x:c>
      <x:c r="S41" s="28" t="str">
        <x:v>Fuzzy spatial line-cluster match</x:v>
      </x:c>
      <x:c r="T41" s="28" t="str">
        <x:v>Standardized Candidate</x:v>
      </x:c>
      <x:c r="U41" s="28" t="str">
        <x:v>Pilot an O&amp;M or management contract for municipal wastewater</x:v>
      </x:c>
      <x:c r="V41" s="28" t="n">
        <x:v>0.776184</x:v>
      </x:c>
      <x:c r="W41" s="28" t="n">
        <x:v>0.80764</x:v>
      </x:c>
      <x:c r="X41" s="28" t="n">
        <x:v>0.843305</x:v>
      </x:c>
      <x:c r="Y41" s="28" t="n">
        <x:v>0.774869</x:v>
      </x:c>
      <x:c r="Z41" s="28" t="n">
        <x:v>0.888889</x:v>
      </x:c>
      <x:c r="AA41" s="28" t="str">
        <x:v>High</x:v>
      </x:c>
      <x:c r="AB41" s="28" t="str">
        <x:v>Pass</x:v>
      </x:c>
      <x:c r="AC41" s="28" t="str">
        <x:v>Pending human review</x:v>
      </x:c>
      <x:c r="AD41" s="28" t="str"/>
      <x:c r="AE41" s="28" t="n">
        <x:v>46238.87231481481</x:v>
      </x:c>
    </x:row>
    <x:row r="42" ht="60" customHeight="1">
      <x:c r="A42" s="28" t="str">
        <x:v>ANC-CAM-038-01</x:v>
      </x:c>
      <x:c r="B42" s="28" t="str">
        <x:v>CAM-038</x:v>
      </x:c>
      <x:c r="C42" s="28" t="str">
        <x:v>DOC-CAM-WC-2026</x:v>
      </x:c>
      <x:c r="D42" s="28" t="str">
        <x:v>Exclusion Evidence</x:v>
      </x:c>
      <x:c r="E42" s="28" t="str">
        <x:v>Text Span</x:v>
      </x:c>
      <x:c r="F42" s="28" t="str"/>
      <x:c r="G42" s="28" t="str">
        <x:v>PDF p. 11, Table 3</x:v>
      </x:c>
      <x:c r="H42" s="28" t="n">
        <x:v>11</x:v>
      </x:c>
      <x:c r="I42" s="28" t="n">
        <x:v>11</x:v>
      </x:c>
      <x:c r="J42" s="28" t="n">
        <x:v>11</x:v>
      </x:c>
      <x:c r="K42" s="28" t="str">
        <x:v>11</x:v>
      </x:c>
      <x:c r="L42" s="28" t="str">
        <x:v>Activity roadmap</x:v>
      </x:c>
      <x:c r="M42" s="28" t="str">
        <x:v>Develop irrigation inventory and profiles to map out all</x:v>
      </x:c>
      <x:c r="N42" s="28" t="str">
        <x:v>develop irrigation inventory and profile to map out all</x:v>
      </x:c>
      <x:c r="O42" s="28" t="str">
        <x:v>8a40747830270a8e7e35d0c2b4c0ac8417c2234658d229963645fec617fdb502</x:v>
      </x:c>
      <x:c r="P42" s="28" t="str"/>
      <x:c r="Q42" s="28" t="str"/>
      <x:c r="R42" s="28" t="str">
        <x:v>[[423,451],[492,519]]</x:v>
      </x:c>
      <x:c r="S42" s="28" t="str">
        <x:v>Exact spatial line-cluster phrase</x:v>
      </x:c>
      <x:c r="T42" s="28" t="str">
        <x:v>Original Compact Text</x:v>
      </x:c>
      <x:c r="U42" s="28" t="str">
        <x:v>Irrigation inventory and profiles</x:v>
      </x:c>
      <x:c r="V42" s="28" t="n">
        <x:v>0.999</x:v>
      </x:c>
      <x:c r="W42" s="28" t="n">
        <x:v>0.850136</x:v>
      </x:c>
      <x:c r="X42" s="28" t="n">
        <x:v>0.739336</x:v>
      </x:c>
      <x:c r="Y42" s="28" t="n">
        <x:v>1</x:v>
      </x:c>
      <x:c r="Z42" s="28" t="n">
        <x:v>0.735632</x:v>
      </x:c>
      <x:c r="AA42" s="28" t="str">
        <x:v>High</x:v>
      </x:c>
      <x:c r="AB42" s="28" t="str">
        <x:v>Pass</x:v>
      </x:c>
      <x:c r="AC42" s="28" t="str">
        <x:v>Pending human review</x:v>
      </x:c>
      <x:c r="AD42" s="28" t="str"/>
      <x:c r="AE42" s="28" t="n">
        <x:v>46238.87231481481</x:v>
      </x:c>
    </x:row>
    <x:row r="43" ht="60" customHeight="1">
      <x:c r="A43" s="28" t="str">
        <x:v>ANC-CAM-039-01</x:v>
      </x:c>
      <x:c r="B43" s="28" t="str">
        <x:v>CAM-039</x:v>
      </x:c>
      <x:c r="C43" s="28" t="str">
        <x:v>DOC-CAM-WC-2026</x:v>
      </x:c>
      <x:c r="D43" s="28" t="str">
        <x:v>Duplicate/Sub-action Evidence</x:v>
      </x:c>
      <x:c r="E43" s="28" t="str">
        <x:v>Text Span</x:v>
      </x:c>
      <x:c r="F43" s="28" t="str"/>
      <x:c r="G43" s="28" t="str">
        <x:v>PDF p. 11, Table 3</x:v>
      </x:c>
      <x:c r="H43" s="28" t="n">
        <x:v>11</x:v>
      </x:c>
      <x:c r="I43" s="28" t="n">
        <x:v>11</x:v>
      </x:c>
      <x:c r="J43" s="28" t="n">
        <x:v>11</x:v>
      </x:c>
      <x:c r="K43" s="28" t="str">
        <x:v>11</x:v>
      </x:c>
      <x:c r="L43" s="28" t="str">
        <x:v>Activity roadmap</x:v>
      </x:c>
      <x:c r="M43" s="28" t="str">
        <x:v>water storage [MOWRAM] infrastructures Preparing national - Develop a national irrigation - Update the National standard for design and Design, Operation, and Irrigation Design, construction of irrigation Maintenance Standard Operation, and schemes, and National Maintenance Guidelines - Develop National Irrigation standards for with AI-driven tools and Information and Monitoring performance monitoring data-informed approaches Systems of irrigation schemes across the full lifecycle of - Install early warning systems irrigation systems. in flood and drought prone</x:v>
      </x:c>
      <x:c r="N43" s="28" t="str">
        <x:v>water storage mowram infrastructure prepar national develop a national irrigation update the national standard for design and design operation and irrigation design construction of irrigation maintenance standard operation and scheme and national maintenance guideline develop national irrigation standard for with aidriven tool and information and monitor performance monitor datainform approache system of irrigation scheme across the full lifecycle of install early warn system irrigation system in flood and drought prone</x:v>
      </x:c>
      <x:c r="O43" s="28" t="str">
        <x:v>280e12c6c953d52940cae4e7d601e2240f95d90ee3046416ca7fedcafcec22e7</x:v>
      </x:c>
      <x:c r="P43" s="28" t="str"/>
      <x:c r="Q43" s="28" t="str"/>
      <x:c r="R43" s="28" t="str">
        <x:v>[[682,695],[696,704],[705,720],[721,739],[740,741],[742,771],[772,773],[774,793],[794,817],[818,840],[841,859],[860,886],[887,907],[908,922],[923,944],[975,997],[945,946],[947,974],[998,1011],[1039,1063],[1012,1038],[1064,1086],[1095,1119],[1087,1094],[1120,1141],[1174,1202],[1142,1143],[1144,1173],[1230,1249],[1203,1229]]</x:v>
      </x:c>
      <x:c r="S43" s="28" t="str">
        <x:v>Fuzzy token-window match</x:v>
      </x:c>
      <x:c r="T43" s="28" t="str">
        <x:v>Original Compact Text</x:v>
      </x:c>
      <x:c r="U43" s="28" t="str">
        <x:v>National irrigation D-O-M standard</x:v>
      </x:c>
      <x:c r="V43" s="28" t="n">
        <x:v>0.799476</x:v>
      </x:c>
      <x:c r="W43" s="28" t="n">
        <x:v>0.805031</x:v>
      </x:c>
      <x:c r="X43" s="28" t="n">
        <x:v>0.853333</x:v>
      </x:c>
      <x:c r="Y43" s="28" t="n">
        <x:v>0.761905</x:v>
      </x:c>
      <x:c r="Z43" s="28" t="n">
        <x:v>0.69697</x:v>
      </x:c>
      <x:c r="AA43" s="28" t="str">
        <x:v>High</x:v>
      </x:c>
      <x:c r="AB43" s="28" t="str">
        <x:v>Pass</x:v>
      </x:c>
      <x:c r="AC43" s="28" t="str">
        <x:v>Pending human review</x:v>
      </x:c>
      <x:c r="AD43" s="28" t="str"/>
      <x:c r="AE43" s="28" t="n">
        <x:v>46238.87231481481</x:v>
      </x:c>
    </x:row>
    <x:row r="44" ht="60" customHeight="1">
      <x:c r="A44" s="28" t="str">
        <x:v>ANC-CAM-040-01</x:v>
      </x:c>
      <x:c r="B44" s="28" t="str">
        <x:v>CAM-040</x:v>
      </x:c>
      <x:c r="C44" s="28" t="str">
        <x:v>DOC-CAM-WC-2026</x:v>
      </x:c>
      <x:c r="D44" s="28" t="str">
        <x:v>Primary Evidence</x:v>
      </x:c>
      <x:c r="E44" s="28" t="str">
        <x:v>Text Span</x:v>
      </x:c>
      <x:c r="F44" s="28" t="str"/>
      <x:c r="G44" s="28" t="str">
        <x:v>PDF p. 11, Table 3</x:v>
      </x:c>
      <x:c r="H44" s="28" t="n">
        <x:v>11</x:v>
      </x:c>
      <x:c r="I44" s="28" t="n">
        <x:v>11</x:v>
      </x:c>
      <x:c r="J44" s="28" t="n">
        <x:v>11</x:v>
      </x:c>
      <x:c r="K44" s="28" t="str">
        <x:v>11</x:v>
      </x:c>
      <x:c r="L44" s="28" t="str">
        <x:v>Activity roadmap</x:v>
      </x:c>
      <x:c r="M44" s="28" t="str">
        <x:v>Develop National Irrigation Information and Monitoring Systems</x:v>
      </x:c>
      <x:c r="N44" s="28" t="str">
        <x:v>develop national irrigation information and monitor system</x:v>
      </x:c>
      <x:c r="O44" s="28" t="str">
        <x:v>2770506009aed31945238b9031ea82088eac073a4459b2494fd1f8948db5fe9c</x:v>
      </x:c>
      <x:c r="P44" s="28" t="str"/>
      <x:c r="Q44" s="28" t="str"/>
      <x:c r="R44" s="28" t="str">
        <x:v>[[947,974],[1012,1038],[1087,1094]]</x:v>
      </x:c>
      <x:c r="S44" s="28" t="str">
        <x:v>Fuzzy spatial line-cluster match</x:v>
      </x:c>
      <x:c r="T44" s="28" t="str">
        <x:v>Standardized Candidate</x:v>
      </x:c>
      <x:c r="U44" s="28" t="str">
        <x:v>Establish a National Irrigation Information and Monitoring System</x:v>
      </x:c>
      <x:c r="V44" s="28" t="n">
        <x:v>0.961526</x:v>
      </x:c>
      <x:c r="W44" s="28" t="n">
        <x:v>1</x:v>
      </x:c>
      <x:c r="X44" s="28" t="n">
        <x:v>1</x:v>
      </x:c>
      <x:c r="Y44" s="28" t="n">
        <x:v>1</x:v>
      </x:c>
      <x:c r="Z44" s="28" t="n">
        <x:v>0.883333</x:v>
      </x:c>
      <x:c r="AA44" s="28" t="str">
        <x:v>High</x:v>
      </x:c>
      <x:c r="AB44" s="28" t="str">
        <x:v>Pass</x:v>
      </x:c>
      <x:c r="AC44" s="28" t="str">
        <x:v>Pending human review</x:v>
      </x:c>
      <x:c r="AD44" s="28" t="str"/>
      <x:c r="AE44" s="28" t="n">
        <x:v>46238.87231481481</x:v>
      </x:c>
    </x:row>
    <x:row r="45" ht="60" customHeight="1">
      <x:c r="A45" s="28" t="str">
        <x:v>ANC-CAM-041-01</x:v>
      </x:c>
      <x:c r="B45" s="28" t="str">
        <x:v>CAM-041</x:v>
      </x:c>
      <x:c r="C45" s="28" t="str">
        <x:v>DOC-CAM-WC-2026</x:v>
      </x:c>
      <x:c r="D45" s="28" t="str">
        <x:v>Primary Evidence</x:v>
      </x:c>
      <x:c r="E45" s="28" t="str">
        <x:v>Text Span</x:v>
      </x:c>
      <x:c r="F45" s="28" t="str"/>
      <x:c r="G45" s="28" t="str">
        <x:v>PDF p. 11, Table 3</x:v>
      </x:c>
      <x:c r="H45" s="28" t="n">
        <x:v>11</x:v>
      </x:c>
      <x:c r="I45" s="28" t="n">
        <x:v>11</x:v>
      </x:c>
      <x:c r="J45" s="28" t="n">
        <x:v>11</x:v>
      </x:c>
      <x:c r="K45" s="28" t="str">
        <x:v>11</x:v>
      </x:c>
      <x:c r="L45" s="28" t="str">
        <x:v>Activity roadmap</x:v>
      </x:c>
      <x:c r="M45" s="28" t="str">
        <x:v>Install early warning systems in flood and drought prone areas with operational procedures (embedding AI</x:v>
      </x:c>
      <x:c r="N45" s="28" t="str">
        <x:v>install early warn system in flood and drought prone area with operational procedure embedd ai</x:v>
      </x:c>
      <x:c r="O45" s="28" t="str">
        <x:v>7f52cef3c6e0c94901429fecbe7bffe8039508cad60eb9e7ccf5308631bf7af1</x:v>
      </x:c>
      <x:c r="P45" s="28" t="str"/>
      <x:c r="Q45" s="28" t="str"/>
      <x:c r="R45" s="28" t="str">
        <x:v>[[1144,1173],[1203,1229],[1250,1272],[1282,1306]]</x:v>
      </x:c>
      <x:c r="S45" s="28" t="str">
        <x:v>Exact spatial line-cluster phrase</x:v>
      </x:c>
      <x:c r="T45" s="28" t="str">
        <x:v>Verified PDF locator hint</x:v>
      </x:c>
      <x:c r="U45" s="28" t="str">
        <x:v>Install early warning systems in flood and drought prone areas with operational procedures</x:v>
      </x:c>
      <x:c r="V45" s="28" t="n">
        <x:v>0.999</x:v>
      </x:c>
      <x:c r="W45" s="28" t="n">
        <x:v>0.978903</x:v>
      </x:c>
      <x:c r="X45" s="28" t="n">
        <x:v>0.958678</x:v>
      </x:c>
      <x:c r="Y45" s="28" t="n">
        <x:v>1</x:v>
      </x:c>
      <x:c r="Z45" s="28" t="n">
        <x:v>0.94382</x:v>
      </x:c>
      <x:c r="AA45" s="28" t="str">
        <x:v>High</x:v>
      </x:c>
      <x:c r="AB45" s="28" t="str">
        <x:v>Pass</x:v>
      </x:c>
      <x:c r="AC45" s="28" t="str">
        <x:v>Pending human review</x:v>
      </x:c>
      <x:c r="AD45" s="28" t="str"/>
      <x:c r="AE45" s="28" t="n">
        <x:v>46238.87231481481</x:v>
      </x:c>
    </x:row>
    <x:row r="46" ht="60" customHeight="1">
      <x:c r="A46" s="28" t="str">
        <x:v>ANC-CAM-042-01</x:v>
      </x:c>
      <x:c r="B46" s="28" t="str">
        <x:v>CAM-042</x:v>
      </x:c>
      <x:c r="C46" s="28" t="str">
        <x:v>DOC-CAM-WC-2026</x:v>
      </x:c>
      <x:c r="D46" s="28" t="str">
        <x:v>Duplicate/Sub-action Evidence</x:v>
      </x:c>
      <x:c r="E46" s="28" t="str">
        <x:v>Text Span</x:v>
      </x:c>
      <x:c r="F46" s="28" t="str"/>
      <x:c r="G46" s="28" t="str">
        <x:v>PDF p. 11, Table 3</x:v>
      </x:c>
      <x:c r="H46" s="28" t="n">
        <x:v>11</x:v>
      </x:c>
      <x:c r="I46" s="28" t="n">
        <x:v>11</x:v>
      </x:c>
      <x:c r="J46" s="28" t="n">
        <x:v>11</x:v>
      </x:c>
      <x:c r="K46" s="28" t="str">
        <x:v>11</x:v>
      </x:c>
      <x:c r="L46" s="28" t="str">
        <x:v>Activity roadmap</x:v>
      </x:c>
      <x:c r="M46" s="28" t="str">
        <x:v>Update the National Irrigation Design, Operation, and Maintenance Guidelines</x:v>
      </x:c>
      <x:c r="N46" s="28" t="str">
        <x:v>update the national irrigation design operation and maintenance guideline</x:v>
      </x:c>
      <x:c r="O46" s="28" t="str">
        <x:v>aebe2a5985d084efa06ddb7c6b328f543ca3026d1a25d38c8ce0a7a2348b4285</x:v>
      </x:c>
      <x:c r="P46" s="28" t="str"/>
      <x:c r="Q46" s="28" t="str"/>
      <x:c r="R46" s="28" t="str">
        <x:v>[[774,793],[841,859],[908,922],[975,997]]</x:v>
      </x:c>
      <x:c r="S46" s="28" t="str">
        <x:v>Fuzzy spatial line-cluster match</x:v>
      </x:c>
      <x:c r="T46" s="28" t="str">
        <x:v>Standardized Candidate</x:v>
      </x:c>
      <x:c r="U46" s="28" t="str">
        <x:v>Update irrigation design and O&amp;M guidelines</x:v>
      </x:c>
      <x:c r="V46" s="28" t="n">
        <x:v>0.880178</x:v>
      </x:c>
      <x:c r="W46" s="28" t="n">
        <x:v>0.913386</x:v>
      </x:c>
      <x:c r="X46" s="28" t="n">
        <x:v>0.84058</x:v>
      </x:c>
      <x:c r="Y46" s="28" t="n">
        <x:v>1</x:v>
      </x:c>
      <x:c r="Z46" s="28" t="n">
        <x:v>0.695652</x:v>
      </x:c>
      <x:c r="AA46" s="28" t="str">
        <x:v>High</x:v>
      </x:c>
      <x:c r="AB46" s="28" t="str">
        <x:v>Pass</x:v>
      </x:c>
      <x:c r="AC46" s="28" t="str">
        <x:v>Pending human review</x:v>
      </x:c>
      <x:c r="AD46" s="28" t="str"/>
      <x:c r="AE46" s="28" t="n">
        <x:v>46238.87231481481</x:v>
      </x:c>
    </x:row>
    <x:row r="47" ht="60" customHeight="1">
      <x:c r="A47" s="28" t="str">
        <x:v>ANC-CAM-043-01</x:v>
      </x:c>
      <x:c r="B47" s="28" t="str">
        <x:v>CAM-043</x:v>
      </x:c>
      <x:c r="C47" s="28" t="str">
        <x:v>DOC-CAM-WC-2026</x:v>
      </x:c>
      <x:c r="D47" s="28" t="str">
        <x:v>Primary Evidence</x:v>
      </x:c>
      <x:c r="E47" s="28" t="str">
        <x:v>Text Span</x:v>
      </x:c>
      <x:c r="F47" s="28" t="str"/>
      <x:c r="G47" s="28" t="str">
        <x:v>PDF pp. 11–12, Table 3</x:v>
      </x:c>
      <x:c r="H47" s="28" t="n">
        <x:v>11</x:v>
      </x:c>
      <x:c r="I47" s="28" t="n">
        <x:v>12</x:v>
      </x:c>
      <x:c r="J47" s="28" t="n">
        <x:v>11</x:v>
      </x:c>
      <x:c r="K47" s="28" t="str">
        <x:v>11</x:v>
      </x:c>
      <x:c r="L47" s="28" t="str">
        <x:v>Activity roadmap</x:v>
      </x:c>
      <x:c r="M47" s="28" t="str">
        <x:v>Upgrade the Cambodia Irrigation Scheme Information System (CISIS)</x:v>
      </x:c>
      <x:c r="N47" s="28" t="str">
        <x:v>upgrade the cambodia irrigation scheme information system cisi</x:v>
      </x:c>
      <x:c r="O47" s="28" t="str">
        <x:v>c2b95e304053e6c3ce4850529524fec4c753eee92a93df0cd7148a6d51be6962</x:v>
      </x:c>
      <x:c r="P47" s="28" t="str"/>
      <x:c r="Q47" s="28" t="str"/>
      <x:c r="R47" s="28" t="str">
        <x:v>[[1704,1724],[1744,1761],[1788,1814]]</x:v>
      </x:c>
      <x:c r="S47" s="28" t="str">
        <x:v>Fuzzy spatial line-cluster match</x:v>
      </x:c>
      <x:c r="T47" s="28" t="str">
        <x:v>Standardized Candidate</x:v>
      </x:c>
      <x:c r="U47" s="28" t="str">
        <x:v>Upgrade the national irrigation scheme information system</x:v>
      </x:c>
      <x:c r="V47" s="28" t="n">
        <x:v>0.920712</x:v>
      </x:c>
      <x:c r="W47" s="28" t="n">
        <x:v>0.930818</x:v>
      </x:c>
      <x:c r="X47" s="28" t="n">
        <x:v>0.870588</x:v>
      </x:c>
      <x:c r="Y47" s="28" t="n">
        <x:v>1</x:v>
      </x:c>
      <x:c r="Z47" s="28" t="n">
        <x:v>0.87395</x:v>
      </x:c>
      <x:c r="AA47" s="28" t="str">
        <x:v>High</x:v>
      </x:c>
      <x:c r="AB47" s="28" t="str">
        <x:v>Pass</x:v>
      </x:c>
      <x:c r="AC47" s="28" t="str">
        <x:v>Pending human review</x:v>
      </x:c>
      <x:c r="AD47" s="28" t="str"/>
      <x:c r="AE47" s="28" t="n">
        <x:v>46238.87231481481</x:v>
      </x:c>
    </x:row>
    <x:row r="48" ht="60" customHeight="1">
      <x:c r="A48" s="28" t="str">
        <x:v>ANC-CAM-044-01</x:v>
      </x:c>
      <x:c r="B48" s="28" t="str">
        <x:v>CAM-044</x:v>
      </x:c>
      <x:c r="C48" s="28" t="str">
        <x:v>DOC-CAM-WC-2026</x:v>
      </x:c>
      <x:c r="D48" s="28" t="str">
        <x:v>Primary Evidence</x:v>
      </x:c>
      <x:c r="E48" s="28" t="str">
        <x:v>Text Span</x:v>
      </x:c>
      <x:c r="F48" s="28" t="str"/>
      <x:c r="G48" s="28" t="str">
        <x:v>PDF p. 12, Table 3</x:v>
      </x:c>
      <x:c r="H48" s="28" t="n">
        <x:v>12</x:v>
      </x:c>
      <x:c r="I48" s="28" t="n">
        <x:v>12</x:v>
      </x:c>
      <x:c r="J48" s="28" t="n">
        <x:v>12</x:v>
      </x:c>
      <x:c r="K48" s="28" t="str">
        <x:v>12</x:v>
      </x:c>
      <x:c r="L48" s="28" t="str">
        <x:v>Activity roadmap</x:v>
      </x:c>
      <x:c r="M48" s="28" t="str">
        <x:v>Formulating a Standard Operating Procedure (SOP) for irrigation PPP/PSP</x:v>
      </x:c>
      <x:c r="N48" s="28" t="str">
        <x:v>formulat a standard operat procedure sop for irrigation ppppsp</x:v>
      </x:c>
      <x:c r="O48" s="28" t="str">
        <x:v>87d1ab081c7ed67d216c4e30ead90184bcc3e7966f5d1b21ff8208c6e8fe3852</x:v>
      </x:c>
      <x:c r="P48" s="28" t="str"/>
      <x:c r="Q48" s="28" t="str"/>
      <x:c r="R48" s="28" t="str">
        <x:v>[[136,158],[219,238],[279,299],[351,358]]</x:v>
      </x:c>
      <x:c r="S48" s="28" t="str">
        <x:v>Fuzzy spatial line-cluster match</x:v>
      </x:c>
      <x:c r="T48" s="28" t="str">
        <x:v>Standardized Candidate</x:v>
      </x:c>
      <x:c r="U48" s="28" t="str">
        <x:v>Adopt a standard operating procedure for irrigation PPP/PSP</x:v>
      </x:c>
      <x:c r="V48" s="28" t="n">
        <x:v>0.922947</x:v>
      </x:c>
      <x:c r="W48" s="28" t="n">
        <x:v>0.929757</x:v>
      </x:c>
      <x:c r="X48" s="28" t="n">
        <x:v>0.868735</x:v>
      </x:c>
      <x:c r="Y48" s="28" t="n">
        <x:v>1</x:v>
      </x:c>
      <x:c r="Z48" s="28" t="n">
        <x:v>0.888889</x:v>
      </x:c>
      <x:c r="AA48" s="28" t="str">
        <x:v>High</x:v>
      </x:c>
      <x:c r="AB48" s="28" t="str">
        <x:v>Pass</x:v>
      </x:c>
      <x:c r="AC48" s="28" t="str">
        <x:v>Pending human review</x:v>
      </x:c>
      <x:c r="AD48" s="28" t="str"/>
      <x:c r="AE48" s="28" t="n">
        <x:v>46238.87231481481</x:v>
      </x:c>
    </x:row>
    <x:row r="49" ht="60" customHeight="1">
      <x:c r="A49" s="28" t="str">
        <x:v>ANC-CAM-045-01</x:v>
      </x:c>
      <x:c r="B49" s="28" t="str">
        <x:v>CAM-045</x:v>
      </x:c>
      <x:c r="C49" s="28" t="str">
        <x:v>DOC-CAM-WC-2026</x:v>
      </x:c>
      <x:c r="D49" s="28" t="str">
        <x:v>Primary Evidence</x:v>
      </x:c>
      <x:c r="E49" s="28" t="str">
        <x:v>Text Span</x:v>
      </x:c>
      <x:c r="F49" s="28" t="str"/>
      <x:c r="G49" s="28" t="str">
        <x:v>PDF p. 12, Table 3</x:v>
      </x:c>
      <x:c r="H49" s="28" t="n">
        <x:v>12</x:v>
      </x:c>
      <x:c r="I49" s="28" t="n">
        <x:v>12</x:v>
      </x:c>
      <x:c r="J49" s="28" t="n">
        <x:v>12</x:v>
      </x:c>
      <x:c r="K49" s="28" t="str">
        <x:v>12</x:v>
      </x:c>
      <x:c r="L49" s="28" t="str">
        <x:v>Activity roadmap</x:v>
      </x:c>
      <x:c r="M49" s="28" t="str">
        <x:v>- for PPP - Transaction Model Design</x:v>
      </x:c>
      <x:c r="N49" s="28" t="str">
        <x:v>for ppp transaction model design</x:v>
      </x:c>
      <x:c r="O49" s="28" t="str">
        <x:v>0a808c87252cb9a9696570d32e9799eb0decbaba6c676d0e7da6ae744dcc5f11</x:v>
      </x:c>
      <x:c r="P49" s="28" t="str"/>
      <x:c r="Q49" s="28" t="str"/>
      <x:c r="R49" s="28" t="str">
        <x:v>[[159,160],[239,246],[300,301],[359,383]]</x:v>
      </x:c>
      <x:c r="S49" s="28" t="str">
        <x:v>Exact spatial line-cluster phrase</x:v>
      </x:c>
      <x:c r="T49" s="28" t="str">
        <x:v>Original Compact Text</x:v>
      </x:c>
      <x:c r="U49" s="28" t="str">
        <x:v>PPP transaction model design</x:v>
      </x:c>
      <x:c r="V49" s="28" t="n">
        <x:v>0.999</x:v>
      </x:c>
      <x:c r="W49" s="28" t="n">
        <x:v>1</x:v>
      </x:c>
      <x:c r="X49" s="28" t="n">
        <x:v>1</x:v>
      </x:c>
      <x:c r="Y49" s="28" t="n">
        <x:v>1</x:v>
      </x:c>
      <x:c r="Z49" s="28" t="n">
        <x:v>0.933333</x:v>
      </x:c>
      <x:c r="AA49" s="28" t="str">
        <x:v>High</x:v>
      </x:c>
      <x:c r="AB49" s="28" t="str">
        <x:v>Pass</x:v>
      </x:c>
      <x:c r="AC49" s="28" t="str">
        <x:v>Pending human review</x:v>
      </x:c>
      <x:c r="AD49" s="28" t="str"/>
      <x:c r="AE49" s="28" t="n">
        <x:v>46238.87231481481</x:v>
      </x:c>
    </x:row>
    <x:row r="50" ht="60" customHeight="1">
      <x:c r="A50" s="28" t="str">
        <x:v>ANC-CAM-046-01</x:v>
      </x:c>
      <x:c r="B50" s="28" t="str">
        <x:v>CAM-046</x:v>
      </x:c>
      <x:c r="C50" s="28" t="str">
        <x:v>DOC-CAM-WC-2026</x:v>
      </x:c>
      <x:c r="D50" s="28" t="str">
        <x:v>Duplicate/Sub-action Evidence</x:v>
      </x:c>
      <x:c r="E50" s="28" t="str">
        <x:v>Text Span</x:v>
      </x:c>
      <x:c r="F50" s="28" t="str"/>
      <x:c r="G50" s="28" t="str">
        <x:v>PDF p. 12, Table 3</x:v>
      </x:c>
      <x:c r="H50" s="28" t="n">
        <x:v>12</x:v>
      </x:c>
      <x:c r="I50" s="28" t="n">
        <x:v>12</x:v>
      </x:c>
      <x:c r="J50" s="28" t="n">
        <x:v>12</x:v>
      </x:c>
      <x:c r="K50" s="28" t="str">
        <x:v>12</x:v>
      </x:c>
      <x:c r="L50" s="28" t="str">
        <x:v>Activity roadmap</x:v>
      </x:c>
      <x:c r="M50" s="28" t="str">
        <x:v>Formulating a Standard - Customize the irrigation SOP - Pilot and scale up private Operating Procedure for PPP sector participation models for (SOP) for irrigation small and medium-scale - Develop PPP in irrigation PPP/PSP irrigation schemes [MOWRAM] Transaction Model Design - Update sub-decree on establishment of Farmer Water User Community [MOWRAM] Applying farmer-led - Strengthen and - Restructure and irrigation operations for operationalize FWUCs professionalize FWUCs - small to medium through appropriate including performance irrigation</x:v>
      </x:c>
      <x:c r="N50" s="28" t="str">
        <x:v>formulat a standard customize the irrigation sop pilot and scale up private operat procedure for ppp sector participation model for sop for irrigation small and mediumscale develop ppp in irrigation ppppsp irrigation scheme mowram transaction model design update subdecree on establishment of farmer water user community mowram apply farmerl strengthen and restructure and irrigation operation for operationalize fwuc professionalize fwuc small to medium through appropriate includ performance irrigation</x:v>
      </x:c>
      <x:c r="O50" s="28" t="str">
        <x:v>b9c4d580d60cd2671fe7c4ad731dd8069650fe4ada8515699db5a44f0a973566</x:v>
      </x:c>
      <x:c r="P50" s="28" t="str"/>
      <x:c r="Q50" s="28" t="str"/>
      <x:c r="R50" s="28" t="str">
        <x:v>[[136,158],[159,160],[161,189],[190,191],[192,218],[219,238],[239,246],[247,278],[279,299],[328,350],[300,301],[302,327],[351,358],[384,411],[359,383],[412,413],[414,434],[435,458],[459,479],[480,488],[489,508],[509,510],[511,525],[526,527],[528,543],[544,569],[570,590],[591,614],[615,630],[631,650],[651,672],[673,683]]</x:v>
      </x:c>
      <x:c r="S50" s="28" t="str">
        <x:v>Fuzzy token-window match</x:v>
      </x:c>
      <x:c r="T50" s="28" t="str">
        <x:v>Original Compact Text</x:v>
      </x:c>
      <x:c r="U50" s="28" t="str">
        <x:v>Update FWUC establishment sub-decree</x:v>
      </x:c>
      <x:c r="V50" s="28" t="n">
        <x:v>0.866169</x:v>
      </x:c>
      <x:c r="W50" s="28" t="n">
        <x:v>0.907749</x:v>
      </x:c>
      <x:c r="X50" s="28" t="n">
        <x:v>1</x:v>
      </x:c>
      <x:c r="Y50" s="28" t="n">
        <x:v>0.831081</x:v>
      </x:c>
      <x:c r="Z50" s="28" t="n">
        <x:v>0.676471</x:v>
      </x:c>
      <x:c r="AA50" s="28" t="str">
        <x:v>High</x:v>
      </x:c>
      <x:c r="AB50" s="28" t="str">
        <x:v>Pass</x:v>
      </x:c>
      <x:c r="AC50" s="28" t="str">
        <x:v>Pending human review</x:v>
      </x:c>
      <x:c r="AD50" s="28" t="str"/>
      <x:c r="AE50" s="28" t="n">
        <x:v>46238.87231481481</x:v>
      </x:c>
    </x:row>
    <x:row r="51" ht="60" customHeight="1">
      <x:c r="A51" s="28" t="str">
        <x:v>ANC-CAM-047-01</x:v>
      </x:c>
      <x:c r="B51" s="28" t="str">
        <x:v>CAM-047</x:v>
      </x:c>
      <x:c r="C51" s="28" t="str">
        <x:v>DOC-CAM-WC-2026</x:v>
      </x:c>
      <x:c r="D51" s="28" t="str">
        <x:v>Primary Evidence</x:v>
      </x:c>
      <x:c r="E51" s="28" t="str">
        <x:v>Text Span</x:v>
      </x:c>
      <x:c r="F51" s="28" t="str"/>
      <x:c r="G51" s="28" t="str">
        <x:v>PDF p. 12, Table 3</x:v>
      </x:c>
      <x:c r="H51" s="28" t="n">
        <x:v>12</x:v>
      </x:c>
      <x:c r="I51" s="28" t="n">
        <x:v>12</x:v>
      </x:c>
      <x:c r="J51" s="28" t="n">
        <x:v>12</x:v>
      </x:c>
      <x:c r="K51" s="28" t="str">
        <x:v>12</x:v>
      </x:c>
      <x:c r="L51" s="28" t="str">
        <x:v>Activity roadmap</x:v>
      </x:c>
      <x:c r="M51" s="28" t="str">
        <x:v>professionalize FWUCs -</x:v>
      </x:c>
      <x:c r="N51" s="28" t="str">
        <x:v>professionalize fwuc</x:v>
      </x:c>
      <x:c r="O51" s="28" t="str">
        <x:v>be59257b1d894109cab06b2d86c32878d1b04d6469724d01fa8fefaffc8fa710</x:v>
      </x:c>
      <x:c r="P51" s="28" t="n">
        <x:v>591</x:v>
      </x:c>
      <x:c r="Q51" s="28" t="n">
        <x:v>614</x:v>
      </x:c>
      <x:c r="R51" s="28" t="str">
        <x:v>[[591,614]]</x:v>
      </x:c>
      <x:c r="S51" s="28" t="str">
        <x:v>Exact spatial line-cluster phrase</x:v>
      </x:c>
      <x:c r="T51" s="28" t="str">
        <x:v>Original Compact Text</x:v>
      </x:c>
      <x:c r="U51" s="28" t="str">
        <x:v>Professionalize FWUCs</x:v>
      </x:c>
      <x:c r="V51" s="28" t="n">
        <x:v>0.999</x:v>
      </x:c>
      <x:c r="W51" s="28" t="n">
        <x:v>1</x:v>
      </x:c>
      <x:c r="X51" s="28" t="n">
        <x:v>1</x:v>
      </x:c>
      <x:c r="Y51" s="28" t="n">
        <x:v>1</x:v>
      </x:c>
      <x:c r="Z51" s="28" t="n">
        <x:v>1</x:v>
      </x:c>
      <x:c r="AA51" s="28" t="str">
        <x:v>High</x:v>
      </x:c>
      <x:c r="AB51" s="28" t="str">
        <x:v>Pass</x:v>
      </x:c>
      <x:c r="AC51" s="28" t="str">
        <x:v>Pending human review</x:v>
      </x:c>
      <x:c r="AD51" s="28" t="str"/>
      <x:c r="AE51" s="28" t="n">
        <x:v>46238.87231481481</x:v>
      </x:c>
    </x:row>
    <x:row r="52" ht="60" customHeight="1">
      <x:c r="A52" s="28" t="str">
        <x:v>ANC-CAM-048-01</x:v>
      </x:c>
      <x:c r="B52" s="28" t="str">
        <x:v>CAM-048</x:v>
      </x:c>
      <x:c r="C52" s="28" t="str">
        <x:v>DOC-CAM-WC-2026</x:v>
      </x:c>
      <x:c r="D52" s="28" t="str">
        <x:v>Primary Evidence</x:v>
      </x:c>
      <x:c r="E52" s="28" t="str">
        <x:v>Text Span</x:v>
      </x:c>
      <x:c r="F52" s="28" t="str"/>
      <x:c r="G52" s="28" t="str">
        <x:v>PDF p. 12, Table 3</x:v>
      </x:c>
      <x:c r="H52" s="28" t="n">
        <x:v>12</x:v>
      </x:c>
      <x:c r="I52" s="28" t="n">
        <x:v>12</x:v>
      </x:c>
      <x:c r="J52" s="28" t="n">
        <x:v>12</x:v>
      </x:c>
      <x:c r="K52" s="28" t="str">
        <x:v>12</x:v>
      </x:c>
      <x:c r="L52" s="28" t="str">
        <x:v>Activity roadmap</x:v>
      </x:c>
      <x:c r="M52" s="28" t="str">
        <x:v>program with tailored curriculum for PDWRAMs and FWUCs</x:v>
      </x:c>
      <x:c r="N52" s="28" t="str">
        <x:v>program with tailor curriculum for pdwram and fwuc</x:v>
      </x:c>
      <x:c r="O52" s="28" t="str">
        <x:v>c98331ede7c5e1d97274e7a49f79fe2712f6e5739f222825cb56f336aec99d06</x:v>
      </x:c>
      <x:c r="P52" s="28" t="str"/>
      <x:c r="Q52" s="28" t="str"/>
      <x:c r="R52" s="28" t="str">
        <x:v>[[997,1018],[1073,1095],[1138,1147]]</x:v>
      </x:c>
      <x:c r="S52" s="28" t="str">
        <x:v>Fuzzy spatial line-cluster match</x:v>
      </x:c>
      <x:c r="T52" s="28" t="str">
        <x:v>Original Compact Text</x:v>
      </x:c>
      <x:c r="U52" s="28" t="str">
        <x:v>Tailored PDWRAM and FWUC curriculum</x:v>
      </x:c>
      <x:c r="V52" s="28" t="n">
        <x:v>0.912206</x:v>
      </x:c>
      <x:c r="W52" s="28" t="n">
        <x:v>0.949772</x:v>
      </x:c>
      <x:c r="X52" s="28" t="n">
        <x:v>0.904348</x:v>
      </x:c>
      <x:c r="Y52" s="28" t="n">
        <x:v>1</x:v>
      </x:c>
      <x:c r="Z52" s="28" t="n">
        <x:v>0.53012</x:v>
      </x:c>
      <x:c r="AA52" s="28" t="str">
        <x:v>High</x:v>
      </x:c>
      <x:c r="AB52" s="28" t="str">
        <x:v>Pass</x:v>
      </x:c>
      <x:c r="AC52" s="28" t="str">
        <x:v>Pending human review</x:v>
      </x:c>
      <x:c r="AD52" s="28" t="str"/>
      <x:c r="AE52" s="28" t="n">
        <x:v>46238.87231481481</x:v>
      </x:c>
    </x:row>
    <x:row r="53" ht="60" customHeight="1">
      <x:c r="A53" s="28" t="str">
        <x:v>ANC-CAM-049-01</x:v>
      </x:c>
      <x:c r="B53" s="28" t="str">
        <x:v>CAM-049</x:v>
      </x:c>
      <x:c r="C53" s="28" t="str">
        <x:v>DOC-CAM-WC-2026</x:v>
      </x:c>
      <x:c r="D53" s="28" t="str">
        <x:v>Primary Evidence</x:v>
      </x:c>
      <x:c r="E53" s="28" t="str">
        <x:v>Text Span</x:v>
      </x:c>
      <x:c r="F53" s="28" t="str"/>
      <x:c r="G53" s="28" t="str">
        <x:v>PDF p. 12, Table 3</x:v>
      </x:c>
      <x:c r="H53" s="28" t="n">
        <x:v>12</x:v>
      </x:c>
      <x:c r="I53" s="28" t="n">
        <x:v>12</x:v>
      </x:c>
      <x:c r="J53" s="28" t="n">
        <x:v>12</x:v>
      </x:c>
      <x:c r="K53" s="28" t="str">
        <x:v>12</x:v>
      </x:c>
      <x:c r="L53" s="28" t="str">
        <x:v>Activity roadmap</x:v>
      </x:c>
      <x:c r="M53" s="28" t="str">
        <x:v>Young Professional Program</x:v>
      </x:c>
      <x:c r="N53" s="28" t="str">
        <x:v>young professional program</x:v>
      </x:c>
      <x:c r="O53" s="28" t="str">
        <x:v>0763f703cd2abe6ca3b1ea1d48959363eef844d9341c88b14ce9553e4a34c7e5</x:v>
      </x:c>
      <x:c r="P53" s="28" t="n">
        <x:v>1281</x:v>
      </x:c>
      <x:c r="Q53" s="28" t="n">
        <x:v>1307</x:v>
      </x:c>
      <x:c r="R53" s="28" t="str">
        <x:v>[[1281,1307]]</x:v>
      </x:c>
      <x:c r="S53" s="28" t="str">
        <x:v>Exact spatial line-cluster phrase</x:v>
      </x:c>
      <x:c r="T53" s="28" t="str">
        <x:v>Original Compact Text</x:v>
      </x:c>
      <x:c r="U53" s="28" t="str">
        <x:v>Young Professional Program</x:v>
      </x:c>
      <x:c r="V53" s="28" t="n">
        <x:v>0.999</x:v>
      </x:c>
      <x:c r="W53" s="28" t="n">
        <x:v>1</x:v>
      </x:c>
      <x:c r="X53" s="28" t="n">
        <x:v>1</x:v>
      </x:c>
      <x:c r="Y53" s="28" t="n">
        <x:v>1</x:v>
      </x:c>
      <x:c r="Z53" s="28" t="n">
        <x:v>1</x:v>
      </x:c>
      <x:c r="AA53" s="28" t="str">
        <x:v>High</x:v>
      </x:c>
      <x:c r="AB53" s="28" t="str">
        <x:v>Pass</x:v>
      </x:c>
      <x:c r="AC53" s="28" t="str">
        <x:v>Pending human review</x:v>
      </x:c>
      <x:c r="AD53" s="28" t="str"/>
      <x:c r="AE53" s="28" t="n">
        <x:v>46238.87231481481</x:v>
      </x:c>
    </x:row>
    <x:row r="54" ht="60" customHeight="1">
      <x:c r="A54" s="28" t="str">
        <x:v>ANC-CAM-050-01</x:v>
      </x:c>
      <x:c r="B54" s="28" t="str">
        <x:v>CAM-050</x:v>
      </x:c>
      <x:c r="C54" s="28" t="str">
        <x:v>DOC-CAM-WC-2026</x:v>
      </x:c>
      <x:c r="D54" s="28" t="str">
        <x:v>Primary Evidence</x:v>
      </x:c>
      <x:c r="E54" s="28" t="str">
        <x:v>Text Span</x:v>
      </x:c>
      <x:c r="F54" s="28" t="str"/>
      <x:c r="G54" s="28" t="str">
        <x:v>PDF p. 12, Table 3</x:v>
      </x:c>
      <x:c r="H54" s="28" t="n">
        <x:v>12</x:v>
      </x:c>
      <x:c r="I54" s="28" t="n">
        <x:v>12</x:v>
      </x:c>
      <x:c r="J54" s="28" t="n">
        <x:v>12</x:v>
      </x:c>
      <x:c r="K54" s="28" t="str">
        <x:v>12</x:v>
      </x:c>
      <x:c r="L54" s="28" t="str">
        <x:v>Activity roadmap</x:v>
      </x:c>
      <x:c r="M54" s="28" t="str">
        <x:v>Establish a service training center for irrigation engineering and O&amp;M at regional offices</x:v>
      </x:c>
      <x:c r="N54" s="28" t="str">
        <x:v>establish a service train center for irrigation engineer and o m at regional office</x:v>
      </x:c>
      <x:c r="O54" s="28" t="str">
        <x:v>467a2e727aa1af51f189db3339b56e13dce6bde618998eee6aa9b35729b69434</x:v>
      </x:c>
      <x:c r="P54" s="28" t="str"/>
      <x:c r="Q54" s="28" t="str"/>
      <x:c r="R54" s="28" t="str">
        <x:v>[[944,972],[1019,1052],[1096,1123]]</x:v>
      </x:c>
      <x:c r="S54" s="28" t="str">
        <x:v>Fuzzy spatial line-cluster match</x:v>
      </x:c>
      <x:c r="T54" s="28" t="str">
        <x:v>Standardized Candidate</x:v>
      </x:c>
      <x:c r="U54" s="28" t="str">
        <x:v>Establish a regional irrigation engineering and O&amp;M training center</x:v>
      </x:c>
      <x:c r="V54" s="28" t="n">
        <x:v>0.888117</x:v>
      </x:c>
      <x:c r="W54" s="28" t="n">
        <x:v>0.927536</x:v>
      </x:c>
      <x:c r="X54" s="28" t="n">
        <x:v>0.864865</x:v>
      </x:c>
      <x:c r="Y54" s="28" t="n">
        <x:v>1</x:v>
      </x:c>
      <x:c r="Z54" s="28" t="n">
        <x:v>0.699301</x:v>
      </x:c>
      <x:c r="AA54" s="28" t="str">
        <x:v>High</x:v>
      </x:c>
      <x:c r="AB54" s="28" t="str">
        <x:v>Pass</x:v>
      </x:c>
      <x:c r="AC54" s="28" t="str">
        <x:v>Pending human review</x:v>
      </x:c>
      <x:c r="AD54" s="28" t="str"/>
      <x:c r="AE54" s="28" t="n">
        <x:v>46238.87231481481</x:v>
      </x:c>
    </x:row>
    <x:row r="55" ht="60" customHeight="1">
      <x:c r="A55" s="28" t="str">
        <x:v>ANC-CAM-051-01</x:v>
      </x:c>
      <x:c r="B55" s="28" t="str">
        <x:v>CAM-051</x:v>
      </x:c>
      <x:c r="C55" s="28" t="str">
        <x:v>DOC-CAM-WC-2026</x:v>
      </x:c>
      <x:c r="D55" s="28" t="str">
        <x:v>Primary Evidence</x:v>
      </x:c>
      <x:c r="E55" s="28" t="str">
        <x:v>Text Span</x:v>
      </x:c>
      <x:c r="F55" s="28" t="str"/>
      <x:c r="G55" s="28" t="str">
        <x:v>PDF p. 12, Table 3</x:v>
      </x:c>
      <x:c r="H55" s="28" t="n">
        <x:v>12</x:v>
      </x:c>
      <x:c r="I55" s="28" t="n">
        <x:v>12</x:v>
      </x:c>
      <x:c r="J55" s="28" t="n">
        <x:v>12</x:v>
      </x:c>
      <x:c r="K55" s="28" t="str">
        <x:v>12</x:v>
      </x:c>
      <x:c r="L55" s="28" t="str">
        <x:v>Activity roadmap</x:v>
      </x:c>
      <x:c r="M55" s="28" t="str">
        <x:v>Consolidate 39 river basins into 5 major river basin groups</x:v>
      </x:c>
      <x:c r="N55" s="28" t="str">
        <x:v>consolidate 39 river basin into 5 major river basin group</x:v>
      </x:c>
      <x:c r="O55" s="28" t="str">
        <x:v>f0d2f2db7a87bfe668aae01a900d389d6d4aec1255417b7feb9554b86483e284</x:v>
      </x:c>
      <x:c r="P55" s="28" t="str"/>
      <x:c r="Q55" s="28" t="str"/>
      <x:c r="R55" s="28" t="str">
        <x:v>[[1563,1590],[1645,1669],[1722,1728]]</x:v>
      </x:c>
      <x:c r="S55" s="28" t="str">
        <x:v>Fuzzy spatial line-cluster match</x:v>
      </x:c>
      <x:c r="T55" s="28" t="str">
        <x:v>Original Compact Text</x:v>
      </x:c>
      <x:c r="U55" s="28" t="str">
        <x:v>Consolidate 39 basins into five groups</x:v>
      </x:c>
      <x:c r="V55" s="28" t="n">
        <x:v>0.732514</x:v>
      </x:c>
      <x:c r="W55" s="28" t="n">
        <x:v>0.701657</x:v>
      </x:c>
      <x:c r="X55" s="28" t="n">
        <x:v>0.604762</x:v>
      </x:c>
      <x:c r="Y55" s="28" t="n">
        <x:v>0.835526</x:v>
      </x:c>
      <x:c r="Z55" s="28" t="n">
        <x:v>0.752688</x:v>
      </x:c>
      <x:c r="AA55" s="28" t="str">
        <x:v>Medium</x:v>
      </x:c>
      <x:c r="AB55" s="28" t="str">
        <x:v>Pass</x:v>
      </x:c>
      <x:c r="AC55" s="28" t="str">
        <x:v>Pending human review</x:v>
      </x:c>
      <x:c r="AD55" s="28" t="str"/>
      <x:c r="AE55" s="28" t="n">
        <x:v>46238.87231481481</x:v>
      </x:c>
    </x:row>
    <x:row r="56" ht="60" customHeight="1">
      <x:c r="A56" s="28" t="str">
        <x:v>ANC-CAM-052-01</x:v>
      </x:c>
      <x:c r="B56" s="28" t="str">
        <x:v>CAM-052</x:v>
      </x:c>
      <x:c r="C56" s="28" t="str">
        <x:v>DOC-CAM-WC-2026</x:v>
      </x:c>
      <x:c r="D56" s="28" t="str">
        <x:v>Primary Evidence</x:v>
      </x:c>
      <x:c r="E56" s="28" t="str">
        <x:v>Text Span</x:v>
      </x:c>
      <x:c r="F56" s="28" t="str"/>
      <x:c r="G56" s="28" t="str">
        <x:v>PDF pp. 12–13, Table 3</x:v>
      </x:c>
      <x:c r="H56" s="28" t="n">
        <x:v>12</x:v>
      </x:c>
      <x:c r="I56" s="28" t="n">
        <x:v>13</x:v>
      </x:c>
      <x:c r="J56" s="28" t="n">
        <x:v>12</x:v>
      </x:c>
      <x:c r="K56" s="28" t="str">
        <x:v>12</x:v>
      </x:c>
      <x:c r="L56" s="28" t="str">
        <x:v>Activity roadmap</x:v>
      </x:c>
      <x:c r="M56" s="28" t="str">
        <x:v>[MOWRAM] Cambodian water Climate Resilience professionals to [MOWRAM] strengthen their capabilities to implement water resources management tasks Water for Planet Preparing River Basin - Consolidate 39 river basins - Prepare 2 out of 5 integrated Management Plans that into 5 major river basin river basin management plans set high level, cross- groups (RBS) ministry strategies to - Prepare 1 out of 5 integrated achieve sustainable river basin management development and plans (River Basin management of</x:v>
      </x:c>
      <x:c r="N56" s="28" t="str">
        <x:v>mowram cambodian water climate resilience professional to mowram strengthen their capability to implement water resource management task water for planet prepar river basin consolidate 39 river basin prepare 2 out of 5 integrat management plan that into 5 major river basin river basin management plan set high level cross group rbs ministry strategy to prepare 1 out of 5 integrat achieve sustainable river basin management development and plan river basin management of</x:v>
      </x:c>
      <x:c r="O56" s="28" t="str">
        <x:v>c0639a2369d699749a4a07e0aced1fa819c3c8e724805667914ec63b30ab1f23</x:v>
      </x:c>
      <x:c r="P56" s="28" t="str"/>
      <x:c r="Q56" s="28" t="str"/>
      <x:c r="R56" s="28" t="str">
        <x:v>[[1376,1384],[1385,1400],[1401,1419],[1420,1436],[1437,1445],[1446,1462],[1463,1488],[1489,1504],[1505,1521],[1522,1538],[1539,1560],[1561,1562],[1563,1590],[1591,1592],[1593,1622],[1623,1644],[1645,1669],[1670,1698],[1699,1721],[1722,1728],[1729,1734],[1735,1757],[1758,1759],[1760,1789],[1790,1809],[1810,1832],[1833,1848],[1849,1867],[1868,1881]]</x:v>
      </x:c>
      <x:c r="S56" s="28" t="str">
        <x:v>Fuzzy token-window match</x:v>
      </x:c>
      <x:c r="T56" s="28" t="str">
        <x:v>Original Compact Text</x:v>
      </x:c>
      <x:c r="U56" s="28" t="str">
        <x:v>Integrated river-basin management plans</x:v>
      </x:c>
      <x:c r="V56" s="28" t="n">
        <x:v>0.812525</x:v>
      </x:c>
      <x:c r="W56" s="28" t="n">
        <x:v>0.83004</x:v>
      </x:c>
      <x:c r="X56" s="28" t="n">
        <x:v>1</x:v>
      </x:c>
      <x:c r="Y56" s="28" t="n">
        <x:v>0.709459</x:v>
      </x:c>
      <x:c r="Z56" s="28" t="n">
        <x:v>0.75</x:v>
      </x:c>
      <x:c r="AA56" s="28" t="str">
        <x:v>High</x:v>
      </x:c>
      <x:c r="AB56" s="28" t="str">
        <x:v>Pass</x:v>
      </x:c>
      <x:c r="AC56" s="28" t="str">
        <x:v>Pending human review</x:v>
      </x:c>
      <x:c r="AD56" s="28" t="str"/>
      <x:c r="AE56" s="28" t="n">
        <x:v>46238.87231481481</x:v>
      </x:c>
    </x:row>
    <x:row r="57" ht="60" customHeight="1">
      <x:c r="A57" s="28" t="str">
        <x:v>ANC-CAM-053-01</x:v>
      </x:c>
      <x:c r="B57" s="28" t="str">
        <x:v>CAM-053</x:v>
      </x:c>
      <x:c r="C57" s="28" t="str">
        <x:v>DOC-CAM-WC-2026</x:v>
      </x:c>
      <x:c r="D57" s="28" t="str">
        <x:v>Primary Evidence</x:v>
      </x:c>
      <x:c r="E57" s="28" t="str">
        <x:v>Text Span</x:v>
      </x:c>
      <x:c r="F57" s="28" t="str"/>
      <x:c r="G57" s="28" t="str">
        <x:v>PDF p. 13, Table 3</x:v>
      </x:c>
      <x:c r="H57" s="28" t="n">
        <x:v>13</x:v>
      </x:c>
      <x:c r="I57" s="28" t="n">
        <x:v>13</x:v>
      </x:c>
      <x:c r="J57" s="28" t="n">
        <x:v>13</x:v>
      </x:c>
      <x:c r="K57" s="28" t="str">
        <x:v>13</x:v>
      </x:c>
      <x:c r="L57" s="28" t="str">
        <x:v>Activity roadmap</x:v>
      </x:c>
      <x:c r="M57" s="28" t="str">
        <x:v>- and information center - Data and Information Protocol</x:v>
      </x:c>
      <x:c r="N57" s="28" t="str">
        <x:v>and information center data and information protocol</x:v>
      </x:c>
      <x:c r="O57" s="28" t="str">
        <x:v>c6a26aaab6e473de5eb8d1cbf71e41d3607617684424169c389c9af0a42de980</x:v>
      </x:c>
      <x:c r="P57" s="28" t="str"/>
      <x:c r="Q57" s="28" t="str"/>
      <x:c r="R57" s="28" t="str">
        <x:v>[[92,93],[177,199],[249,250],[322,342],[388,396]]</x:v>
      </x:c>
      <x:c r="S57" s="28" t="str">
        <x:v>Fuzzy spatial line-cluster match</x:v>
      </x:c>
      <x:c r="T57" s="28" t="str">
        <x:v>Original Compact Text</x:v>
      </x:c>
      <x:c r="U57" s="28" t="str">
        <x:v>National water data center and protocol</x:v>
      </x:c>
      <x:c r="V57" s="28" t="n">
        <x:v>0.894238</x:v>
      </x:c>
      <x:c r="W57" s="28" t="n">
        <x:v>0.871194</x:v>
      </x:c>
      <x:c r="X57" s="28" t="n">
        <x:v>0.771784</x:v>
      </x:c>
      <x:c r="Y57" s="28" t="n">
        <x:v>1</x:v>
      </x:c>
      <x:c r="Z57" s="28" t="n">
        <x:v>0.615385</x:v>
      </x:c>
      <x:c r="AA57" s="28" t="str">
        <x:v>High</x:v>
      </x:c>
      <x:c r="AB57" s="28" t="str">
        <x:v>Pass</x:v>
      </x:c>
      <x:c r="AC57" s="28" t="str">
        <x:v>Pending human review</x:v>
      </x:c>
      <x:c r="AD57" s="28" t="str"/>
      <x:c r="AE57" s="28" t="n">
        <x:v>46238.87231481481</x:v>
      </x:c>
    </x:row>
    <x:row r="58" ht="60" customHeight="1">
      <x:c r="A58" s="28" t="str">
        <x:v>ANC-CAM-054-01</x:v>
      </x:c>
      <x:c r="B58" s="28" t="str">
        <x:v>CAM-054</x:v>
      </x:c>
      <x:c r="C58" s="28" t="str">
        <x:v>DOC-CAM-WC-2026</x:v>
      </x:c>
      <x:c r="D58" s="28" t="str">
        <x:v>Primary Evidence</x:v>
      </x:c>
      <x:c r="E58" s="28" t="str">
        <x:v>Text Span</x:v>
      </x:c>
      <x:c r="F58" s="28" t="str"/>
      <x:c r="G58" s="28" t="str">
        <x:v>PDF p. 13, Table 3</x:v>
      </x:c>
      <x:c r="H58" s="28" t="n">
        <x:v>13</x:v>
      </x:c>
      <x:c r="I58" s="28" t="n">
        <x:v>13</x:v>
      </x:c>
      <x:c r="J58" s="28" t="n">
        <x:v>13</x:v>
      </x:c>
      <x:c r="K58" s="28" t="str">
        <x:v>13</x:v>
      </x:c>
      <x:c r="L58" s="28" t="str">
        <x:v>Activity roadmap</x:v>
      </x:c>
      <x:c r="M58" s="28" t="str">
        <x:v>Support Systems (DSS). transboundary data sharing, [MOWRAM] exchange, and collaboration [MOWRAM/CNMC] - Update the DSS systems for transboundary water resources data and information management [MOWRAM/CNMC] Preparing National Flood - Develop flood and drought - Develop the National and Emergency Response risk zone maps Regional Guidelines on Early - Install new and upgrade Plans that show flood Warning Systems for Flood and existing early warning prone regions, and Drought systems preparedness and - Upgrade the National</x:v>
      </x:c>
      <x:c r="N58" s="28" t="str">
        <x:v>support system dss transboundary data shar mowram exchange and collaboration mowramcnmc update the dss system for transboundary water resource data and information management mowramcnmc prepar national flood develop flood and drought develop the national and emergency response risk zone maps regional guideline on early install new and upgrade plan that show flood warn system for flood and exist early warn prone region and drought system preparedness and upgrade the national</x:v>
      </x:c>
      <x:c r="O58" s="28" t="str">
        <x:v>ef05a45a9171b590aa51f9b28fc2e4b21b5ab387b9265d1cfce675fc41c77cb8</x:v>
      </x:c>
      <x:c r="P58" s="28" t="str"/>
      <x:c r="Q58" s="28" t="str"/>
      <x:c r="R58" s="28" t="str">
        <x:v>[[727,749],[750,777],[778,786],[787,814],[844,857],[815,816],[817,843],[858,877],[878,896],[897,919],[920,933],[934,958],[959,960],[961,986],[987,988],[989,1013],[1014,1032],[1033,1047],[1048,1076],[1099,1100],[1101,1124],[1077,1098],[1125,1154],[1174,1196],[1155,1173],[1197,1204],[1222,1229],[1205,1221],[1230,1231],[1232,1252]]</x:v>
      </x:c>
      <x:c r="S58" s="28" t="str">
        <x:v>Fuzzy token-window match</x:v>
      </x:c>
      <x:c r="T58" s="28" t="str">
        <x:v>Original Compact Text</x:v>
      </x:c>
      <x:c r="U58" s="28" t="str">
        <x:v>Transboundary DSS and data sharing</x:v>
      </x:c>
      <x:c r="V58" s="28" t="n">
        <x:v>0.99138</x:v>
      </x:c>
      <x:c r="W58" s="28" t="n">
        <x:v>1</x:v>
      </x:c>
      <x:c r="X58" s="28" t="n">
        <x:v>1</x:v>
      </x:c>
      <x:c r="Y58" s="28" t="n">
        <x:v>1</x:v>
      </x:c>
      <x:c r="Z58" s="28" t="n">
        <x:v>0.793103</x:v>
      </x:c>
      <x:c r="AA58" s="28" t="str">
        <x:v>High</x:v>
      </x:c>
      <x:c r="AB58" s="28" t="str">
        <x:v>Pass</x:v>
      </x:c>
      <x:c r="AC58" s="28" t="str">
        <x:v>Pending human review</x:v>
      </x:c>
      <x:c r="AD58" s="28" t="str"/>
      <x:c r="AE58" s="28" t="n">
        <x:v>46238.87231481481</x:v>
      </x:c>
    </x:row>
    <x:row r="59" ht="60" customHeight="1">
      <x:c r="A59" s="28" t="str">
        <x:v>ANC-CAM-055-01</x:v>
      </x:c>
      <x:c r="B59" s="28" t="str">
        <x:v>CAM-055</x:v>
      </x:c>
      <x:c r="C59" s="28" t="str">
        <x:v>DOC-CAM-WC-2026</x:v>
      </x:c>
      <x:c r="D59" s="28" t="str">
        <x:v>Primary Evidence</x:v>
      </x:c>
      <x:c r="E59" s="28" t="str">
        <x:v>Text Span</x:v>
      </x:c>
      <x:c r="F59" s="28" t="str"/>
      <x:c r="G59" s="28" t="str">
        <x:v>PDF p. 13, Table 3</x:v>
      </x:c>
      <x:c r="H59" s="28" t="n">
        <x:v>13</x:v>
      </x:c>
      <x:c r="I59" s="28" t="n">
        <x:v>13</x:v>
      </x:c>
      <x:c r="J59" s="28" t="n">
        <x:v>13</x:v>
      </x:c>
      <x:c r="K59" s="28" t="str">
        <x:v>13</x:v>
      </x:c>
      <x:c r="L59" s="28" t="str">
        <x:v>Activity roadmap</x:v>
      </x:c>
      <x:c r="M59" s="28" t="str">
        <x:v>Prepare a national flood emergency response framework in the high-risk</x:v>
      </x:c>
      <x:c r="N59" s="28" t="str">
        <x:v>prepare a national flood emergency response framework in the highrisk</x:v>
      </x:c>
      <x:c r="O59" s="28" t="str">
        <x:v>29285cd5c77eb3a53a2eb12f5056e44fe60b73f9b84096cffe932c324fbb7a7f</x:v>
      </x:c>
      <x:c r="P59" s="28" t="str"/>
      <x:c r="Q59" s="28" t="str"/>
      <x:c r="R59" s="28" t="str">
        <x:v>[[1281,1305],[1358,1376],[1430,1456]]</x:v>
      </x:c>
      <x:c r="S59" s="28" t="str">
        <x:v>Exact spatial line-cluster phrase</x:v>
      </x:c>
      <x:c r="T59" s="28" t="str">
        <x:v>Original Compact Text</x:v>
      </x:c>
      <x:c r="U59" s="28" t="str">
        <x:v>National flood emergency response framework</x:v>
      </x:c>
      <x:c r="V59" s="28" t="n">
        <x:v>0.999</x:v>
      </x:c>
      <x:c r="W59" s="28" t="n">
        <x:v>0.913386</x:v>
      </x:c>
      <x:c r="X59" s="28" t="n">
        <x:v>0.84058</x:v>
      </x:c>
      <x:c r="Y59" s="28" t="n">
        <x:v>1</x:v>
      </x:c>
      <x:c r="Z59" s="28" t="n">
        <x:v>0.767857</x:v>
      </x:c>
      <x:c r="AA59" s="28" t="str">
        <x:v>High</x:v>
      </x:c>
      <x:c r="AB59" s="28" t="str">
        <x:v>Pass</x:v>
      </x:c>
      <x:c r="AC59" s="28" t="str">
        <x:v>Pending human review</x:v>
      </x:c>
      <x:c r="AD59" s="28" t="str"/>
      <x:c r="AE59" s="28" t="n">
        <x:v>46238.87231481481</x:v>
      </x:c>
    </x:row>
    <x:row r="60" ht="60" customHeight="1">
      <x:c r="A60" s="28" t="str">
        <x:v>ANC-CAM-056-01</x:v>
      </x:c>
      <x:c r="B60" s="28" t="str">
        <x:v>CAM-056</x:v>
      </x:c>
      <x:c r="C60" s="28" t="str">
        <x:v>DOC-CAM-WC-2026</x:v>
      </x:c>
      <x:c r="D60" s="28" t="str">
        <x:v>Primary Evidence</x:v>
      </x:c>
      <x:c r="E60" s="28" t="str">
        <x:v>Text Span</x:v>
      </x:c>
      <x:c r="F60" s="28" t="str"/>
      <x:c r="G60" s="28" t="str">
        <x:v>PDF p. 13, Table 3</x:v>
      </x:c>
      <x:c r="H60" s="28" t="n">
        <x:v>13</x:v>
      </x:c>
      <x:c r="I60" s="28" t="n">
        <x:v>13</x:v>
      </x:c>
      <x:c r="J60" s="28" t="n">
        <x:v>13</x:v>
      </x:c>
      <x:c r="K60" s="28" t="str">
        <x:v>13</x:v>
      </x:c>
      <x:c r="L60" s="28" t="str">
        <x:v>Activity roadmap</x:v>
      </x:c>
      <x:c r="M60" s="28" t="str">
        <x:v>Develop the National and Regional Guidelines on Early Warning Systems for Flood and Drought</x:v>
      </x:c>
      <x:c r="N60" s="28" t="str">
        <x:v>develop the national and regional guideline on early warn system for flood and drought</x:v>
      </x:c>
      <x:c r="O60" s="28" t="str">
        <x:v>8f78f5dfd6dfdf9e7b4db7f6626366faa1c403629847ed6986f62134d5c0e291</x:v>
      </x:c>
      <x:c r="P60" s="28" t="str"/>
      <x:c r="Q60" s="28" t="str"/>
      <x:c r="R60" s="28" t="str">
        <x:v>[[989,1013],[1048,1076],[1125,1154],[1197,1204]]</x:v>
      </x:c>
      <x:c r="S60" s="28" t="str">
        <x:v>Fuzzy spatial line-cluster match</x:v>
      </x:c>
      <x:c r="T60" s="28" t="str">
        <x:v>Standardized Candidate</x:v>
      </x:c>
      <x:c r="U60" s="28" t="str">
        <x:v>Adopt national and regional flood and drought early-warning guidelines</x:v>
      </x:c>
      <x:c r="V60" s="28" t="n">
        <x:v>0.705386</x:v>
      </x:c>
      <x:c r="W60" s="28" t="n">
        <x:v>0.773834</x:v>
      </x:c>
      <x:c r="X60" s="28" t="n">
        <x:v>0.771151</x:v>
      </x:c>
      <x:c r="Y60" s="28" t="n">
        <x:v>0.776536</x:v>
      </x:c>
      <x:c r="Z60" s="28" t="n">
        <x:v>0.582781</x:v>
      </x:c>
      <x:c r="AA60" s="28" t="str">
        <x:v>Medium</x:v>
      </x:c>
      <x:c r="AB60" s="28" t="str">
        <x:v>Pass</x:v>
      </x:c>
      <x:c r="AC60" s="28" t="str">
        <x:v>Pending human review</x:v>
      </x:c>
      <x:c r="AD60" s="28" t="str"/>
      <x:c r="AE60" s="28" t="n">
        <x:v>46238.87231481481</x:v>
      </x:c>
    </x:row>
    <x:row r="61" ht="60" customHeight="1">
      <x:c r="A61" s="28" t="str">
        <x:v>ANC-CAM-057-01</x:v>
      </x:c>
      <x:c r="B61" s="28" t="str">
        <x:v>CAM-057</x:v>
      </x:c>
      <x:c r="C61" s="28" t="str">
        <x:v>DOC-CAM-WC-2026</x:v>
      </x:c>
      <x:c r="D61" s="28" t="str">
        <x:v>Primary Evidence</x:v>
      </x:c>
      <x:c r="E61" s="28" t="str">
        <x:v>Text Span</x:v>
      </x:c>
      <x:c r="F61" s="28" t="str"/>
      <x:c r="G61" s="28" t="str">
        <x:v>PDF p. 13, Table 3</x:v>
      </x:c>
      <x:c r="H61" s="28" t="n">
        <x:v>13</x:v>
      </x:c>
      <x:c r="I61" s="28" t="n">
        <x:v>13</x:v>
      </x:c>
      <x:c r="J61" s="28" t="n">
        <x:v>13</x:v>
      </x:c>
      <x:c r="K61" s="28" t="str">
        <x:v>13</x:v>
      </x:c>
      <x:c r="L61" s="28" t="str">
        <x:v>Activity roadmap</x:v>
      </x:c>
      <x:c r="M61" s="28" t="str">
        <x:v>Update the Law on Water Resources Management</x:v>
      </x:c>
      <x:c r="N61" s="28" t="str">
        <x:v>update the law on water resource management</x:v>
      </x:c>
      <x:c r="O61" s="28" t="str">
        <x:v>a987b1d2674bb1d30765d6bf12b68ed647307ab18fcf13adeee290d2eb267e24</x:v>
      </x:c>
      <x:c r="P61" s="28" t="str"/>
      <x:c r="Q61" s="28" t="str"/>
      <x:c r="R61" s="28" t="str">
        <x:v>[[1550,1573],[1613,1633]]</x:v>
      </x:c>
      <x:c r="S61" s="28" t="str">
        <x:v>Fuzzy spatial line-cluster match</x:v>
      </x:c>
      <x:c r="T61" s="28" t="str">
        <x:v>Original Compact Text</x:v>
      </x:c>
      <x:c r="U61" s="28" t="str">
        <x:v>Update Water Resources Management Law</x:v>
      </x:c>
      <x:c r="V61" s="28" t="n">
        <x:v>0.990578</x:v>
      </x:c>
      <x:c r="W61" s="28" t="n">
        <x:v>1</x:v>
      </x:c>
      <x:c r="X61" s="28" t="n">
        <x:v>1</x:v>
      </x:c>
      <x:c r="Y61" s="28" t="n">
        <x:v>1</x:v>
      </x:c>
      <x:c r="Z61" s="28" t="n">
        <x:v>0.810127</x:v>
      </x:c>
      <x:c r="AA61" s="28" t="str">
        <x:v>High</x:v>
      </x:c>
      <x:c r="AB61" s="28" t="str">
        <x:v>Pass</x:v>
      </x:c>
      <x:c r="AC61" s="28" t="str">
        <x:v>Pending human review</x:v>
      </x:c>
      <x:c r="AD61" s="28" t="str"/>
      <x:c r="AE61" s="28" t="n">
        <x:v>46238.87231481481</x:v>
      </x:c>
    </x:row>
    <x:row r="62" ht="60" customHeight="1">
      <x:c r="A62" s="28" t="str">
        <x:v>ANC-CAM-058-01</x:v>
      </x:c>
      <x:c r="B62" s="28" t="str">
        <x:v>CAM-058</x:v>
      </x:c>
      <x:c r="C62" s="28" t="str">
        <x:v>DOC-CAM-WC-2026</x:v>
      </x:c>
      <x:c r="D62" s="28" t="str">
        <x:v>Duplicate/Sub-action Evidence</x:v>
      </x:c>
      <x:c r="E62" s="28" t="str">
        <x:v>Text Span</x:v>
      </x:c>
      <x:c r="F62" s="28" t="str"/>
      <x:c r="G62" s="28" t="str">
        <x:v>PDF p. 13, Table 3</x:v>
      </x:c>
      <x:c r="H62" s="28" t="n">
        <x:v>13</x:v>
      </x:c>
      <x:c r="I62" s="28" t="n">
        <x:v>13</x:v>
      </x:c>
      <x:c r="J62" s="28" t="n">
        <x:v>13</x:v>
      </x:c>
      <x:c r="K62" s="28" t="str">
        <x:v>13</x:v>
      </x:c>
      <x:c r="L62" s="28" t="str">
        <x:v>Activity roadmap</x:v>
      </x:c>
      <x:c r="M62" s="28" t="str">
        <x:v>Revise the National Water Resources Management Policy</x:v>
      </x:c>
      <x:c r="N62" s="28" t="str">
        <x:v>revise the national water resource management policy</x:v>
      </x:c>
      <x:c r="O62" s="28" t="str">
        <x:v>60e999de4eb1535c41496b072bdaeaafc5c1a4f3e645649e64506ddc0302d47e</x:v>
      </x:c>
      <x:c r="P62" s="28" t="str"/>
      <x:c r="Q62" s="28" t="str"/>
      <x:c r="R62" s="28" t="str">
        <x:v>[[1576,1601],[1634,1661]]</x:v>
      </x:c>
      <x:c r="S62" s="28" t="str">
        <x:v>Exact spatial line-cluster phrase</x:v>
      </x:c>
      <x:c r="T62" s="28" t="str">
        <x:v>Standardized Candidate</x:v>
      </x:c>
      <x:c r="U62" s="28" t="str">
        <x:v>Revise the National Water Resources Management Policy</x:v>
      </x:c>
      <x:c r="V62" s="28" t="n">
        <x:v>0.98325</x:v>
      </x:c>
      <x:c r="W62" s="28" t="n">
        <x:v>1</x:v>
      </x:c>
      <x:c r="X62" s="28" t="n">
        <x:v>1</x:v>
      </x:c>
      <x:c r="Y62" s="28" t="n">
        <x:v>1</x:v>
      </x:c>
      <x:c r="Z62" s="28" t="n">
        <x:v>1</x:v>
      </x:c>
      <x:c r="AA62" s="28" t="str">
        <x:v>High</x:v>
      </x:c>
      <x:c r="AB62" s="28" t="str">
        <x:v>Pass</x:v>
      </x:c>
      <x:c r="AC62" s="28" t="str">
        <x:v>Pending human review</x:v>
      </x:c>
      <x:c r="AD62" s="28" t="str"/>
      <x:c r="AE62" s="28" t="n">
        <x:v>46238.87231481481</x:v>
      </x:c>
    </x:row>
    <x:row r="63" ht="60" customHeight="1">
      <x:c r="A63" s="28" t="str">
        <x:v>ANC-CAM-059-01</x:v>
      </x:c>
      <x:c r="B63" s="28" t="str">
        <x:v>CAM-059</x:v>
      </x:c>
      <x:c r="C63" s="28" t="str">
        <x:v>DOC-CAM-WC-2026</x:v>
      </x:c>
      <x:c r="D63" s="28" t="str">
        <x:v>Exclusion Evidence</x:v>
      </x:c>
      <x:c r="E63" s="28" t="str">
        <x:v>Text Span</x:v>
      </x:c>
      <x:c r="F63" s="28" t="str"/>
      <x:c r="G63" s="28" t="str">
        <x:v>PDF p. 13, Table 3</x:v>
      </x:c>
      <x:c r="H63" s="28" t="n">
        <x:v>13</x:v>
      </x:c>
      <x:c r="I63" s="28" t="n">
        <x:v>13</x:v>
      </x:c>
      <x:c r="J63" s="28" t="n">
        <x:v>13</x:v>
      </x:c>
      <x:c r="K63" s="28" t="str">
        <x:v>13</x:v>
      </x:c>
      <x:c r="L63" s="28" t="str">
        <x:v>Activity roadmap</x:v>
      </x:c>
      <x:c r="M63" s="28" t="str">
        <x:v>regulatory and legal framework dissemination plan across 25</x:v>
      </x:c>
      <x:c r="N63" s="28" t="str">
        <x:v>regulatory and legal framework dissemination plan across 25</x:v>
      </x:c>
      <x:c r="O63" s="28" t="str">
        <x:v>7083277b10223ef6eb4ef1930a33b5922cb38cdbc08134fd700a9a4c4e456d59</x:v>
      </x:c>
      <x:c r="P63" s="28" t="str"/>
      <x:c r="Q63" s="28" t="str"/>
      <x:c r="R63" s="28" t="str">
        <x:v>[[1776,1806],[1841,1869]]</x:v>
      </x:c>
      <x:c r="S63" s="28" t="str">
        <x:v>Exact spatial line-cluster phrase</x:v>
      </x:c>
      <x:c r="T63" s="28" t="str">
        <x:v>Original Compact Text</x:v>
      </x:c>
      <x:c r="U63" s="28" t="str">
        <x:v>Legal framework dissemination plan</x:v>
      </x:c>
      <x:c r="V63" s="28" t="n">
        <x:v>0.999</x:v>
      </x:c>
      <x:c r="W63" s="28" t="n">
        <x:v>0.875472</x:v>
      </x:c>
      <x:c r="X63" s="28" t="n">
        <x:v>0.778523</x:v>
      </x:c>
      <x:c r="Y63" s="28" t="n">
        <x:v>1</x:v>
      </x:c>
      <x:c r="Z63" s="28" t="n">
        <x:v>0.731183</x:v>
      </x:c>
      <x:c r="AA63" s="28" t="str">
        <x:v>High</x:v>
      </x:c>
      <x:c r="AB63" s="28" t="str">
        <x:v>Pass</x:v>
      </x:c>
      <x:c r="AC63" s="28" t="str">
        <x:v>Pending human review</x:v>
      </x:c>
      <x:c r="AD63" s="28" t="str"/>
      <x:c r="AE63" s="28" t="n">
        <x:v>46238.87231481481</x:v>
      </x:c>
    </x:row>
    <x:row r="64" ht="60" customHeight="1">
      <x:c r="A64" s="28" t="str">
        <x:v>ANC-CAM-060-01</x:v>
      </x:c>
      <x:c r="B64" s="28" t="str">
        <x:v>CAM-060</x:v>
      </x:c>
      <x:c r="C64" s="28" t="str">
        <x:v>DOC-CAM-WC-2026</x:v>
      </x:c>
      <x:c r="D64" s="28" t="str">
        <x:v>Primary Evidence</x:v>
      </x:c>
      <x:c r="E64" s="28" t="str">
        <x:v>Text Span</x:v>
      </x:c>
      <x:c r="F64" s="28" t="str"/>
      <x:c r="G64" s="28" t="str">
        <x:v>PDF p. 4, goals narrative</x:v>
      </x:c>
      <x:c r="H64" s="28" t="n">
        <x:v>4</x:v>
      </x:c>
      <x:c r="I64" s="28" t="n">
        <x:v>4</x:v>
      </x:c>
      <x:c r="J64" s="28" t="n">
        <x:v>4</x:v>
      </x:c>
      <x:c r="K64" s="28" t="str">
        <x:v>4</x:v>
      </x:c>
      <x:c r="L64" s="28" t="str">
        <x:v>Narrative commitment</x:v>
      </x:c>
      <x:c r="M64" s="28" t="str">
        <x:v>Water for Planet The Government commits to protecting 450,000 hectares of agricultural land from flood and drought damage, developing a comprehensive flood management strategy that combines risk-informed land-use planning, physical infrastructure improvements, and nature-based solutions, and improving emergency response procedures.</x:v>
      </x:c>
      <x:c r="N64" s="28" t="str">
        <x:v>water for planet the government commit to protect 450 000 hectare of agricultural land from flood and drought damage develop a comprehensive flood management strategy that combine riskinform landuse plann physical infrastructure improvement and naturebas solution and improv emergency response procedure</x:v>
      </x:c>
      <x:c r="O64" s="28" t="str">
        <x:v>0e2f964ce5d5b7c1ec62ea7f5fc1ea745b5d32e53c477819bb0e8805f849cf1a</x:v>
      </x:c>
      <x:c r="P64" s="28" t="str"/>
      <x:c r="Q64" s="28" t="str"/>
      <x:c r="R64" s="28" t="str">
        <x:v>[[1245,1261],[1262,1359],[1360,1448],[1449,1537],[1538,1578]]</x:v>
      </x:c>
      <x:c r="S64" s="28" t="str">
        <x:v>Fuzzy token-window match</x:v>
      </x:c>
      <x:c r="T64" s="28" t="str">
        <x:v>Original Compact Text</x:v>
      </x:c>
      <x:c r="U64" s="28" t="str">
        <x:v>Develop comprehensive flood management strategy</x:v>
      </x:c>
      <x:c r="V64" s="28" t="n">
        <x:v>0.999</x:v>
      </x:c>
      <x:c r="W64" s="28" t="n">
        <x:v>1</x:v>
      </x:c>
      <x:c r="X64" s="28" t="n">
        <x:v>1</x:v>
      </x:c>
      <x:c r="Y64" s="28" t="n">
        <x:v>1</x:v>
      </x:c>
      <x:c r="Z64" s="28" t="n">
        <x:v>0.906977</x:v>
      </x:c>
      <x:c r="AA64" s="28" t="str">
        <x:v>High</x:v>
      </x:c>
      <x:c r="AB64" s="28" t="str">
        <x:v>Pass</x:v>
      </x:c>
      <x:c r="AC64" s="28" t="str">
        <x:v>Pending human review</x:v>
      </x:c>
      <x:c r="AD64" s="28" t="str"/>
      <x:c r="AE64" s="28" t="n">
        <x:v>46238.87231481481</x:v>
      </x:c>
    </x:row>
    <x:row r="65" ht="60" customHeight="1">
      <x:c r="A65" s="28" t="str">
        <x:v>ANC-CAM-061-01</x:v>
      </x:c>
      <x:c r="B65" s="28" t="str">
        <x:v>CAM-061</x:v>
      </x:c>
      <x:c r="C65" s="28" t="str">
        <x:v>DOC-CAM-WC-2026</x:v>
      </x:c>
      <x:c r="D65" s="28" t="str">
        <x:v>Primary Evidence</x:v>
      </x:c>
      <x:c r="E65" s="28" t="str">
        <x:v>Text Span</x:v>
      </x:c>
      <x:c r="F65" s="28" t="str"/>
      <x:c r="G65" s="28" t="str">
        <x:v>PDF p. 4, goals narrative</x:v>
      </x:c>
      <x:c r="H65" s="28" t="n">
        <x:v>4</x:v>
      </x:c>
      <x:c r="I65" s="28" t="n">
        <x:v>4</x:v>
      </x:c>
      <x:c r="J65" s="28" t="n">
        <x:v>4</x:v>
      </x:c>
      <x:c r="K65" s="28" t="str">
        <x:v>4</x:v>
      </x:c>
      <x:c r="L65" s="28" t="str">
        <x:v>Narrative commitment</x:v>
      </x:c>
      <x:c r="M65" s="28" t="str">
        <x:v>This commitment also recognizes groundwater as a strategic resource, promoting its sustainable assessment, protection, and conjunctive use with surface water to enhance climate resilience and year-round water security.</x:v>
      </x:c>
      <x:c r="N65" s="28" t="str">
        <x:v>this commitment also recognize groundwater as a strategic resource promot its sustainable assessment protection and conjunctive use with surface water to enhance climate resilience and yearround water security</x:v>
      </x:c>
      <x:c r="O65" s="28" t="str">
        <x:v>9310d8af776300d4ac10eccb3f2f9145e63a491595a27ee815592929e4f011ae</x:v>
      </x:c>
      <x:c r="P65" s="28" t="str"/>
      <x:c r="Q65" s="28" t="str"/>
      <x:c r="R65" s="28" t="str">
        <x:v>[[1579,1627],[1628,1722],[1723,1797]]</x:v>
      </x:c>
      <x:c r="S65" s="28" t="str">
        <x:v>Fuzzy token-window match</x:v>
      </x:c>
      <x:c r="T65" s="28" t="str">
        <x:v>Standardized Candidate</x:v>
      </x:c>
      <x:c r="U65" s="28" t="str">
        <x:v>Strengthen sustainable groundwater assessment, protection, and conjunctive use</x:v>
      </x:c>
      <x:c r="V65" s="28" t="n">
        <x:v>0.866323</x:v>
      </x:c>
      <x:c r="W65" s="28" t="n">
        <x:v>0.923505</x:v>
      </x:c>
      <x:c r="X65" s="28" t="n">
        <x:v>0.857881</x:v>
      </x:c>
      <x:c r="Y65" s="28" t="n">
        <x:v>1</x:v>
      </x:c>
      <x:c r="Z65" s="28" t="n">
        <x:v>0.681818</x:v>
      </x:c>
      <x:c r="AA65" s="28" t="str">
        <x:v>High</x:v>
      </x:c>
      <x:c r="AB65" s="28" t="str">
        <x:v>Pass</x:v>
      </x:c>
      <x:c r="AC65" s="28" t="str">
        <x:v>Pending human review</x:v>
      </x:c>
      <x:c r="AD65" s="28" t="str"/>
      <x:c r="AE65" s="28" t="n">
        <x:v>46238.87231481481</x:v>
      </x:c>
    </x:row>
    <x:row r="66" ht="60" customHeight="1">
      <x:c r="A66" s="28" t="str">
        <x:v>ANC-CAM-062-01</x:v>
      </x:c>
      <x:c r="B66" s="28" t="str">
        <x:v>CAM-062</x:v>
      </x:c>
      <x:c r="C66" s="28" t="str">
        <x:v>DOC-CAM-WC-2026</x:v>
      </x:c>
      <x:c r="D66" s="28" t="str">
        <x:v>Primary Evidence</x:v>
      </x:c>
      <x:c r="E66" s="28" t="str">
        <x:v>Text Span</x:v>
      </x:c>
      <x:c r="F66" s="28" t="str"/>
      <x:c r="G66" s="28" t="str">
        <x:v>PDF p. 8, roadmap narrative</x:v>
      </x:c>
      <x:c r="H66" s="28" t="n">
        <x:v>8</x:v>
      </x:c>
      <x:c r="I66" s="28" t="n">
        <x:v>8</x:v>
      </x:c>
      <x:c r="J66" s="28" t="n">
        <x:v>8</x:v>
      </x:c>
      <x:c r="K66" s="28" t="str">
        <x:v>8</x:v>
      </x:c>
      <x:c r="L66" s="28" t="str">
        <x:v>Roadmap narrative</x:v>
      </x:c>
      <x:c r="M66" s="28" t="str">
        <x:v>The RGC commits to expanding urban flood drainage and wastewater development through city infrastructure master plans; introducing a dedicated wastewater law to reduce water pollution; strengthening policies for management of solid, liquid, gaseous, and hazardous wastes; and requiring wastewater treatment systems in Special Economic Zones.</x:v>
      </x:c>
      <x:c r="N66" s="28" t="str">
        <x:v>the rgc commit to expand urban flood drainage and wastewater development through city infrastructure master plan introduc a dedicat wastewater law to reduce water pollution strengthen policy for management of solid liquid gaseou and hazardou waste and requir wastewater treatment system in special economic zone</x:v>
      </x:c>
      <x:c r="O66" s="28" t="str">
        <x:v>7ec3df3527af6646b53f7740af6e2b68dbf13aa7fb803d98d2dbd047ec8d1948</x:v>
      </x:c>
      <x:c r="P66" s="28" t="str"/>
      <x:c r="Q66" s="28" t="str"/>
      <x:c r="R66" s="28" t="str">
        <x:v>[[1667,1756],[1757,1851],[1852,1942],[1943,2008]]</x:v>
      </x:c>
      <x:c r="S66" s="28" t="str">
        <x:v>Fuzzy token-window match</x:v>
      </x:c>
      <x:c r="T66" s="28" t="str">
        <x:v>Original Compact Text</x:v>
      </x:c>
      <x:c r="U66" s="28" t="str">
        <x:v>Introduce dedicated wastewater law</x:v>
      </x:c>
      <x:c r="V66" s="28" t="n">
        <x:v>0.828921</x:v>
      </x:c>
      <x:c r="W66" s="28" t="n">
        <x:v>0.836066</x:v>
      </x:c>
      <x:c r="X66" s="28" t="n">
        <x:v>1</x:v>
      </x:c>
      <x:c r="Y66" s="28" t="n">
        <x:v>0.71831</x:v>
      </x:c>
      <x:c r="Z66" s="28" t="n">
        <x:v>0.821429</x:v>
      </x:c>
      <x:c r="AA66" s="28" t="str">
        <x:v>High</x:v>
      </x:c>
      <x:c r="AB66" s="28" t="str">
        <x:v>Pass</x:v>
      </x:c>
      <x:c r="AC66" s="28" t="str">
        <x:v>Pending human review</x:v>
      </x:c>
      <x:c r="AD66" s="28" t="str"/>
      <x:c r="AE66" s="28" t="n">
        <x:v>46238.87231481481</x:v>
      </x:c>
    </x:row>
    <x:row r="67" ht="60" customHeight="1">
      <x:c r="A67" s="28" t="str">
        <x:v>ANC-CAM-063-01</x:v>
      </x:c>
      <x:c r="B67" s="28" t="str">
        <x:v>CAM-063</x:v>
      </x:c>
      <x:c r="C67" s="28" t="str">
        <x:v>DOC-CAM-WC-2026</x:v>
      </x:c>
      <x:c r="D67" s="28" t="str">
        <x:v>Primary Evidence</x:v>
      </x:c>
      <x:c r="E67" s="28" t="str">
        <x:v>Text Span</x:v>
      </x:c>
      <x:c r="F67" s="28" t="str"/>
      <x:c r="G67" s="28" t="str">
        <x:v>PDF p. 8, roadmap narrative</x:v>
      </x:c>
      <x:c r="H67" s="28" t="n">
        <x:v>8</x:v>
      </x:c>
      <x:c r="I67" s="28" t="n">
        <x:v>8</x:v>
      </x:c>
      <x:c r="J67" s="28" t="n">
        <x:v>8</x:v>
      </x:c>
      <x:c r="K67" s="28" t="str">
        <x:v>8</x:v>
      </x:c>
      <x:c r="L67" s="28" t="str">
        <x:v>Roadmap narrative</x:v>
      </x:c>
      <x:c r="M67" s="28" t="str">
        <x:v>Under Cambodia’s Third Nationally Determined Contribution (NDC 3.0), the RGC is committed to mainstreaming climate risk assessments, developing and implementing a climate-resilient and inclusive water supply and sanitation response framework, undertaking measures to enhance climate resilience, and promoting investments and climate financing for the development of climate- resilient, low-carbon water supply and sanitation infrastructures and systems.</x:v>
      </x:c>
      <x:c r="N67" s="28" t="str">
        <x:v>under cambodia third nationally determin contribution ndc 3 0 the rgc is committ to mainstream climate risk assessment develop and implement a climateresilient and inclusive water supply and sanitation response framework undertak measure to enhance climate resilience and promot investment and climate financ for the development of climate resilient lowcarbon water supply and sanitation infrastructure and system</x:v>
      </x:c>
      <x:c r="O67" s="28" t="str">
        <x:v>ebf81b5005be24f014811f6d6239a83fcec984cebafd4fd8d5e678565f0ed33b</x:v>
      </x:c>
      <x:c r="P67" s="28" t="str"/>
      <x:c r="Q67" s="28" t="str"/>
      <x:c r="R67" s="28" t="str">
        <x:v>[[2009,2101],[2102,2193],[2194,2283],[2284,2383],[2384,2462]]</x:v>
      </x:c>
      <x:c r="S67" s="28" t="str">
        <x:v>Fuzzy token-window match</x:v>
      </x:c>
      <x:c r="T67" s="28" t="str">
        <x:v>Standardized Candidate</x:v>
      </x:c>
      <x:c r="U67" s="28" t="str">
        <x:v>Adopt a climate-resilient and inclusive WSS response framework</x:v>
      </x:c>
      <x:c r="V67" s="28" t="n">
        <x:v>0.818949</x:v>
      </x:c>
      <x:c r="W67" s="28" t="n">
        <x:v>0.871481</x:v>
      </x:c>
      <x:c r="X67" s="28" t="n">
        <x:v>0.86618</x:v>
      </x:c>
      <x:c r="Y67" s="28" t="n">
        <x:v>0.876847</x:v>
      </x:c>
      <x:c r="Z67" s="28" t="n">
        <x:v>0.768116</x:v>
      </x:c>
      <x:c r="AA67" s="28" t="str">
        <x:v>High</x:v>
      </x:c>
      <x:c r="AB67" s="28" t="str">
        <x:v>Pass</x:v>
      </x:c>
      <x:c r="AC67" s="28" t="str">
        <x:v>Pending human review</x:v>
      </x:c>
      <x:c r="AD67" s="28" t="str"/>
      <x:c r="AE67" s="28" t="n">
        <x:v>46238.87231481481</x:v>
      </x:c>
    </x:row>
    <x:row r="68" ht="60" customHeight="1">
      <x:c r="A68" s="28" t="str">
        <x:v>ANC-CAM-064-01</x:v>
      </x:c>
      <x:c r="B68" s="28" t="str">
        <x:v>CAM-064</x:v>
      </x:c>
      <x:c r="C68" s="28" t="str">
        <x:v>DOC-CAM-WC-2026</x:v>
      </x:c>
      <x:c r="D68" s="28" t="str">
        <x:v>Primary Evidence</x:v>
      </x:c>
      <x:c r="E68" s="28" t="str">
        <x:v>Text Span</x:v>
      </x:c>
      <x:c r="F68" s="28" t="str"/>
      <x:c r="G68" s="28" t="str">
        <x:v>PDF p. 8, roadmap narrative</x:v>
      </x:c>
      <x:c r="H68" s="28" t="n">
        <x:v>8</x:v>
      </x:c>
      <x:c r="I68" s="28" t="n">
        <x:v>8</x:v>
      </x:c>
      <x:c r="J68" s="28" t="n">
        <x:v>8</x:v>
      </x:c>
      <x:c r="K68" s="28" t="str">
        <x:v>8</x:v>
      </x:c>
      <x:c r="L68" s="28" t="str">
        <x:v>Roadmap narrative</x:v>
      </x:c>
      <x:c r="M68" s="28" t="str">
        <x:v>The RGC also commits to enhancing the strategic role of the state while creating incentives for private sector investment in prioritized geographic locations, Special Economic Zones, industrial parks, clusters of micro/small/medium enterprises, and economic poles.</x:v>
      </x:c>
      <x:c r="N68" s="28" t="str">
        <x:v>the rgc also commit to enhanc the strategic role of the state while creat incentive for private sector investment in prioritiz geographic location special economic zone industrial park cluster of microsmallmedium enterprise and economic pole</x:v>
      </x:c>
      <x:c r="O68" s="28" t="str">
        <x:v>295833242210f15ecb5d782eec3c037aad1f445e53760a3544ec141e6c176509</x:v>
      </x:c>
      <x:c r="P68" s="28" t="str"/>
      <x:c r="Q68" s="28" t="str"/>
      <x:c r="R68" s="28" t="str">
        <x:v>[[1150,1221],[1222,1316],[1317,1407],[1408,1414]]</x:v>
      </x:c>
      <x:c r="S68" s="28" t="str">
        <x:v>Fuzzy token-window match</x:v>
      </x:c>
      <x:c r="T68" s="28" t="str">
        <x:v>Standardized Candidate</x:v>
      </x:c>
      <x:c r="U68" s="28" t="str">
        <x:v>Create incentives for private water-sector investment</x:v>
      </x:c>
      <x:c r="V68" s="28" t="n">
        <x:v>0.725896</x:v>
      </x:c>
      <x:c r="W68" s="28" t="n">
        <x:v>0.752412</x:v>
      </x:c>
      <x:c r="X68" s="28" t="n">
        <x:v>1</x:v>
      </x:c>
      <x:c r="Y68" s="28" t="n">
        <x:v>0.603093</x:v>
      </x:c>
      <x:c r="Z68" s="28" t="n">
        <x:v>0.83871</x:v>
      </x:c>
      <x:c r="AA68" s="28" t="str">
        <x:v>Medium</x:v>
      </x:c>
      <x:c r="AB68" s="28" t="str">
        <x:v>Pass</x:v>
      </x:c>
      <x:c r="AC68" s="28" t="str">
        <x:v>Pending human review</x:v>
      </x:c>
      <x:c r="AD68" s="28" t="str"/>
      <x:c r="AE68" s="28" t="n">
        <x:v>46238.87231481481</x:v>
      </x:c>
    </x:row>
    <x:row r="69" ht="60" customHeight="1">
      <x:c r="A69" s="28" t="str">
        <x:v>ANC-CAM-065-01</x:v>
      </x:c>
      <x:c r="B69" s="28" t="str">
        <x:v>CAM-065</x:v>
      </x:c>
      <x:c r="C69" s="28" t="str">
        <x:v>DOC-CAM-WC-2026</x:v>
      </x:c>
      <x:c r="D69" s="28" t="str">
        <x:v>Primary Evidence</x:v>
      </x:c>
      <x:c r="E69" s="28" t="str">
        <x:v>Text Span</x:v>
      </x:c>
      <x:c r="F69" s="28" t="str"/>
      <x:c r="G69" s="28" t="str">
        <x:v>PDF p. 9, roadmap narrative</x:v>
      </x:c>
      <x:c r="H69" s="28" t="n">
        <x:v>9</x:v>
      </x:c>
      <x:c r="I69" s="28" t="n">
        <x:v>9</x:v>
      </x:c>
      <x:c r="J69" s="28" t="n">
        <x:v>9</x:v>
      </x:c>
      <x:c r="K69" s="28" t="str">
        <x:v>9</x:v>
      </x:c>
      <x:c r="L69" s="28" t="str">
        <x:v>Roadmap narrative</x:v>
      </x:c>
      <x:c r="M69" s="28" t="str">
        <x:v>The Cambodia Climate Resilient and Integrated Water Resources Management (IWRM) Action Plan 2026-2030 commits to strengthening river basin governance across Cambodia's five priority basins including several that are hydrologically transboundary in nature, promoting multi-purpose water management, improving groundwater management and use and enhancing water governance financing.</x:v>
      </x:c>
      <x:c r="N69" s="28" t="str">
        <x:v>the cambodia climate resilient and integrat water resource management iwrm action plan 20262030 commit to strengthen river basin governance across cambodia five priority basin includ several that are hydrologically transboundary in nature promot multipurpose water management improv groundwater management and use and enhanc water governance financ</x:v>
      </x:c>
      <x:c r="O69" s="28" t="str">
        <x:v>4b7d6dd66267a7aca0d1fd02e71e455b4a19bfd3b53c5768fd55366643d06975</x:v>
      </x:c>
      <x:c r="P69" s="28" t="str"/>
      <x:c r="Q69" s="28" t="str"/>
      <x:c r="R69" s="28" t="str">
        <x:v>[[1815,1876],[1877,1964],[1965,2062],[2063,2153],[2154,2195]]</x:v>
      </x:c>
      <x:c r="S69" s="28" t="str">
        <x:v>Fuzzy token-window match</x:v>
      </x:c>
      <x:c r="T69" s="28" t="str">
        <x:v>Original Compact Text</x:v>
      </x:c>
      <x:c r="U69" s="28" t="str">
        <x:v>Strengthen governance across five basins</x:v>
      </x:c>
      <x:c r="V69" s="28" t="n">
        <x:v>0.951505</x:v>
      </x:c>
      <x:c r="W69" s="28" t="n">
        <x:v>0.948646</x:v>
      </x:c>
      <x:c r="X69" s="28" t="n">
        <x:v>0.902309</x:v>
      </x:c>
      <x:c r="Y69" s="28" t="n">
        <x:v>1</x:v>
      </x:c>
      <x:c r="Z69" s="28" t="n">
        <x:v>0.657895</x:v>
      </x:c>
      <x:c r="AA69" s="28" t="str">
        <x:v>High</x:v>
      </x:c>
      <x:c r="AB69" s="28" t="str">
        <x:v>Pass</x:v>
      </x:c>
      <x:c r="AC69" s="28" t="str">
        <x:v>Pending human review</x:v>
      </x:c>
      <x:c r="AD69" s="28" t="str"/>
      <x:c r="AE69" s="28" t="n">
        <x:v>46238.87231481481</x:v>
      </x:c>
    </x:row>
    <x:row r="70" ht="60" customHeight="1">
      <x:c r="A70" s="28" t="str">
        <x:v>ANC-CAM-066-01</x:v>
      </x:c>
      <x:c r="B70" s="28" t="str">
        <x:v>CAM-066</x:v>
      </x:c>
      <x:c r="C70" s="28" t="str">
        <x:v>DOC-CAM-WC-2026</x:v>
      </x:c>
      <x:c r="D70" s="28" t="str">
        <x:v>Primary Evidence</x:v>
      </x:c>
      <x:c r="E70" s="28" t="str">
        <x:v>Text Span</x:v>
      </x:c>
      <x:c r="F70" s="28" t="str"/>
      <x:c r="G70" s="28" t="str">
        <x:v>PDF p. 9, roadmap narrative</x:v>
      </x:c>
      <x:c r="H70" s="28" t="n">
        <x:v>9</x:v>
      </x:c>
      <x:c r="I70" s="28" t="n">
        <x:v>9</x:v>
      </x:c>
      <x:c r="J70" s="28" t="n">
        <x:v>9</x:v>
      </x:c>
      <x:c r="K70" s="28" t="str">
        <x:v>9</x:v>
      </x:c>
      <x:c r="L70" s="28" t="str">
        <x:v>Roadmap narrative</x:v>
      </x:c>
      <x:c r="M70" s="28" t="str">
        <x:v>The Cambodia Climate Resilient and Integrated Water Resources Management (IWRM) Action Plan 2026-2030 commits to strengthening river basin governance across Cambodia's five priority basins including several that are hydrologically transboundary in nature, promoting multi-purpose water management, improving groundwater management and use and enhancing water governance financing.</x:v>
      </x:c>
      <x:c r="N70" s="28" t="str">
        <x:v>the cambodia climate resilient and integrat water resource management iwrm action plan 20262030 commit to strengthen river basin governance across cambodia five priority basin includ several that are hydrologically transboundary in nature promot multipurpose water management improv groundwater management and use and enhanc water governance financ</x:v>
      </x:c>
      <x:c r="O70" s="28" t="str">
        <x:v>4b7d6dd66267a7aca0d1fd02e71e455b4a19bfd3b53c5768fd55366643d06975</x:v>
      </x:c>
      <x:c r="P70" s="28" t="str"/>
      <x:c r="Q70" s="28" t="str"/>
      <x:c r="R70" s="28" t="str">
        <x:v>[[1815,1876],[1877,1964],[1965,2062],[2063,2153],[2154,2195]]</x:v>
      </x:c>
      <x:c r="S70" s="28" t="str">
        <x:v>Fuzzy token-window match</x:v>
      </x:c>
      <x:c r="T70" s="28" t="str">
        <x:v>Standardized Candidate</x:v>
      </x:c>
      <x:c r="U70" s="28" t="str">
        <x:v>Enhance financing for water governance</x:v>
      </x:c>
      <x:c r="V70" s="28" t="n">
        <x:v>0.715727</x:v>
      </x:c>
      <x:c r="W70" s="28" t="n">
        <x:v>0.756066</x:v>
      </x:c>
      <x:c r="X70" s="28" t="n">
        <x:v>0.843305</x:v>
      </x:c>
      <x:c r="Y70" s="28" t="n">
        <x:v>0.685185</x:v>
      </x:c>
      <x:c r="Z70" s="28" t="n">
        <x:v>0.666667</x:v>
      </x:c>
      <x:c r="AA70" s="28" t="str">
        <x:v>Medium</x:v>
      </x:c>
      <x:c r="AB70" s="28" t="str">
        <x:v>Pass</x:v>
      </x:c>
      <x:c r="AC70" s="28" t="str">
        <x:v>Pending human review</x:v>
      </x:c>
      <x:c r="AD70" s="28" t="str"/>
      <x:c r="AE70" s="28" t="n">
        <x:v>46238.87231481481</x:v>
      </x:c>
    </x:row>
    <x:row r="71" ht="60" customHeight="1">
      <x:c r="A71" s="28" t="str">
        <x:v>ANC-CAM-067-01</x:v>
      </x:c>
      <x:c r="B71" s="28" t="str">
        <x:v>CAM-067</x:v>
      </x:c>
      <x:c r="C71" s="28" t="str">
        <x:v>DOC-CAM-WC-2026</x:v>
      </x:c>
      <x:c r="D71" s="28" t="str">
        <x:v>Exclusion Evidence</x:v>
      </x:c>
      <x:c r="E71" s="28" t="str">
        <x:v>Table Cell/Row</x:v>
      </x:c>
      <x:c r="F71" s="28" t="str"/>
      <x:c r="G71" s="28" t="str">
        <x:v>PDF p. 5, Table 1</x:v>
      </x:c>
      <x:c r="H71" s="28" t="n">
        <x:v>5</x:v>
      </x:c>
      <x:c r="I71" s="28" t="n">
        <x:v>5</x:v>
      </x:c>
      <x:c r="J71" s="28" t="n">
        <x:v>5</x:v>
      </x:c>
      <x:c r="K71" s="28" t="str">
        <x:v>5</x:v>
      </x:c>
      <x:c r="L71" s="28" t="str">
        <x:v>Target table</x:v>
      </x:c>
      <x:c r="M71" s="28" t="str">
        <x:v>Increased access to safely managed</x:v>
      </x:c>
      <x:c r="N71" s="28" t="str">
        <x:v>increas access to safely manag</x:v>
      </x:c>
      <x:c r="O71" s="28" t="str">
        <x:v>5d634b1b4e65581cddb2f106792374fde4ac46f3054e6d43948a020d19fba969</x:v>
      </x:c>
      <x:c r="P71" s="28" t="n">
        <x:v>100</x:v>
      </x:c>
      <x:c r="Q71" s="28" t="n">
        <x:v>134</x:v>
      </x:c>
      <x:c r="R71" s="28" t="str">
        <x:v>[[100,134]]</x:v>
      </x:c>
      <x:c r="S71" s="28" t="str">
        <x:v>Fuzzy spatial line-cluster match</x:v>
      </x:c>
      <x:c r="T71" s="28" t="str">
        <x:v>Original Compact Text</x:v>
      </x:c>
      <x:c r="U71" s="28" t="str">
        <x:v>100% safely managed water</x:v>
      </x:c>
      <x:c r="V71" s="28" t="n">
        <x:v>0.679383</x:v>
      </x:c>
      <x:c r="W71" s="28" t="n">
        <x:v>0.692082</x:v>
      </x:c>
      <x:c r="X71" s="28" t="n">
        <x:v>0.682081</x:v>
      </x:c>
      <x:c r="Y71" s="28" t="n">
        <x:v>0.702381</x:v>
      </x:c>
      <x:c r="Z71" s="28" t="n">
        <x:v>0.5</x:v>
      </x:c>
      <x:c r="AA71" s="28" t="str">
        <x:v>Medium</x:v>
      </x:c>
      <x:c r="AB71" s="28" t="str">
        <x:v>Pass</x:v>
      </x:c>
      <x:c r="AC71" s="28" t="str">
        <x:v>Pending human review</x:v>
      </x:c>
      <x:c r="AD71" s="28" t="str"/>
      <x:c r="AE71" s="28" t="n">
        <x:v>46238.87231481481</x:v>
      </x:c>
    </x:row>
    <x:row r="72" ht="60" customHeight="1">
      <x:c r="A72" s="28" t="str">
        <x:v>ANC-CAM-068-01</x:v>
      </x:c>
      <x:c r="B72" s="28" t="str">
        <x:v>CAM-068</x:v>
      </x:c>
      <x:c r="C72" s="28" t="str">
        <x:v>DOC-CAM-WC-2026</x:v>
      </x:c>
      <x:c r="D72" s="28" t="str">
        <x:v>Exclusion Evidence</x:v>
      </x:c>
      <x:c r="E72" s="28" t="str">
        <x:v>Table Cell/Row</x:v>
      </x:c>
      <x:c r="F72" s="28" t="str"/>
      <x:c r="G72" s="28" t="str">
        <x:v>PDF p. 5, Table 1</x:v>
      </x:c>
      <x:c r="H72" s="28" t="n">
        <x:v>5</x:v>
      </x:c>
      <x:c r="I72" s="28" t="n">
        <x:v>5</x:v>
      </x:c>
      <x:c r="J72" s="28" t="n">
        <x:v>5</x:v>
      </x:c>
      <x:c r="K72" s="28" t="str">
        <x:v>5</x:v>
      </x:c>
      <x:c r="L72" s="28" t="str">
        <x:v>Target table</x:v>
      </x:c>
      <x:c r="M72" s="28" t="str">
        <x:v>Increased access to safely managed sanitation service</x:v>
      </x:c>
      <x:c r="N72" s="28" t="str">
        <x:v>increas access to safely manag sanitation service</x:v>
      </x:c>
      <x:c r="O72" s="28" t="str">
        <x:v>239e2c475a64cc164846c0b9f188cb47d6dfbcfa9500d3889ff4bbcaeb1316d9</x:v>
      </x:c>
      <x:c r="P72" s="28" t="str"/>
      <x:c r="Q72" s="28" t="str"/>
      <x:c r="R72" s="28" t="str">
        <x:v>[[173,207],[225,243]]</x:v>
      </x:c>
      <x:c r="S72" s="28" t="str">
        <x:v>Fuzzy spatial line-cluster match</x:v>
      </x:c>
      <x:c r="T72" s="28" t="str">
        <x:v>Original Compact Text</x:v>
      </x:c>
      <x:c r="U72" s="28" t="str">
        <x:v>60% safely managed sanitation</x:v>
      </x:c>
      <x:c r="V72" s="28" t="n">
        <x:v>0.738672</x:v>
      </x:c>
      <x:c r="W72" s="28" t="n">
        <x:v>0.754857</x:v>
      </x:c>
      <x:c r="X72" s="28" t="n">
        <x:v>0.712042</x:v>
      </x:c>
      <x:c r="Y72" s="28" t="n">
        <x:v>0.80315</x:v>
      </x:c>
      <x:c r="Z72" s="28" t="n">
        <x:v>0.64</x:v>
      </x:c>
      <x:c r="AA72" s="28" t="str">
        <x:v>Medium</x:v>
      </x:c>
      <x:c r="AB72" s="28" t="str">
        <x:v>Pass</x:v>
      </x:c>
      <x:c r="AC72" s="28" t="str">
        <x:v>Pending human review</x:v>
      </x:c>
      <x:c r="AD72" s="28" t="str"/>
      <x:c r="AE72" s="28" t="n">
        <x:v>46238.87231481481</x:v>
      </x:c>
    </x:row>
    <x:row r="73" ht="60" customHeight="1">
      <x:c r="A73" s="28" t="str">
        <x:v>ANC-CAM-069-01</x:v>
      </x:c>
      <x:c r="B73" s="28" t="str">
        <x:v>CAM-069</x:v>
      </x:c>
      <x:c r="C73" s="28" t="str">
        <x:v>DOC-CAM-WC-2026</x:v>
      </x:c>
      <x:c r="D73" s="28" t="str">
        <x:v>Exclusion Evidence</x:v>
      </x:c>
      <x:c r="E73" s="28" t="str">
        <x:v>Table Cell/Row</x:v>
      </x:c>
      <x:c r="F73" s="28" t="str"/>
      <x:c r="G73" s="28" t="str">
        <x:v>PDF p. 5, Table 1</x:v>
      </x:c>
      <x:c r="H73" s="28" t="n">
        <x:v>5</x:v>
      </x:c>
      <x:c r="I73" s="28" t="n">
        <x:v>5</x:v>
      </x:c>
      <x:c r="J73" s="28" t="n">
        <x:v>5</x:v>
      </x:c>
      <x:c r="K73" s="28" t="str">
        <x:v>5</x:v>
      </x:c>
      <x:c r="L73" s="28" t="str">
        <x:v>Target table</x:v>
      </x:c>
      <x:c r="M73" s="28" t="str">
        <x:v>Increased proportion of treated wastewater</x:v>
      </x:c>
      <x:c r="N73" s="28" t="str">
        <x:v>increas proportion of treat wastewater</x:v>
      </x:c>
      <x:c r="O73" s="28" t="str">
        <x:v>2bd56c0004f32252d09f3406231cb036c5faccacaed3b5dd9c50dff24ceea5fc</x:v>
      </x:c>
      <x:c r="P73" s="28" t="str"/>
      <x:c r="Q73" s="28" t="str"/>
      <x:c r="R73" s="28" t="str">
        <x:v>[[244,275],[291,301]]</x:v>
      </x:c>
      <x:c r="S73" s="28" t="str">
        <x:v>Fuzzy spatial line-cluster match</x:v>
      </x:c>
      <x:c r="T73" s="28" t="str">
        <x:v>Original Compact Text</x:v>
      </x:c>
      <x:c r="U73" s="28" t="str">
        <x:v>50% wastewater safely treated</x:v>
      </x:c>
      <x:c r="V73" s="28" t="n">
        <x:v>0.593348</x:v>
      </x:c>
      <x:c r="W73" s="28" t="n">
        <x:v>0.629712</x:v>
      </x:c>
      <x:c r="X73" s="28" t="n">
        <x:v>0.720812</x:v>
      </x:c>
      <x:c r="Y73" s="28" t="n">
        <x:v>0.559055</x:v>
      </x:c>
      <x:c r="Z73" s="28" t="n">
        <x:v>0.34375</x:v>
      </x:c>
      <x:c r="AA73" s="28" t="str">
        <x:v>Medium</x:v>
      </x:c>
      <x:c r="AB73" s="28" t="str">
        <x:v>Pass</x:v>
      </x:c>
      <x:c r="AC73" s="28" t="str">
        <x:v>Pending human review</x:v>
      </x:c>
      <x:c r="AD73" s="28" t="str"/>
      <x:c r="AE73" s="28" t="n">
        <x:v>46238.87231481481</x:v>
      </x:c>
    </x:row>
    <x:row r="74" ht="60" customHeight="1">
      <x:c r="A74" s="28" t="str">
        <x:v>ANC-CAM-070-01</x:v>
      </x:c>
      <x:c r="B74" s="28" t="str">
        <x:v>CAM-070</x:v>
      </x:c>
      <x:c r="C74" s="28" t="str">
        <x:v>DOC-CAM-WC-2026</x:v>
      </x:c>
      <x:c r="D74" s="28" t="str">
        <x:v>Exclusion Evidence</x:v>
      </x:c>
      <x:c r="E74" s="28" t="str">
        <x:v>Text Span</x:v>
      </x:c>
      <x:c r="F74" s="28" t="str"/>
      <x:c r="G74" s="28" t="str">
        <x:v>PDF p. 4, goals narrative</x:v>
      </x:c>
      <x:c r="H74" s="28" t="n">
        <x:v>4</x:v>
      </x:c>
      <x:c r="I74" s="28" t="n">
        <x:v>4</x:v>
      </x:c>
      <x:c r="J74" s="28" t="n">
        <x:v>4</x:v>
      </x:c>
      <x:c r="K74" s="28" t="str">
        <x:v>4</x:v>
      </x:c>
      <x:c r="L74" s="28" t="str">
        <x:v>Target narrative</x:v>
      </x:c>
      <x:c r="M74" s="28" t="str">
        <x:v>In addition, the RGC commits to ensure that 50% of municipal wastewater is safely treated through the expansion of wastewater infrastructure and service in major cities and secondary towns.4 Water for Food By 2030, the RGC, through the Ministry of Water Resources and Meteorology (MOWRAM), aims to achieve its target of bringing irrigated agricultural land up to 1.7 million hectares, benefitting an equivalent of 6.9 million people through modernized irrigation services and improved agricultural productivity,</x:v>
      </x:c>
      <x:c r="N74" s="28" t="str">
        <x:v>in addition the rgc commit to ensure that 50 of municipal wastewater is safely treat through the expansion of wastewater infrastructure and service in major city and secondary town 4 water for food by 2030 the rgc through the ministry of water resource and meteorology mowram aims to achieve its target of bring irrigat agricultural land up to 1 7 million hectare benefitt an equivalent of 6 9 million people through moderniz irrigation service and improv agricultural productivity</x:v>
      </x:c>
      <x:c r="O74" s="28" t="str">
        <x:v>3b6f657edddd1944eac7464fa7458e99ff57b666fc7bb3a0ba812a4e1fa4c173</x:v>
      </x:c>
      <x:c r="P74" s="28" t="str"/>
      <x:c r="Q74" s="28" t="str"/>
      <x:c r="R74" s="28" t="str">
        <x:v>[[634,684],[685,778],[779,824],[825,839],[840,931],[932,1033],[1034,1131],[1132,1145]]</x:v>
      </x:c>
      <x:c r="S74" s="28" t="str">
        <x:v>Fuzzy token-window match</x:v>
      </x:c>
      <x:c r="T74" s="28" t="str">
        <x:v>Standardized Candidate</x:v>
      </x:c>
      <x:c r="U74" s="28" t="str">
        <x:v>Expand irrigated agricultural land to 1.7 million hectares</x:v>
      </x:c>
      <x:c r="V74" s="28" t="n">
        <x:v>0.761664</x:v>
      </x:c>
      <x:c r="W74" s="28" t="n">
        <x:v>0.787913</x:v>
      </x:c>
      <x:c r="X74" s="28" t="n">
        <x:v>0.927536</x:v>
      </x:c>
      <x:c r="Y74" s="28" t="n">
        <x:v>0.684825</x:v>
      </x:c>
      <x:c r="Z74" s="28" t="n">
        <x:v>0.895238</x:v>
      </x:c>
      <x:c r="AA74" s="28" t="str">
        <x:v>High</x:v>
      </x:c>
      <x:c r="AB74" s="28" t="str">
        <x:v>Pass</x:v>
      </x:c>
      <x:c r="AC74" s="28" t="str">
        <x:v>Pending human review</x:v>
      </x:c>
      <x:c r="AD74" s="28" t="str"/>
      <x:c r="AE74" s="28" t="n">
        <x:v>46238.87231481481</x:v>
      </x:c>
    </x:row>
    <x:row r="75" ht="60" customHeight="1">
      <x:c r="A75" s="28" t="str">
        <x:v>ANC-CAM-071-01</x:v>
      </x:c>
      <x:c r="B75" s="28" t="str">
        <x:v>CAM-071</x:v>
      </x:c>
      <x:c r="C75" s="28" t="str">
        <x:v>DOC-CAM-WC-2026</x:v>
      </x:c>
      <x:c r="D75" s="28" t="str">
        <x:v>Exclusion Evidence</x:v>
      </x:c>
      <x:c r="E75" s="28" t="str">
        <x:v>Text Span</x:v>
      </x:c>
      <x:c r="F75" s="28" t="str"/>
      <x:c r="G75" s="28" t="str">
        <x:v>PDF p. 4, goals narrative</x:v>
      </x:c>
      <x:c r="H75" s="28" t="n">
        <x:v>4</x:v>
      </x:c>
      <x:c r="I75" s="28" t="n">
        <x:v>4</x:v>
      </x:c>
      <x:c r="J75" s="28" t="n">
        <x:v>4</x:v>
      </x:c>
      <x:c r="K75" s="28" t="str">
        <x:v>4</x:v>
      </x:c>
      <x:c r="L75" s="28" t="str">
        <x:v>Target narrative</x:v>
      </x:c>
      <x:c r="M75" s="28" t="str">
        <x:v>Water for Planet The Government commits to protecting 450,000 hectares of agricultural land from flood and drought damage, developing a comprehensive flood management strategy that combines risk-informed land-use planning, physical infrastructure improvements, and nature-based solutions, and improving emergency response procedures.</x:v>
      </x:c>
      <x:c r="N75" s="28" t="str">
        <x:v>water for planet the government commit to protect 450 000 hectare of agricultural land from flood and drought damage develop a comprehensive flood management strategy that combine riskinform landuse plann physical infrastructure improvement and naturebas solution and improv emergency response procedure</x:v>
      </x:c>
      <x:c r="O75" s="28" t="str">
        <x:v>0e2f964ce5d5b7c1ec62ea7f5fc1ea745b5d32e53c477819bb0e8805f849cf1a</x:v>
      </x:c>
      <x:c r="P75" s="28" t="str"/>
      <x:c r="Q75" s="28" t="str"/>
      <x:c r="R75" s="28" t="str">
        <x:v>[[1245,1261],[1262,1359],[1360,1448],[1449,1537],[1538,1578]]</x:v>
      </x:c>
      <x:c r="S75" s="28" t="str">
        <x:v>Fuzzy token-window match</x:v>
      </x:c>
      <x:c r="T75" s="28" t="str">
        <x:v>Standardized Candidate</x:v>
      </x:c>
      <x:c r="U75" s="28" t="str">
        <x:v>Protect agricultural land from flood and drought damage</x:v>
      </x:c>
      <x:c r="V75" s="28" t="n">
        <x:v>0.909946</x:v>
      </x:c>
      <x:c r="W75" s="28" t="n">
        <x:v>0.935972</x:v>
      </x:c>
      <x:c r="X75" s="28" t="n">
        <x:v>0.87965</x:v>
      </x:c>
      <x:c r="Y75" s="28" t="n">
        <x:v>1</x:v>
      </x:c>
      <x:c r="Z75" s="28" t="n">
        <x:v>0.859375</x:v>
      </x:c>
      <x:c r="AA75" s="28" t="str">
        <x:v>High</x:v>
      </x:c>
      <x:c r="AB75" s="28" t="str">
        <x:v>Pass</x:v>
      </x:c>
      <x:c r="AC75" s="28" t="str">
        <x:v>Pending human review</x:v>
      </x:c>
      <x:c r="AD75" s="28" t="str"/>
      <x:c r="AE75" s="28" t="n">
        <x:v>46238.87231481481</x:v>
      </x:c>
    </x:row>
    <x:row r="76" ht="60" customHeight="1">
      <x:c r="A76" s="28" t="str">
        <x:v>ANC-CAM-072-01</x:v>
      </x:c>
      <x:c r="B76" s="28" t="str">
        <x:v>CAM-072</x:v>
      </x:c>
      <x:c r="C76" s="28" t="str">
        <x:v>DOC-CAM-WC-2026</x:v>
      </x:c>
      <x:c r="D76" s="28" t="str">
        <x:v>Exclusion Evidence</x:v>
      </x:c>
      <x:c r="E76" s="28" t="str">
        <x:v>Table Cell/Row</x:v>
      </x:c>
      <x:c r="F76" s="28" t="str"/>
      <x:c r="G76" s="28" t="str">
        <x:v>PDF p. 5, Table 1</x:v>
      </x:c>
      <x:c r="H76" s="28" t="n">
        <x:v>5</x:v>
      </x:c>
      <x:c r="I76" s="28" t="n">
        <x:v>5</x:v>
      </x:c>
      <x:c r="J76" s="28" t="n">
        <x:v>5</x:v>
      </x:c>
      <x:c r="K76" s="28" t="str">
        <x:v>5</x:v>
      </x:c>
      <x:c r="L76" s="28" t="str">
        <x:v>Target table</x:v>
      </x:c>
      <x:c r="M76" s="28" t="str">
        <x:v>hydrological stations, 51 automated weather</x:v>
      </x:c>
      <x:c r="N76" s="28" t="str">
        <x:v>hydrological station 51 automat weather</x:v>
      </x:c>
      <x:c r="O76" s="28" t="str">
        <x:v>41dd39c9f21d2d7b5e62637f3c63d0c5614c49ed1a387b3d88fcbaaceaa15b9a</x:v>
      </x:c>
      <x:c r="P76" s="28" t="str"/>
      <x:c r="Q76" s="28" t="str"/>
      <x:c r="R76" s="28" t="str">
        <x:v>[[802,824],[852,872]]</x:v>
      </x:c>
      <x:c r="S76" s="28" t="str">
        <x:v>Fuzzy spatial line-cluster match</x:v>
      </x:c>
      <x:c r="T76" s="28" t="str">
        <x:v>Standardized Candidate</x:v>
      </x:c>
      <x:c r="U76" s="28" t="str">
        <x:v>Expand automated hydrological and weather stations</x:v>
      </x:c>
      <x:c r="V76" s="28" t="n">
        <x:v>0.775538</x:v>
      </x:c>
      <x:c r="W76" s="28" t="n">
        <x:v>0.870944</x:v>
      </x:c>
      <x:c r="X76" s="28" t="n">
        <x:v>0.91654</x:v>
      </x:c>
      <x:c r="Y76" s="28" t="n">
        <x:v>0.82967</x:v>
      </x:c>
      <x:c r="Z76" s="28" t="n">
        <x:v>0.534884</x:v>
      </x:c>
      <x:c r="AA76" s="28" t="str">
        <x:v>High</x:v>
      </x:c>
      <x:c r="AB76" s="28" t="str">
        <x:v>Pass</x:v>
      </x:c>
      <x:c r="AC76" s="28" t="str">
        <x:v>Pending human review</x:v>
      </x:c>
      <x:c r="AD76" s="28" t="str"/>
      <x:c r="AE76" s="28" t="n">
        <x:v>46238.87231481481</x:v>
      </x:c>
    </x:row>
    <x:row r="77" ht="60" customHeight="1">
      <x:c r="A77" s="28" t="str">
        <x:v>ANC-CAM-073-01</x:v>
      </x:c>
      <x:c r="B77" s="28" t="str">
        <x:v>CAM-073</x:v>
      </x:c>
      <x:c r="C77" s="28" t="str">
        <x:v>DOC-CAM-WC-2026</x:v>
      </x:c>
      <x:c r="D77" s="28" t="str">
        <x:v>Exclusion Evidence</x:v>
      </x:c>
      <x:c r="E77" s="28" t="str">
        <x:v>Text Span</x:v>
      </x:c>
      <x:c r="F77" s="28" t="str"/>
      <x:c r="G77" s="28" t="str">
        <x:v>PDF pp. 8–9, roadmap narrative</x:v>
      </x:c>
      <x:c r="H77" s="28" t="n">
        <x:v>8</x:v>
      </x:c>
      <x:c r="I77" s="28" t="n">
        <x:v>9</x:v>
      </x:c>
      <x:c r="J77" s="28" t="n">
        <x:v>8</x:v>
      </x:c>
      <x:c r="K77" s="28" t="str">
        <x:v>8</x:v>
      </x:c>
      <x:c r="L77" s="28" t="str">
        <x:v>Roadmap narrative</x:v>
      </x:c>
      <x:c r="M77" s="28" t="str">
        <x:v>Expanding clean water networks as part of city infrastructure master plans is an explicit urban infrastructure commitment.</x:v>
      </x:c>
      <x:c r="N77" s="28" t="str">
        <x:v>expand clean water network as part of city infrastructure master plan is an explicit urban infrastructure commitment</x:v>
      </x:c>
      <x:c r="O77" s="28" t="str">
        <x:v>d825eeea65f2559f5242db0607e26f0ac50f7e258190f2ce5abb710314435136</x:v>
      </x:c>
      <x:c r="P77" s="28" t="str"/>
      <x:c r="Q77" s="28" t="str"/>
      <x:c r="R77" s="28" t="str">
        <x:v>[[1544,1590],[1591,1666]]</x:v>
      </x:c>
      <x:c r="S77" s="28" t="str">
        <x:v>Fuzzy token-window match</x:v>
      </x:c>
      <x:c r="T77" s="28" t="str">
        <x:v>Original Compact Text</x:v>
      </x:c>
      <x:c r="U77" s="28" t="str">
        <x:v>Expand clean-water networks</x:v>
      </x:c>
      <x:c r="V77" s="28" t="n">
        <x:v>0.738117</x:v>
      </x:c>
      <x:c r="W77" s="28" t="n">
        <x:v>0.696118</x:v>
      </x:c>
      <x:c r="X77" s="28" t="n">
        <x:v>0.825397</x:v>
      </x:c>
      <x:c r="Y77" s="28" t="n">
        <x:v>0.601852</x:v>
      </x:c>
      <x:c r="Z77" s="28" t="n">
        <x:v>0.980392</x:v>
      </x:c>
      <x:c r="AA77" s="28" t="str">
        <x:v>Medium</x:v>
      </x:c>
      <x:c r="AB77" s="28" t="str">
        <x:v>Pass</x:v>
      </x:c>
      <x:c r="AC77" s="28" t="str">
        <x:v>Pending human review</x:v>
      </x:c>
      <x:c r="AD77" s="28" t="str"/>
      <x:c r="AE77" s="28" t="n">
        <x:v>46238.87231481481</x:v>
      </x:c>
    </x:row>
    <x:row r="78" ht="60" customHeight="1">
      <x:c r="A78" s="28" t="str">
        <x:v>ANC-CAM-074-01</x:v>
      </x:c>
      <x:c r="B78" s="28" t="str">
        <x:v>CAM-074</x:v>
      </x:c>
      <x:c r="C78" s="28" t="str">
        <x:v>DOC-CAM-WC-2026</x:v>
      </x:c>
      <x:c r="D78" s="28" t="str">
        <x:v>Exclusion Evidence</x:v>
      </x:c>
      <x:c r="E78" s="28" t="str">
        <x:v>Text Span</x:v>
      </x:c>
      <x:c r="F78" s="28" t="str"/>
      <x:c r="G78" s="28" t="str">
        <x:v>PDF p. 9, roadmap narrative</x:v>
      </x:c>
      <x:c r="H78" s="28" t="n">
        <x:v>9</x:v>
      </x:c>
      <x:c r="I78" s="28" t="n">
        <x:v>9</x:v>
      </x:c>
      <x:c r="J78" s="28" t="n">
        <x:v>9</x:v>
      </x:c>
      <x:c r="K78" s="28" t="str">
        <x:v>9</x:v>
      </x:c>
      <x:c r="L78" s="28" t="str">
        <x:v>Roadmap narrative</x:v>
      </x:c>
      <x:c r="M78" s="28" t="str">
        <x:v>irrigation investments to ensure water security for agriculture and rural development; and expanding</x:v>
      </x:c>
      <x:c r="N78" s="28" t="str">
        <x:v>irrigation investment to ensure water security for agriculture and rural development and expand</x:v>
      </x:c>
      <x:c r="O78" s="28" t="str">
        <x:v>21780a7404ee2c40eda81cf3c06828e43b9da8ba764025727474026e1c231326</x:v>
      </x:c>
      <x:c r="P78" s="28" t="n">
        <x:v>1038</x:v>
      </x:c>
      <x:c r="Q78" s="28" t="n">
        <x:v>1138</x:v>
      </x:c>
      <x:c r="R78" s="28" t="str">
        <x:v>[[1038,1138]]</x:v>
      </x:c>
      <x:c r="S78" s="28" t="str">
        <x:v>Exact spatial line-cluster phrase</x:v>
      </x:c>
      <x:c r="T78" s="28" t="str">
        <x:v>Tier 2 Label</x:v>
      </x:c>
      <x:c r="U78" s="28" t="str">
        <x:v>Irrigation investment</x:v>
      </x:c>
      <x:c r="V78" s="28" t="n">
        <x:v>0.78925</x:v>
      </x:c>
      <x:c r="W78" s="28" t="n">
        <x:v>0.675835</x:v>
      </x:c>
      <x:c r="X78" s="28" t="n">
        <x:v>0.510386</x:v>
      </x:c>
      <x:c r="Y78" s="28" t="n">
        <x:v>1</x:v>
      </x:c>
      <x:c r="Z78" s="28" t="n">
        <x:v>0.362069</x:v>
      </x:c>
      <x:c r="AA78" s="28" t="str">
        <x:v>High</x:v>
      </x:c>
      <x:c r="AB78" s="28" t="str">
        <x:v>Pass</x:v>
      </x:c>
      <x:c r="AC78" s="28" t="str">
        <x:v>Pending human review</x:v>
      </x:c>
      <x:c r="AD78" s="28" t="str"/>
      <x:c r="AE78" s="28" t="n">
        <x:v>46238.87231481481</x:v>
      </x:c>
    </x:row>
    <x:row r="79" ht="60" customHeight="1">
      <x:c r="A79" s="28" t="str">
        <x:v>ANC-CAM-075-01</x:v>
      </x:c>
      <x:c r="B79" s="28" t="str">
        <x:v>CAM-075</x:v>
      </x:c>
      <x:c r="C79" s="28" t="str">
        <x:v>DOC-CAM-WC-2026</x:v>
      </x:c>
      <x:c r="D79" s="28" t="str">
        <x:v>Exclusion Evidence</x:v>
      </x:c>
      <x:c r="E79" s="28" t="str">
        <x:v>Text Span</x:v>
      </x:c>
      <x:c r="F79" s="28" t="str"/>
      <x:c r="G79" s="28" t="str">
        <x:v>PDF p. 11, Table 3</x:v>
      </x:c>
      <x:c r="H79" s="28" t="n">
        <x:v>11</x:v>
      </x:c>
      <x:c r="I79" s="28" t="n">
        <x:v>11</x:v>
      </x:c>
      <x:c r="J79" s="28" t="n">
        <x:v>11</x:v>
      </x:c>
      <x:c r="K79" s="28" t="str">
        <x:v>11</x:v>
      </x:c>
      <x:c r="L79" s="28" t="str">
        <x:v>Activity roadmap</x:v>
      </x:c>
      <x:c r="M79" s="28" t="str">
        <x:v>Update the National investment program modernizing medium and large multi-purpose irrigation</x:v>
      </x:c>
      <x:c r="N79" s="28" t="str">
        <x:v>update the national investment program moderniz medium and large multipurpose irrigation</x:v>
      </x:c>
      <x:c r="O79" s="28" t="str">
        <x:v>ac88d5a7c5b3a69ec81373cc8f5e7b5ea63078cef3ba06f715a550709dfc4b0a</x:v>
      </x:c>
      <x:c r="P79" s="28" t="str"/>
      <x:c r="Q79" s="28" t="str"/>
      <x:c r="R79" s="28" t="str">
        <x:v>[[1353,1372],[1424,1442],[1490,1512],[1561,1591]]</x:v>
      </x:c>
      <x:c r="S79" s="28" t="str">
        <x:v>Fuzzy spatial line-cluster match</x:v>
      </x:c>
      <x:c r="T79" s="28" t="str">
        <x:v>Original Compact Text</x:v>
      </x:c>
      <x:c r="U79" s="28" t="str">
        <x:v>Update national irrigation investment program</x:v>
      </x:c>
      <x:c r="V79" s="28" t="n">
        <x:v>0.831869</x:v>
      </x:c>
      <x:c r="W79" s="28" t="n">
        <x:v>0.845938</x:v>
      </x:c>
      <x:c r="X79" s="28" t="n">
        <x:v>0.73301</x:v>
      </x:c>
      <x:c r="Y79" s="28" t="n">
        <x:v>1</x:v>
      </x:c>
      <x:c r="Z79" s="28" t="n">
        <x:v>0.511278</x:v>
      </x:c>
      <x:c r="AA79" s="28" t="str">
        <x:v>High</x:v>
      </x:c>
      <x:c r="AB79" s="28" t="str">
        <x:v>Pass</x:v>
      </x:c>
      <x:c r="AC79" s="28" t="str">
        <x:v>Pending human review</x:v>
      </x:c>
      <x:c r="AD79" s="28" t="str"/>
      <x:c r="AE79" s="28" t="n">
        <x:v>46238.87231481481</x:v>
      </x:c>
    </x:row>
    <x:row r="80" ht="60" customHeight="1">
      <x:c r="A80" s="28" t="str">
        <x:v>ANC-CAM-076-01</x:v>
      </x:c>
      <x:c r="B80" s="28" t="str">
        <x:v>CAM-076</x:v>
      </x:c>
      <x:c r="C80" s="28" t="str">
        <x:v>DOC-CAM-WC-2026</x:v>
      </x:c>
      <x:c r="D80" s="28" t="str">
        <x:v>Exclusion Evidence</x:v>
      </x:c>
      <x:c r="E80" s="28" t="str">
        <x:v>Text Span</x:v>
      </x:c>
      <x:c r="F80" s="28" t="str"/>
      <x:c r="G80" s="28" t="str">
        <x:v>PDF p. 11, Table 3</x:v>
      </x:c>
      <x:c r="H80" s="28" t="n">
        <x:v>11</x:v>
      </x:c>
      <x:c r="I80" s="28" t="n">
        <x:v>11</x:v>
      </x:c>
      <x:c r="J80" s="28" t="n">
        <x:v>11</x:v>
      </x:c>
      <x:c r="K80" s="28" t="str">
        <x:v>11</x:v>
      </x:c>
      <x:c r="L80" s="28" t="str">
        <x:v>Activity roadmap</x:v>
      </x:c>
      <x:c r="M80" s="28" t="str">
        <x:v>Conduct feasibility studies and engineering designs for</x:v>
      </x:c>
      <x:c r="N80" s="28" t="str">
        <x:v>conduct feasibility study and engineer design for</x:v>
      </x:c>
      <x:c r="O80" s="28" t="str">
        <x:v>ab579427f84d4857257e155be969287ef46edb52a21b8274e8102c256cebbe59</x:v>
      </x:c>
      <x:c r="P80" s="28" t="str"/>
      <x:c r="Q80" s="28" t="str"/>
      <x:c r="R80" s="28" t="str">
        <x:v>[[1375,1406],[1443,1466]]</x:v>
      </x:c>
      <x:c r="S80" s="28" t="str">
        <x:v>Exact spatial line-cluster phrase</x:v>
      </x:c>
      <x:c r="T80" s="28" t="str">
        <x:v>Original Compact Text</x:v>
      </x:c>
      <x:c r="U80" s="28" t="str">
        <x:v>Feasibility studies and engineering designs</x:v>
      </x:c>
      <x:c r="V80" s="28" t="n">
        <x:v>0.999</x:v>
      </x:c>
      <x:c r="W80" s="28" t="n">
        <x:v>0.95382</x:v>
      </x:c>
      <x:c r="X80" s="28" t="n">
        <x:v>0.911717</x:v>
      </x:c>
      <x:c r="Y80" s="28" t="n">
        <x:v>1</x:v>
      </x:c>
      <x:c r="Z80" s="28" t="n">
        <x:v>0.860465</x:v>
      </x:c>
      <x:c r="AA80" s="28" t="str">
        <x:v>High</x:v>
      </x:c>
      <x:c r="AB80" s="28" t="str">
        <x:v>Pass</x:v>
      </x:c>
      <x:c r="AC80" s="28" t="str">
        <x:v>Pending human review</x:v>
      </x:c>
      <x:c r="AD80" s="28" t="str"/>
      <x:c r="AE80" s="28" t="n">
        <x:v>46238.87231481481</x:v>
      </x:c>
    </x:row>
    <x:row r="81" ht="60" customHeight="1">
      <x:c r="A81" s="28" t="str">
        <x:v>ANC-CAM-077-01</x:v>
      </x:c>
      <x:c r="B81" s="28" t="str">
        <x:v>CAM-077</x:v>
      </x:c>
      <x:c r="C81" s="28" t="str">
        <x:v>DOC-CAM-WC-2026</x:v>
      </x:c>
      <x:c r="D81" s="28" t="str">
        <x:v>Duplicate/Sub-action Evidence</x:v>
      </x:c>
      <x:c r="E81" s="28" t="str">
        <x:v>Text Span</x:v>
      </x:c>
      <x:c r="F81" s="28" t="str"/>
      <x:c r="G81" s="28" t="str">
        <x:v>PDF p. 13, Table 3</x:v>
      </x:c>
      <x:c r="H81" s="28" t="n">
        <x:v>13</x:v>
      </x:c>
      <x:c r="I81" s="28" t="n">
        <x:v>13</x:v>
      </x:c>
      <x:c r="J81" s="28" t="n">
        <x:v>13</x:v>
      </x:c>
      <x:c r="K81" s="28" t="str">
        <x:v>13</x:v>
      </x:c>
      <x:c r="L81" s="28" t="str">
        <x:v>Activity roadmap</x:v>
      </x:c>
      <x:c r="M81" s="28" t="str">
        <x:v>Construct a national data and information center</x:v>
      </x:c>
      <x:c r="N81" s="28" t="str">
        <x:v>construct a national data and information center</x:v>
      </x:c>
      <x:c r="O81" s="28" t="str">
        <x:v>3bb12499ce08de8caa80c0c643ef9d5b83a4e9b9eb9d7f7370c467ff06d9225f</x:v>
      </x:c>
      <x:c r="P81" s="28" t="str"/>
      <x:c r="Q81" s="28" t="str"/>
      <x:c r="R81" s="28" t="str">
        <x:v>[[94,119],[177,199]]</x:v>
      </x:c>
      <x:c r="S81" s="28" t="str">
        <x:v>Fuzzy spatial line-cluster match</x:v>
      </x:c>
      <x:c r="T81" s="28" t="str">
        <x:v>Original Compact Text</x:v>
      </x:c>
      <x:c r="U81" s="28" t="str">
        <x:v>Construct national data center</x:v>
      </x:c>
      <x:c r="V81" s="28" t="n">
        <x:v>0.933695</x:v>
      </x:c>
      <x:c r="W81" s="28" t="n">
        <x:v>0.933171</x:v>
      </x:c>
      <x:c r="X81" s="28" t="n">
        <x:v>0.874715</x:v>
      </x:c>
      <x:c r="Y81" s="28" t="n">
        <x:v>1</x:v>
      </x:c>
      <x:c r="Z81" s="28" t="n">
        <x:v>0.769231</x:v>
      </x:c>
      <x:c r="AA81" s="28" t="str">
        <x:v>High</x:v>
      </x:c>
      <x:c r="AB81" s="28" t="str">
        <x:v>Pass</x:v>
      </x:c>
      <x:c r="AC81" s="28" t="str">
        <x:v>Pending human review</x:v>
      </x:c>
      <x:c r="AD81" s="28" t="str"/>
      <x:c r="AE81" s="28" t="n">
        <x:v>46238.87231481481</x:v>
      </x:c>
    </x:row>
    <x:row r="82" ht="60" customHeight="1">
      <x:c r="A82" s="28" t="str">
        <x:v>ANC-CAM-078-01</x:v>
      </x:c>
      <x:c r="B82" s="28" t="str">
        <x:v>CAM-078</x:v>
      </x:c>
      <x:c r="C82" s="28" t="str">
        <x:v>DOC-CAM-WC-2026</x:v>
      </x:c>
      <x:c r="D82" s="28" t="str">
        <x:v>Duplicate/Sub-action Evidence</x:v>
      </x:c>
      <x:c r="E82" s="28" t="str">
        <x:v>Text Span</x:v>
      </x:c>
      <x:c r="F82" s="28" t="str"/>
      <x:c r="G82" s="28" t="str">
        <x:v>PDF p. 12, Table 3</x:v>
      </x:c>
      <x:c r="H82" s="28" t="n">
        <x:v>12</x:v>
      </x:c>
      <x:c r="I82" s="28" t="n">
        <x:v>12</x:v>
      </x:c>
      <x:c r="J82" s="28" t="n">
        <x:v>12</x:v>
      </x:c>
      <x:c r="K82" s="28" t="str">
        <x:v>12</x:v>
      </x:c>
      <x:c r="L82" s="28" t="str">
        <x:v>Activity roadmap</x:v>
      </x:c>
      <x:c r="M82" s="28" t="str">
        <x:v>Deploy young professionals in</x:v>
      </x:c>
      <x:c r="N82" s="28" t="str">
        <x:v>deploy young professional in</x:v>
      </x:c>
      <x:c r="O82" s="28" t="str">
        <x:v>dec6f46dc52ddc0246fd29f557950c69e24a37e82a0df3f927cac86d64b78b37</x:v>
      </x:c>
      <x:c r="P82" s="28" t="n">
        <x:v>1150</x:v>
      </x:c>
      <x:c r="Q82" s="28" t="n">
        <x:v>1179</x:v>
      </x:c>
      <x:c r="R82" s="28" t="str">
        <x:v>[[1150,1179]]</x:v>
      </x:c>
      <x:c r="S82" s="28" t="str">
        <x:v>Exact spatial line-cluster phrase</x:v>
      </x:c>
      <x:c r="T82" s="28" t="str">
        <x:v>Original Compact Text</x:v>
      </x:c>
      <x:c r="U82" s="28" t="str">
        <x:v>Deploy young professionals</x:v>
      </x:c>
      <x:c r="V82" s="28" t="n">
        <x:v>0.999</x:v>
      </x:c>
      <x:c r="W82" s="28" t="n">
        <x:v>1</x:v>
      </x:c>
      <x:c r="X82" s="28" t="n">
        <x:v>1</x:v>
      </x:c>
      <x:c r="Y82" s="28" t="n">
        <x:v>1</x:v>
      </x:c>
      <x:c r="Z82" s="28" t="n">
        <x:v>0.943396</x:v>
      </x:c>
      <x:c r="AA82" s="28" t="str">
        <x:v>High</x:v>
      </x:c>
      <x:c r="AB82" s="28" t="str">
        <x:v>Pass</x:v>
      </x:c>
      <x:c r="AC82" s="28" t="str">
        <x:v>Pending human review</x:v>
      </x:c>
      <x:c r="AD82" s="28" t="str"/>
      <x:c r="AE82" s="28" t="n">
        <x:v>46238.87231481481</x:v>
      </x:c>
    </x:row>
    <x:row r="83" ht="60" customHeight="1">
      <x:c r="A83" s="28" t="str">
        <x:v>ANC-CAM-079-01</x:v>
      </x:c>
      <x:c r="B83" s="28" t="str">
        <x:v>CAM-079</x:v>
      </x:c>
      <x:c r="C83" s="28" t="str">
        <x:v>DOC-CAM-WC-2026</x:v>
      </x:c>
      <x:c r="D83" s="28" t="str">
        <x:v>Exclusion Evidence</x:v>
      </x:c>
      <x:c r="E83" s="28" t="str">
        <x:v>Page Range</x:v>
      </x:c>
      <x:c r="F83" s="28" t="str"/>
      <x:c r="G83" s="28" t="str">
        <x:v>PDF pp. 14–22, Tables 4–5</x:v>
      </x:c>
      <x:c r="H83" s="28" t="n">
        <x:v>14</x:v>
      </x:c>
      <x:c r="I83" s="28" t="n">
        <x:v>22</x:v>
      </x:c>
      <x:c r="J83" s="28" t="n">
        <x:v>16</x:v>
      </x:c>
      <x:c r="K83" s="28" t="str">
        <x:v>16</x:v>
      </x:c>
      <x:c r="L83" s="28" t="str">
        <x:v>Investment tables</x:v>
      </x:c>
      <x:c r="M83" s="28" t="str">
        <x:v>Investment Project</x:v>
      </x:c>
      <x:c r="N83" s="28" t="str">
        <x:v>investment project</x:v>
      </x:c>
      <x:c r="O83" s="28" t="str">
        <x:v>4ed9c9ee578c6e0fbc12719d3650847ac13bf19cde0ed335bab8755f33c1d6d7</x:v>
      </x:c>
      <x:c r="P83" s="28" t="n">
        <x:v>512</x:v>
      </x:c>
      <x:c r="Q83" s="28" t="n">
        <x:v>530</x:v>
      </x:c>
      <x:c r="R83" s="28" t="str">
        <x:v>[[512,530]]</x:v>
      </x:c>
      <x:c r="S83" s="28" t="str">
        <x:v>Fuzzy spatial line-cluster match</x:v>
      </x:c>
      <x:c r="T83" s="28" t="str">
        <x:v>Original Compact Text</x:v>
      </x:c>
      <x:c r="U83" s="28" t="str">
        <x:v>Ongoing and pipeline investment projects</x:v>
      </x:c>
      <x:c r="V83" s="28" t="n">
        <x:v>0.677683</x:v>
      </x:c>
      <x:c r="W83" s="28" t="n">
        <x:v>0.712963</x:v>
      </x:c>
      <x:c r="X83" s="28" t="n">
        <x:v>1</x:v>
      </x:c>
      <x:c r="Y83" s="28" t="n">
        <x:v>0.553957</x:v>
      </x:c>
      <x:c r="Z83" s="28" t="n">
        <x:v>0.666667</x:v>
      </x:c>
      <x:c r="AA83" s="28" t="str">
        <x:v>Medium</x:v>
      </x:c>
      <x:c r="AB83" s="28" t="str">
        <x:v>Pass</x:v>
      </x:c>
      <x:c r="AC83" s="28" t="str">
        <x:v>Pending human review</x:v>
      </x:c>
      <x:c r="AD83" s="28" t="str"/>
      <x:c r="AE83" s="28" t="n">
        <x:v>46238.87231481481</x:v>
      </x:c>
    </x:row>
    <x:row r="84" ht="60" customHeight="1">
      <x:c r="A84" s="28" t="str">
        <x:v>ANC-JAM-001-01</x:v>
      </x:c>
      <x:c r="B84" s="28" t="str">
        <x:v>JAM-001</x:v>
      </x:c>
      <x:c r="C84" s="28" t="str">
        <x:v>DOC-JAM-WC-2026</x:v>
      </x:c>
      <x:c r="D84" s="28" t="str">
        <x:v>Primary Evidence</x:v>
      </x:c>
      <x:c r="E84" s="28" t="str">
        <x:v>Text Span</x:v>
      </x:c>
      <x:c r="F84" s="28" t="str"/>
      <x:c r="G84" s="28" t="str">
        <x:v>PDF p. 3, Section 2.2</x:v>
      </x:c>
      <x:c r="H84" s="28" t="n">
        <x:v>3</x:v>
      </x:c>
      <x:c r="I84" s="28" t="n">
        <x:v>3</x:v>
      </x:c>
      <x:c r="J84" s="28" t="n">
        <x:v>3</x:v>
      </x:c>
      <x:c r="K84" s="28" t="str">
        <x:v>3</x:v>
      </x:c>
      <x:c r="L84" s="28" t="str">
        <x:v>Target narrative</x:v>
      </x:c>
      <x:c r="M84" s="28" t="str">
        <x:v>The key targets for water resources management are the following: (a) Integrated Water Resources Management (IWRM) - The Water Resources Advisory Committee (WRAC) will be established.</x:v>
      </x:c>
      <x:c r="N84" s="28" t="str">
        <x:v>the key target for water resource management are the follow a integrat water resource management iwrm the water resource advisory committee wrac will be establish</x:v>
      </x:c>
      <x:c r="O84" s="28" t="str">
        <x:v>37865a6813cfa3a25f2089595caf2a4802b2bcae9cc62f596f5689d5e1b067a4</x:v>
      </x:c>
      <x:c r="P84" s="28" t="str"/>
      <x:c r="Q84" s="28" t="str"/>
      <x:c r="R84" s="28" t="str">
        <x:v>[[1719,1784],[1785,1864],[1865,1902]]</x:v>
      </x:c>
      <x:c r="S84" s="28" t="str">
        <x:v>Fuzzy token-window match</x:v>
      </x:c>
      <x:c r="T84" s="28" t="str">
        <x:v>Original Compact Text</x:v>
      </x:c>
      <x:c r="U84" s="28" t="str">
        <x:v>Establish Water Resources Advisory Committee</x:v>
      </x:c>
      <x:c r="V84" s="28" t="n">
        <x:v>0.999</x:v>
      </x:c>
      <x:c r="W84" s="28" t="n">
        <x:v>1</x:v>
      </x:c>
      <x:c r="X84" s="28" t="n">
        <x:v>1</x:v>
      </x:c>
      <x:c r="Y84" s="28" t="n">
        <x:v>1</x:v>
      </x:c>
      <x:c r="Z84" s="28" t="n">
        <x:v>0.868421</x:v>
      </x:c>
      <x:c r="AA84" s="28" t="str">
        <x:v>High</x:v>
      </x:c>
      <x:c r="AB84" s="28" t="str">
        <x:v>Pass</x:v>
      </x:c>
      <x:c r="AC84" s="28" t="str">
        <x:v>Pending human review</x:v>
      </x:c>
      <x:c r="AD84" s="28" t="str"/>
      <x:c r="AE84" s="28" t="n">
        <x:v>46238.87231481481</x:v>
      </x:c>
    </x:row>
    <x:row r="85" ht="60" customHeight="1">
      <x:c r="A85" s="28" t="str">
        <x:v>ANC-JAM-002-01</x:v>
      </x:c>
      <x:c r="B85" s="28" t="str">
        <x:v>JAM-002</x:v>
      </x:c>
      <x:c r="C85" s="28" t="str">
        <x:v>DOC-JAM-WC-2026</x:v>
      </x:c>
      <x:c r="D85" s="28" t="str">
        <x:v>Primary Evidence</x:v>
      </x:c>
      <x:c r="E85" s="28" t="str">
        <x:v>Text Span</x:v>
      </x:c>
      <x:c r="F85" s="28" t="str"/>
      <x:c r="G85" s="28" t="str">
        <x:v>PDF p. 4, Section 2.2</x:v>
      </x:c>
      <x:c r="H85" s="28" t="n">
        <x:v>4</x:v>
      </x:c>
      <x:c r="I85" s="28" t="n">
        <x:v>4</x:v>
      </x:c>
      <x:c r="J85" s="28" t="n">
        <x:v>4</x:v>
      </x:c>
      <x:c r="K85" s="28" t="str">
        <x:v>4</x:v>
      </x:c>
      <x:c r="L85" s="28" t="str">
        <x:v>Target narrative</x:v>
      </x:c>
      <x:c r="M85" s="28" t="str">
        <x:v>This will be done to ensure accurate assessment of safe yield and climate change impacts Data Automation: It is planned to transition data collection from remote devices ii) to more labor-efficient, automated hydrological data collection systems using radar gauges and real-time monitoring.</x:v>
      </x:c>
      <x:c r="N85" s="28" t="str">
        <x:v>this will be done to ensure accurate assessment of safe yield and climate change impact data automation it is plann to transition data collection from remote device ii to more laborefficient automat hydrological data collection system using radar gauge and realtime monitor</x:v>
      </x:c>
      <x:c r="O85" s="28" t="str">
        <x:v>b672320c06b3bf5d7acf4ace95eb7b5179772dec69c0103473632a7d3c56a98e</x:v>
      </x:c>
      <x:c r="P85" s="28" t="str"/>
      <x:c r="Q85" s="28" t="str"/>
      <x:c r="R85" s="28" t="str">
        <x:v>[[137,164],[165,225],[230,310],[226,229],[311,388],[389,427]]</x:v>
      </x:c>
      <x:c r="S85" s="28" t="str">
        <x:v>Fuzzy token-window match</x:v>
      </x:c>
      <x:c r="T85" s="28" t="str">
        <x:v>Original Compact Text</x:v>
      </x:c>
      <x:c r="U85" s="28" t="str">
        <x:v>Automated hydrological data systems</x:v>
      </x:c>
      <x:c r="V85" s="28" t="n">
        <x:v>0.972173</x:v>
      </x:c>
      <x:c r="W85" s="28" t="n">
        <x:v>0.952871</x:v>
      </x:c>
      <x:c r="X85" s="28" t="n">
        <x:v>0.909984</x:v>
      </x:c>
      <x:c r="Y85" s="28" t="n">
        <x:v>1</x:v>
      </x:c>
      <x:c r="Z85" s="28" t="n">
        <x:v>0.853333</x:v>
      </x:c>
      <x:c r="AA85" s="28" t="str">
        <x:v>High</x:v>
      </x:c>
      <x:c r="AB85" s="28" t="str">
        <x:v>Pass</x:v>
      </x:c>
      <x:c r="AC85" s="28" t="str">
        <x:v>Pending human review</x:v>
      </x:c>
      <x:c r="AD85" s="28" t="str"/>
      <x:c r="AE85" s="28" t="n">
        <x:v>46238.87231481481</x:v>
      </x:c>
    </x:row>
    <x:row r="86" ht="60" customHeight="1">
      <x:c r="A86" s="28" t="str">
        <x:v>ANC-JAM-003-01</x:v>
      </x:c>
      <x:c r="B86" s="28" t="str">
        <x:v>JAM-003</x:v>
      </x:c>
      <x:c r="C86" s="28" t="str">
        <x:v>DOC-JAM-WC-2026</x:v>
      </x:c>
      <x:c r="D86" s="28" t="str">
        <x:v>Primary Evidence</x:v>
      </x:c>
      <x:c r="E86" s="28" t="str">
        <x:v>Text Span</x:v>
      </x:c>
      <x:c r="F86" s="28" t="str"/>
      <x:c r="G86" s="28" t="str">
        <x:v>PDF p. 4, Section 2.2</x:v>
      </x:c>
      <x:c r="H86" s="28" t="n">
        <x:v>4</x:v>
      </x:c>
      <x:c r="I86" s="28" t="n">
        <x:v>4</x:v>
      </x:c>
      <x:c r="J86" s="28" t="n">
        <x:v>4</x:v>
      </x:c>
      <x:c r="K86" s="28" t="str">
        <x:v>4</x:v>
      </x:c>
      <x:c r="L86" s="28" t="str">
        <x:v>Target narrative</x:v>
      </x:c>
      <x:c r="M86" s="28" t="str">
        <x:v>Water Quality Analysis: WRA establish its own Water Quality Analysis iii) Laboratory and a water collection network and commence operating them by 2030.</x:v>
      </x:c>
      <x:c r="N86" s="28" t="str">
        <x:v>water quality analysi wra establish its own water quality analysi iii laboratory and a water collection network and commence operat them by 2030</x:v>
      </x:c>
      <x:c r="O86" s="28" t="str">
        <x:v>a6d4c2fda25d8687c8a0c2787ff2b2837171ce8e411aec87d7d528f0ea2f07b0</x:v>
      </x:c>
      <x:c r="P86" s="28" t="str"/>
      <x:c r="Q86" s="28" t="str"/>
      <x:c r="R86" s="28" t="str">
        <x:v>[[433,501],[428,432],[502,574],[575,580]]</x:v>
      </x:c>
      <x:c r="S86" s="28" t="str">
        <x:v>Fuzzy token-window match</x:v>
      </x:c>
      <x:c r="T86" s="28" t="str">
        <x:v>Original Compact Text</x:v>
      </x:c>
      <x:c r="U86" s="28" t="str">
        <x:v>WRA Water Quality Analysis Laboratory</x:v>
      </x:c>
      <x:c r="V86" s="28" t="n">
        <x:v>0.947706</x:v>
      </x:c>
      <x:c r="W86" s="28" t="n">
        <x:v>0.951881</x:v>
      </x:c>
      <x:c r="X86" s="28" t="n">
        <x:v>0.90818</x:v>
      </x:c>
      <x:c r="Y86" s="28" t="n">
        <x:v>1</x:v>
      </x:c>
      <x:c r="Z86" s="28" t="n">
        <x:v>0.8</x:v>
      </x:c>
      <x:c r="AA86" s="28" t="str">
        <x:v>High</x:v>
      </x:c>
      <x:c r="AB86" s="28" t="str">
        <x:v>Pass</x:v>
      </x:c>
      <x:c r="AC86" s="28" t="str">
        <x:v>Pending human review</x:v>
      </x:c>
      <x:c r="AD86" s="28" t="str"/>
      <x:c r="AE86" s="28" t="n">
        <x:v>46238.87231481481</x:v>
      </x:c>
    </x:row>
    <x:row r="87" ht="60" customHeight="1">
      <x:c r="A87" s="28" t="str">
        <x:v>ANC-JAM-004-01</x:v>
      </x:c>
      <x:c r="B87" s="28" t="str">
        <x:v>JAM-004</x:v>
      </x:c>
      <x:c r="C87" s="28" t="str">
        <x:v>DOC-JAM-WC-2026</x:v>
      </x:c>
      <x:c r="D87" s="28" t="str">
        <x:v>Primary Evidence</x:v>
      </x:c>
      <x:c r="E87" s="28" t="str">
        <x:v>Text Span</x:v>
      </x:c>
      <x:c r="F87" s="28" t="str"/>
      <x:c r="G87" s="28" t="str">
        <x:v>PDF p. 4, Section 2.2</x:v>
      </x:c>
      <x:c r="H87" s="28" t="n">
        <x:v>4</x:v>
      </x:c>
      <x:c r="I87" s="28" t="n">
        <x:v>4</x:v>
      </x:c>
      <x:c r="J87" s="28" t="n">
        <x:v>4</x:v>
      </x:c>
      <x:c r="K87" s="28" t="str">
        <x:v>4</x:v>
      </x:c>
      <x:c r="L87" s="28" t="str">
        <x:v>Target narrative</x:v>
      </x:c>
      <x:c r="M87" s="28" t="str">
        <x:v>(d) Climate Resilience and Environmental Protection Climate Mainstreaming: Integrate climate change adaptation into all IWRM i) objectives, specifically forecasting impacts on water quality and quantity to guide infrastructure design.</x:v>
      </x:c>
      <x:c r="N87" s="28" t="str">
        <x:v>d climate resilience and environmental protection climate mainstream integrate climate change adaptation into all iwrm i objective specifically forecast impact on water quality and quantity to guide infrastructure design</x:v>
      </x:c>
      <x:c r="O87" s="28" t="str">
        <x:v>285d4a84b229676faff12bf92083cae7e8bc9e10cfd307eaf9d622ae0366f330</x:v>
      </x:c>
      <x:c r="P87" s="28" t="str"/>
      <x:c r="Q87" s="28" t="str"/>
      <x:c r="R87" s="28" t="str">
        <x:v>[[581,632],[636,708],[633,635],[709,792],[793,815]]</x:v>
      </x:c>
      <x:c r="S87" s="28" t="str">
        <x:v>Fuzzy token-window match</x:v>
      </x:c>
      <x:c r="T87" s="28" t="str">
        <x:v>Original Compact Text</x:v>
      </x:c>
      <x:c r="U87" s="28" t="str">
        <x:v>Integrate climate adaptation into IWRM</x:v>
      </x:c>
      <x:c r="V87" s="28" t="n">
        <x:v>0.945406</x:v>
      </x:c>
      <x:c r="W87" s="28" t="n">
        <x:v>0.911717</x:v>
      </x:c>
      <x:c r="X87" s="28" t="n">
        <x:v>0.837758</x:v>
      </x:c>
      <x:c r="Y87" s="28" t="n">
        <x:v>1</x:v>
      </x:c>
      <x:c r="Z87" s="28" t="n">
        <x:v>0.873563</x:v>
      </x:c>
      <x:c r="AA87" s="28" t="str">
        <x:v>High</x:v>
      </x:c>
      <x:c r="AB87" s="28" t="str">
        <x:v>Pass</x:v>
      </x:c>
      <x:c r="AC87" s="28" t="str">
        <x:v>Pending human review</x:v>
      </x:c>
      <x:c r="AD87" s="28" t="str"/>
      <x:c r="AE87" s="28" t="n">
        <x:v>46238.87231481481</x:v>
      </x:c>
    </x:row>
    <x:row r="88" ht="60" customHeight="1">
      <x:c r="A88" s="28" t="str">
        <x:v>ANC-JAM-005-01</x:v>
      </x:c>
      <x:c r="B88" s="28" t="str">
        <x:v>JAM-005</x:v>
      </x:c>
      <x:c r="C88" s="28" t="str">
        <x:v>DOC-JAM-WC-2026</x:v>
      </x:c>
      <x:c r="D88" s="28" t="str">
        <x:v>Primary Evidence</x:v>
      </x:c>
      <x:c r="E88" s="28" t="str">
        <x:v>Text Span</x:v>
      </x:c>
      <x:c r="F88" s="28" t="str"/>
      <x:c r="G88" s="28" t="str">
        <x:v>PDF p. 4, Section 2.2</x:v>
      </x:c>
      <x:c r="H88" s="28" t="n">
        <x:v>4</x:v>
      </x:c>
      <x:c r="I88" s="28" t="n">
        <x:v>4</x:v>
      </x:c>
      <x:c r="J88" s="28" t="n">
        <x:v>4</x:v>
      </x:c>
      <x:c r="K88" s="28" t="str">
        <x:v>4</x:v>
      </x:c>
      <x:c r="L88" s="28" t="str">
        <x:v>Target narrative</x:v>
      </x:c>
      <x:c r="M88" s="28" t="str">
        <x:v>Watershed Protection: Establish protective measures for the 26 Watershed ii) Management Units (WMUs) and identify high-priority, sensitive water bodies for enhanced conservation.</x:v>
      </x:c>
      <x:c r="N88" s="28" t="str">
        <x:v>watersh protection establish protective measure for the 26 watersh ii management unit wmus and identify highpriority sensitive water body for enhanc conservation</x:v>
      </x:c>
      <x:c r="O88" s="28" t="str">
        <x:v>19bb570b117a46017e1795eb9ea8f650111d4ba06d3894b5ce4fd643dde2d43f</x:v>
      </x:c>
      <x:c r="P88" s="28" t="str"/>
      <x:c r="Q88" s="28" t="str"/>
      <x:c r="R88" s="28" t="str">
        <x:v>[[820,892],[816,819],[893,971],[972,994]]</x:v>
      </x:c>
      <x:c r="S88" s="28" t="str">
        <x:v>Fuzzy token-window match</x:v>
      </x:c>
      <x:c r="T88" s="28" t="str">
        <x:v>Standardized Candidate</x:v>
      </x:c>
      <x:c r="U88" s="28" t="str">
        <x:v>Establish protective measures for all 26 Watershed Management Units</x:v>
      </x:c>
      <x:c r="V88" s="28" t="n">
        <x:v>0.893378</x:v>
      </x:c>
      <x:c r="W88" s="28" t="n">
        <x:v>0.942263</x:v>
      </x:c>
      <x:c r="X88" s="28" t="n">
        <x:v>1</x:v>
      </x:c>
      <x:c r="Y88" s="28" t="n">
        <x:v>0.89083</x:v>
      </x:c>
      <x:c r="Z88" s="28" t="n">
        <x:v>0.952381</x:v>
      </x:c>
      <x:c r="AA88" s="28" t="str">
        <x:v>High</x:v>
      </x:c>
      <x:c r="AB88" s="28" t="str">
        <x:v>Pass</x:v>
      </x:c>
      <x:c r="AC88" s="28" t="str">
        <x:v>Pending human review</x:v>
      </x:c>
      <x:c r="AD88" s="28" t="str"/>
      <x:c r="AE88" s="28" t="n">
        <x:v>46238.87231481481</x:v>
      </x:c>
    </x:row>
    <x:row r="89" ht="60" customHeight="1">
      <x:c r="A89" s="28" t="str">
        <x:v>ANC-JAM-006-01</x:v>
      </x:c>
      <x:c r="B89" s="28" t="str">
        <x:v>JAM-006</x:v>
      </x:c>
      <x:c r="C89" s="28" t="str">
        <x:v>DOC-JAM-WC-2026</x:v>
      </x:c>
      <x:c r="D89" s="28" t="str">
        <x:v>Primary Evidence</x:v>
      </x:c>
      <x:c r="E89" s="28" t="str">
        <x:v>Text Span</x:v>
      </x:c>
      <x:c r="F89" s="28" t="str"/>
      <x:c r="G89" s="28" t="str">
        <x:v>PDF p. 5, Section 2.3</x:v>
      </x:c>
      <x:c r="H89" s="28" t="n">
        <x:v>5</x:v>
      </x:c>
      <x:c r="I89" s="28" t="n">
        <x:v>5</x:v>
      </x:c>
      <x:c r="J89" s="28" t="n">
        <x:v>5</x:v>
      </x:c>
      <x:c r="K89" s="28" t="str">
        <x:v>5</x:v>
      </x:c>
      <x:c r="L89" s="28" t="str">
        <x:v>Target narrative</x:v>
      </x:c>
      <x:c r="M89" s="28" t="str">
        <x:v>(e) Strengthen the management of septage to reduce environmental harm and risks to public health.</x:v>
      </x:c>
      <x:c r="N89" s="28" t="str">
        <x:v>e strengthen the management of septage to reduce environmental harm and risk to public health</x:v>
      </x:c>
      <x:c r="O89" s="28" t="str">
        <x:v>ed07903acbf693eeedc7354479420031a3d69562522af18655d75bdc24fee79c</x:v>
      </x:c>
      <x:c r="P89" s="28" t="str"/>
      <x:c r="Q89" s="28" t="str"/>
      <x:c r="R89" s="28" t="str">
        <x:v>[[1447,1536],[1537,1544]]</x:v>
      </x:c>
      <x:c r="S89" s="28" t="str">
        <x:v>Fuzzy token-window match</x:v>
      </x:c>
      <x:c r="T89" s="28" t="str">
        <x:v>Original Compact Text</x:v>
      </x:c>
      <x:c r="U89" s="28" t="str">
        <x:v>Strengthen septage management</x:v>
      </x:c>
      <x:c r="V89" s="28" t="n">
        <x:v>0.962202</x:v>
      </x:c>
      <x:c r="W89" s="28" t="n">
        <x:v>1</x:v>
      </x:c>
      <x:c r="X89" s="28" t="n">
        <x:v>1</x:v>
      </x:c>
      <x:c r="Y89" s="28" t="n">
        <x:v>1</x:v>
      </x:c>
      <x:c r="Z89" s="28" t="n">
        <x:v>0.738462</x:v>
      </x:c>
      <x:c r="AA89" s="28" t="str">
        <x:v>High</x:v>
      </x:c>
      <x:c r="AB89" s="28" t="str">
        <x:v>Pass</x:v>
      </x:c>
      <x:c r="AC89" s="28" t="str">
        <x:v>Pending human review</x:v>
      </x:c>
      <x:c r="AD89" s="28" t="str"/>
      <x:c r="AE89" s="28" t="n">
        <x:v>46238.87231481481</x:v>
      </x:c>
    </x:row>
    <x:row r="90" ht="60" customHeight="1">
      <x:c r="A90" s="28" t="str">
        <x:v>ANC-JAM-007-01</x:v>
      </x:c>
      <x:c r="B90" s="28" t="str">
        <x:v>JAM-007</x:v>
      </x:c>
      <x:c r="C90" s="28" t="str">
        <x:v>DOC-JAM-WC-2026</x:v>
      </x:c>
      <x:c r="D90" s="28" t="str">
        <x:v>Primary Evidence</x:v>
      </x:c>
      <x:c r="E90" s="28" t="str">
        <x:v>Text Span</x:v>
      </x:c>
      <x:c r="F90" s="28" t="str"/>
      <x:c r="G90" s="28" t="str">
        <x:v>PDF p. 6, Section 2.4</x:v>
      </x:c>
      <x:c r="H90" s="28" t="n">
        <x:v>6</x:v>
      </x:c>
      <x:c r="I90" s="28" t="n">
        <x:v>6</x:v>
      </x:c>
      <x:c r="J90" s="28" t="n">
        <x:v>6</x:v>
      </x:c>
      <x:c r="K90" s="28" t="str">
        <x:v>6</x:v>
      </x:c>
      <x:c r="L90" s="28" t="str">
        <x:v>Target narrative</x:v>
      </x:c>
      <x:c r="M90" s="28" t="str">
        <x:v>GOJ undertakes to further explore the implementation of cost-recovery tariffs to iii) reduce the National Irrigation Commission’s (NIC) dependence on government subsidies (which currently cover a significant portion of National Irrigation Commission revenue).</x:v>
      </x:c>
      <x:c r="N90" s="28" t="str">
        <x:v>goj undertake to further explore the implementation of costrecovery tariff to iii reduce the national irrigation commission nic dependence on government subsidy which currently cover a significant portion of national irrigation commission revenue</x:v>
      </x:c>
      <x:c r="O90" s="28" t="str">
        <x:v>3c50c322de39a4da3f2f03d589484870e7d33cc5b1204545b342a8d0242e3ba4</x:v>
      </x:c>
      <x:c r="P90" s="28" t="str"/>
      <x:c r="Q90" s="28" t="str"/>
      <x:c r="R90" s="28" t="str">
        <x:v>[[502,582],[497,501],[583,657],[658,735],[736,756]]</x:v>
      </x:c>
      <x:c r="S90" s="28" t="str">
        <x:v>Fuzzy token-window match</x:v>
      </x:c>
      <x:c r="T90" s="28" t="str">
        <x:v>Standardized Candidate</x:v>
      </x:c>
      <x:c r="U90" s="28" t="str">
        <x:v>Develop cost-recovery tariffs for irrigation services</x:v>
      </x:c>
      <x:c r="V90" s="28" t="n">
        <x:v>0.763487</x:v>
      </x:c>
      <x:c r="W90" s="28" t="n">
        <x:v>0.837447</x:v>
      </x:c>
      <x:c r="X90" s="28" t="n">
        <x:v>0.899452</x:v>
      </x:c>
      <x:c r="Y90" s="28" t="n">
        <x:v>0.783439</x:v>
      </x:c>
      <x:c r="Z90" s="28" t="n">
        <x:v>0.640777</x:v>
      </x:c>
      <x:c r="AA90" s="28" t="str">
        <x:v>High</x:v>
      </x:c>
      <x:c r="AB90" s="28" t="str">
        <x:v>Pass</x:v>
      </x:c>
      <x:c r="AC90" s="28" t="str">
        <x:v>Pending human review</x:v>
      </x:c>
      <x:c r="AD90" s="28" t="str"/>
      <x:c r="AE90" s="28" t="n">
        <x:v>46238.87231481481</x:v>
      </x:c>
    </x:row>
    <x:row r="91" ht="60" customHeight="1">
      <x:c r="A91" s="28" t="str">
        <x:v>ANC-JAM-008-01</x:v>
      </x:c>
      <x:c r="B91" s="28" t="str">
        <x:v>JAM-008</x:v>
      </x:c>
      <x:c r="C91" s="28" t="str">
        <x:v>DOC-JAM-WC-2026</x:v>
      </x:c>
      <x:c r="D91" s="28" t="str">
        <x:v>Primary Evidence</x:v>
      </x:c>
      <x:c r="E91" s="28" t="str">
        <x:v>Text Span</x:v>
      </x:c>
      <x:c r="F91" s="28" t="str"/>
      <x:c r="G91" s="28" t="str">
        <x:v>PDF p. 6, Section 3.1</x:v>
      </x:c>
      <x:c r="H91" s="28" t="n">
        <x:v>6</x:v>
      </x:c>
      <x:c r="I91" s="28" t="n">
        <x:v>6</x:v>
      </x:c>
      <x:c r="J91" s="28" t="n">
        <x:v>6</x:v>
      </x:c>
      <x:c r="K91" s="28" t="str">
        <x:v>6</x:v>
      </x:c>
      <x:c r="L91" s="28" t="str">
        <x:v>Infrastructure roadmap</x:v>
      </x:c>
      <x:c r="M91" s="28" t="str">
        <x:v>3.1 National Objectives for Infrastructure Development The Government will prioritize investments in: (a) NRW Reduction: Carrying out activities to aggressively reduce the unacceptably high level of NRW, by implementing performance-based contracts that leverage private sector expertise and link funds to actual gains on the ground will be maximized; as well as capital-intensive main replacement projects.</x:v>
      </x:c>
      <x:c r="N91" s="28" t="str">
        <x:v>3 1 national objective for infrastructure development the government will prioritize investment in a nrw reduction carry out activity to aggressively reduce the unacceptably high level of nrw by implement performancebas contract that leverage private sector expertise and link fund to actual gain on the ground will be maximiz as well as capitalintensive main replacement project</x:v>
      </x:c>
      <x:c r="O91" s="28" t="str">
        <x:v>854feae53ecf782f6166c3b19e2e7c80539a0516684af3a99ab18b9f02478c47</x:v>
      </x:c>
      <x:c r="P91" s="28" t="str"/>
      <x:c r="Q91" s="28" t="str"/>
      <x:c r="R91" s="28" t="str">
        <x:v>[[1136,1190],[1191,1237],[1238,1325],[1326,1412],[1413,1497],[1498,1542]]</x:v>
      </x:c>
      <x:c r="S91" s="28" t="str">
        <x:v>Fuzzy token-window match</x:v>
      </x:c>
      <x:c r="T91" s="28" t="str">
        <x:v>Original Compact Text</x:v>
      </x:c>
      <x:c r="U91" s="28" t="str">
        <x:v>NRW performance-based contracts</x:v>
      </x:c>
      <x:c r="V91" s="28" t="n">
        <x:v>0.973003</x:v>
      </x:c>
      <x:c r="W91" s="28" t="n">
        <x:v>1</x:v>
      </x:c>
      <x:c r="X91" s="28" t="n">
        <x:v>1</x:v>
      </x:c>
      <x:c r="Y91" s="28" t="n">
        <x:v>1</x:v>
      </x:c>
      <x:c r="Z91" s="28" t="n">
        <x:v>0.80597</x:v>
      </x:c>
      <x:c r="AA91" s="28" t="str">
        <x:v>High</x:v>
      </x:c>
      <x:c r="AB91" s="28" t="str">
        <x:v>Pass</x:v>
      </x:c>
      <x:c r="AC91" s="28" t="str">
        <x:v>Pending human review</x:v>
      </x:c>
      <x:c r="AD91" s="28" t="str"/>
      <x:c r="AE91" s="28" t="n">
        <x:v>46238.87231481481</x:v>
      </x:c>
    </x:row>
    <x:row r="92" ht="60" customHeight="1">
      <x:c r="A92" s="28" t="str">
        <x:v>ANC-JAM-009-01</x:v>
      </x:c>
      <x:c r="B92" s="28" t="str">
        <x:v>JAM-009</x:v>
      </x:c>
      <x:c r="C92" s="28" t="str">
        <x:v>DOC-JAM-WC-2026</x:v>
      </x:c>
      <x:c r="D92" s="28" t="str">
        <x:v>Primary Evidence</x:v>
      </x:c>
      <x:c r="E92" s="28" t="str">
        <x:v>Text Span</x:v>
      </x:c>
      <x:c r="F92" s="28" t="str"/>
      <x:c r="G92" s="28" t="str">
        <x:v>PDF p. 6, Section 3.1</x:v>
      </x:c>
      <x:c r="H92" s="28" t="n">
        <x:v>6</x:v>
      </x:c>
      <x:c r="I92" s="28" t="n">
        <x:v>6</x:v>
      </x:c>
      <x:c r="J92" s="28" t="n">
        <x:v>6</x:v>
      </x:c>
      <x:c r="K92" s="28" t="str">
        <x:v>6</x:v>
      </x:c>
      <x:c r="L92" s="28" t="str">
        <x:v>Infrastructure roadmap</x:v>
      </x:c>
      <x:c r="M92" s="28" t="str">
        <x:v>NWC staff and the institutionalizing of world class NRW management practices in NWC’s operation.</x:v>
      </x:c>
      <x:c r="N92" s="28" t="str">
        <x:v>nwc staff and the institutionaliz of world class nrw management practice in nwcs operation</x:v>
      </x:c>
      <x:c r="O92" s="28" t="str">
        <x:v>2d1a60127784c6bbf03d6f942e3cd13201f2dd624eae2e23a1d7947be647ae14</x:v>
      </x:c>
      <x:c r="P92" s="28" t="str"/>
      <x:c r="Q92" s="28" t="str"/>
      <x:c r="R92" s="28" t="str">
        <x:v>[[1585,1664],[1665,1681]]</x:v>
      </x:c>
      <x:c r="S92" s="28" t="str">
        <x:v>Exact spatial line-cluster phrase</x:v>
      </x:c>
      <x:c r="T92" s="28" t="str">
        <x:v>Verified PDF locator hint</x:v>
      </x:c>
      <x:c r="U92" s="28" t="str">
        <x:v>institutionalizing of world class NRW management practices in NWC’s operation</x:v>
      </x:c>
      <x:c r="V92" s="28" t="n">
        <x:v>0.999</x:v>
      </x:c>
      <x:c r="W92" s="28" t="n">
        <x:v>0.95382</x:v>
      </x:c>
      <x:c r="X92" s="28" t="n">
        <x:v>0.911717</x:v>
      </x:c>
      <x:c r="Y92" s="28" t="n">
        <x:v>1</x:v>
      </x:c>
      <x:c r="Z92" s="28" t="n">
        <x:v>0.888889</x:v>
      </x:c>
      <x:c r="AA92" s="28" t="str">
        <x:v>High</x:v>
      </x:c>
      <x:c r="AB92" s="28" t="str">
        <x:v>Pass</x:v>
      </x:c>
      <x:c r="AC92" s="28" t="str">
        <x:v>Pending human review</x:v>
      </x:c>
      <x:c r="AD92" s="28" t="str"/>
      <x:c r="AE92" s="28" t="n">
        <x:v>46238.87231481481</x:v>
      </x:c>
    </x:row>
    <x:row r="93" ht="60" customHeight="1">
      <x:c r="A93" s="28" t="str">
        <x:v>ANC-JAM-010-01</x:v>
      </x:c>
      <x:c r="B93" s="28" t="str">
        <x:v>JAM-010</x:v>
      </x:c>
      <x:c r="C93" s="28" t="str">
        <x:v>DOC-JAM-WC-2026</x:v>
      </x:c>
      <x:c r="D93" s="28" t="str">
        <x:v>Primary Evidence</x:v>
      </x:c>
      <x:c r="E93" s="28" t="str">
        <x:v>Text Span</x:v>
      </x:c>
      <x:c r="F93" s="28" t="str"/>
      <x:c r="G93" s="28" t="str">
        <x:v>PDF p. 7, Section 3.2</x:v>
      </x:c>
      <x:c r="H93" s="28" t="n">
        <x:v>7</x:v>
      </x:c>
      <x:c r="I93" s="28" t="n">
        <x:v>7</x:v>
      </x:c>
      <x:c r="J93" s="28" t="n">
        <x:v>7</x:v>
      </x:c>
      <x:c r="K93" s="28" t="str">
        <x:v>7</x:v>
      </x:c>
      <x:c r="L93" s="28" t="str">
        <x:v>Institutional reform section</x:v>
      </x:c>
      <x:c r="M93" s="28" t="str">
        <x:v>3.2 National Objectives for Water Sector Institutional Reform GOJ will pursue institutional reforms to strengthen policy implementation, regulation, and coordination, including: (a) Strengthening water sector governance and inter-agency coordination mechanisms.</x:v>
      </x:c>
      <x:c r="N93" s="28" t="str">
        <x:v>3 2 national objective for water sector institutional reform goj will pursue institutional reform to strengthen policy implementation regulation and coordination includ a strengthen water sector governance and interagency coordination mechanism</x:v>
      </x:c>
      <x:c r="O93" s="28" t="str">
        <x:v>c429842e595528f05b8dbf83a44281f581ebb44de167e56b9671128bc8ced7c2</x:v>
      </x:c>
      <x:c r="P93" s="28" t="str"/>
      <x:c r="Q93" s="28" t="str"/>
      <x:c r="R93" s="28" t="str">
        <x:v>[[198,259],[260,350],[351,375],[376,459]]</x:v>
      </x:c>
      <x:c r="S93" s="28" t="str">
        <x:v>Fuzzy token-window match</x:v>
      </x:c>
      <x:c r="T93" s="28" t="str">
        <x:v>Original Compact Text</x:v>
      </x:c>
      <x:c r="U93" s="28" t="str">
        <x:v>Strengthen governance and coordination</x:v>
      </x:c>
      <x:c r="V93" s="28" t="n">
        <x:v>0.94827</x:v>
      </x:c>
      <x:c r="W93" s="28" t="n">
        <x:v>0.930468</x:v>
      </x:c>
      <x:c r="X93" s="28" t="n">
        <x:v>0.869976</x:v>
      </x:c>
      <x:c r="Y93" s="28" t="n">
        <x:v>1</x:v>
      </x:c>
      <x:c r="Z93" s="28" t="n">
        <x:v>0.701299</x:v>
      </x:c>
      <x:c r="AA93" s="28" t="str">
        <x:v>High</x:v>
      </x:c>
      <x:c r="AB93" s="28" t="str">
        <x:v>Pass</x:v>
      </x:c>
      <x:c r="AC93" s="28" t="str">
        <x:v>Pending human review</x:v>
      </x:c>
      <x:c r="AD93" s="28" t="str"/>
      <x:c r="AE93" s="28" t="n">
        <x:v>46238.87231481481</x:v>
      </x:c>
    </x:row>
    <x:row r="94" ht="60" customHeight="1">
      <x:c r="A94" s="28" t="str">
        <x:v>ANC-JAM-011-01</x:v>
      </x:c>
      <x:c r="B94" s="28" t="str">
        <x:v>JAM-011</x:v>
      </x:c>
      <x:c r="C94" s="28" t="str">
        <x:v>DOC-JAM-WC-2026</x:v>
      </x:c>
      <x:c r="D94" s="28" t="str">
        <x:v>Primary Evidence</x:v>
      </x:c>
      <x:c r="E94" s="28" t="str">
        <x:v>Text Span</x:v>
      </x:c>
      <x:c r="F94" s="28" t="str"/>
      <x:c r="G94" s="28" t="str">
        <x:v>PDF p. 7, Section 3.2</x:v>
      </x:c>
      <x:c r="H94" s="28" t="n">
        <x:v>7</x:v>
      </x:c>
      <x:c r="I94" s="28" t="n">
        <x:v>7</x:v>
      </x:c>
      <x:c r="J94" s="28" t="n">
        <x:v>7</x:v>
      </x:c>
      <x:c r="K94" s="28" t="str">
        <x:v>7</x:v>
      </x:c>
      <x:c r="L94" s="28" t="str">
        <x:v>Institutional reform section</x:v>
      </x:c>
      <x:c r="M94" s="28" t="str">
        <x:v>(b) Strengthening and operationalizing basin-level water resources management institutions and planning arrangements across Jamaica’s 26 Watershed Management Areas.</x:v>
      </x:c>
      <x:c r="N94" s="28" t="str">
        <x:v>b strengthen and operationaliz basinlevel water resource management institution and plann arrangement across jamaica 26 watersh management area</x:v>
      </x:c>
      <x:c r="O94" s="28" t="str">
        <x:v>8bce662e3bd15fb278167c5b1c665ef8e6616c0a25ad7d08306ca3bd91f803b0</x:v>
      </x:c>
      <x:c r="P94" s="28" t="str"/>
      <x:c r="Q94" s="28" t="str"/>
      <x:c r="R94" s="28" t="str">
        <x:v>[[460,550],[551,624]]</x:v>
      </x:c>
      <x:c r="S94" s="28" t="str">
        <x:v>Fuzzy token-window match</x:v>
      </x:c>
      <x:c r="T94" s="28" t="str">
        <x:v>Tier 2 Label</x:v>
      </x:c>
      <x:c r="U94" s="28" t="str">
        <x:v>Basin-level institutions and planning</x:v>
      </x:c>
      <x:c r="V94" s="28" t="n">
        <x:v>0.689774</x:v>
      </x:c>
      <x:c r="W94" s="28" t="n">
        <x:v>0.894837</x:v>
      </x:c>
      <x:c r="X94" s="28" t="n">
        <x:v>0.809689</x:v>
      </x:c>
      <x:c r="Y94" s="28" t="n">
        <x:v>1</x:v>
      </x:c>
      <x:c r="Z94" s="28" t="n">
        <x:v>0.711111</x:v>
      </x:c>
      <x:c r="AA94" s="28" t="str">
        <x:v>Medium</x:v>
      </x:c>
      <x:c r="AB94" s="28" t="str">
        <x:v>Pass</x:v>
      </x:c>
      <x:c r="AC94" s="28" t="str">
        <x:v>Pending human review</x:v>
      </x:c>
      <x:c r="AD94" s="28" t="str"/>
      <x:c r="AE94" s="28" t="n">
        <x:v>46238.87231481481</x:v>
      </x:c>
    </x:row>
    <x:row r="95" ht="60" customHeight="1">
      <x:c r="A95" s="28" t="str">
        <x:v>ANC-JAM-012-01</x:v>
      </x:c>
      <x:c r="B95" s="28" t="str">
        <x:v>JAM-012</x:v>
      </x:c>
      <x:c r="C95" s="28" t="str">
        <x:v>DOC-JAM-WC-2026</x:v>
      </x:c>
      <x:c r="D95" s="28" t="str">
        <x:v>Primary Evidence</x:v>
      </x:c>
      <x:c r="E95" s="28" t="str">
        <x:v>Text Span</x:v>
      </x:c>
      <x:c r="F95" s="28" t="str"/>
      <x:c r="G95" s="28" t="str">
        <x:v>PDF p. 7, Section 3.2</x:v>
      </x:c>
      <x:c r="H95" s="28" t="n">
        <x:v>7</x:v>
      </x:c>
      <x:c r="I95" s="28" t="n">
        <x:v>7</x:v>
      </x:c>
      <x:c r="J95" s="28" t="n">
        <x:v>7</x:v>
      </x:c>
      <x:c r="K95" s="28" t="str">
        <x:v>7</x:v>
      </x:c>
      <x:c r="L95" s="28" t="str">
        <x:v>Institutional reform section</x:v>
      </x:c>
      <x:c r="M95" s="28" t="str">
        <x:v>(c) GOJ will focus on enhancing institutional, financing and policy measures for the long-</x:v>
      </x:c>
      <x:c r="N95" s="28" t="str">
        <x:v>c goj will focu on enhanc institutional financ and policy measure for the long</x:v>
      </x:c>
      <x:c r="O95" s="28" t="str">
        <x:v>d7cf256c78e018ccc5b6d90342da8fdfe6b382e3dc884c1cd209a4a7c618b14b</x:v>
      </x:c>
      <x:c r="P95" s="28" t="n">
        <x:v>625</x:v>
      </x:c>
      <x:c r="Q95" s="28" t="n">
        <x:v>715</x:v>
      </x:c>
      <x:c r="R95" s="28" t="str">
        <x:v>[[625,715]]</x:v>
      </x:c>
      <x:c r="S95" s="28" t="str">
        <x:v>Exact spatial line-cluster phrase</x:v>
      </x:c>
      <x:c r="T95" s="28" t="str">
        <x:v>Original Compact Text</x:v>
      </x:c>
      <x:c r="U95" s="28" t="str">
        <x:v>Institutional, financing and policy measures</x:v>
      </x:c>
      <x:c r="V95" s="28" t="n">
        <x:v>0.999</x:v>
      </x:c>
      <x:c r="W95" s="28" t="n">
        <x:v>0.843305</x:v>
      </x:c>
      <x:c r="X95" s="28" t="n">
        <x:v>0.729064</x:v>
      </x:c>
      <x:c r="Y95" s="28" t="n">
        <x:v>1</x:v>
      </x:c>
      <x:c r="Z95" s="28" t="n">
        <x:v>0.666667</x:v>
      </x:c>
      <x:c r="AA95" s="28" t="str">
        <x:v>High</x:v>
      </x:c>
      <x:c r="AB95" s="28" t="str">
        <x:v>Pass</x:v>
      </x:c>
      <x:c r="AC95" s="28" t="str">
        <x:v>Pending human review</x:v>
      </x:c>
      <x:c r="AD95" s="28" t="str"/>
      <x:c r="AE95" s="28" t="n">
        <x:v>46238.87231481481</x:v>
      </x:c>
    </x:row>
    <x:row r="96" ht="60" customHeight="1">
      <x:c r="A96" s="28" t="str">
        <x:v>ANC-JAM-013-01</x:v>
      </x:c>
      <x:c r="B96" s="28" t="str">
        <x:v>JAM-013</x:v>
      </x:c>
      <x:c r="C96" s="28" t="str">
        <x:v>DOC-JAM-WC-2026</x:v>
      </x:c>
      <x:c r="D96" s="28" t="str">
        <x:v>Primary Evidence</x:v>
      </x:c>
      <x:c r="E96" s="28" t="str">
        <x:v>Text Span</x:v>
      </x:c>
      <x:c r="F96" s="28" t="str"/>
      <x:c r="G96" s="28" t="str">
        <x:v>PDF p. 7, Section 3.2</x:v>
      </x:c>
      <x:c r="H96" s="28" t="n">
        <x:v>7</x:v>
      </x:c>
      <x:c r="I96" s="28" t="n">
        <x:v>7</x:v>
      </x:c>
      <x:c r="J96" s="28" t="n">
        <x:v>7</x:v>
      </x:c>
      <x:c r="K96" s="28" t="str">
        <x:v>7</x:v>
      </x:c>
      <x:c r="L96" s="28" t="str">
        <x:v>Institutional reform section</x:v>
      </x:c>
      <x:c r="M96" s="28" t="str">
        <x:v>These include: Office of Utility Regulation (OUR), the economic and service regulator, to i) improve tariff methodology, financial sustainability oversight, and regulation of water supply, sewerage and irrigation services.</x:v>
      </x:c>
      <x:c r="N96" s="28" t="str">
        <x:v>these include office of utility regulation our the economic and service regulator to i improve tariff methodology financial sustainability oversight and regulation of water supply sewerage and irrigation service</x:v>
      </x:c>
      <x:c r="O96" s="28" t="str">
        <x:v>33d1f8833dd0c5caa15aa3ca9538101b02353a3a8f02f3d8514999e7fda46950</x:v>
      </x:c>
      <x:c r="P96" s="28" t="str"/>
      <x:c r="Q96" s="28" t="str"/>
      <x:c r="R96" s="28" t="str">
        <x:v>[[1222,1227],[1228,1236],[1240,1314],[1237,1239],[1315,1396],[1397,1444]]</x:v>
      </x:c>
      <x:c r="S96" s="28" t="str">
        <x:v>Fuzzy token-window match</x:v>
      </x:c>
      <x:c r="T96" s="28" t="str">
        <x:v>Standardized Candidate</x:v>
      </x:c>
      <x:c r="U96" s="28" t="str">
        <x:v>Strengthen OUR water-sector economic and service regulation</x:v>
      </x:c>
      <x:c r="V96" s="28" t="n">
        <x:v>0.780694</x:v>
      </x:c>
      <x:c r="W96" s="28" t="n">
        <x:v>0.823094</x:v>
      </x:c>
      <x:c r="X96" s="28" t="n">
        <x:v>0.909984</x:v>
      </x:c>
      <x:c r="Y96" s="28" t="n">
        <x:v>0.751351</x:v>
      </x:c>
      <x:c r="Z96" s="28" t="n">
        <x:v>0.785047</x:v>
      </x:c>
      <x:c r="AA96" s="28" t="str">
        <x:v>High</x:v>
      </x:c>
      <x:c r="AB96" s="28" t="str">
        <x:v>Pass</x:v>
      </x:c>
      <x:c r="AC96" s="28" t="str">
        <x:v>Pending human review</x:v>
      </x:c>
      <x:c r="AD96" s="28" t="str"/>
      <x:c r="AE96" s="28" t="n">
        <x:v>46238.87231481481</x:v>
      </x:c>
    </x:row>
    <x:row r="97" ht="60" customHeight="1">
      <x:c r="A97" s="28" t="str">
        <x:v>ANC-JAM-014-01</x:v>
      </x:c>
      <x:c r="B97" s="28" t="str">
        <x:v>JAM-014</x:v>
      </x:c>
      <x:c r="C97" s="28" t="str">
        <x:v>DOC-JAM-WC-2026</x:v>
      </x:c>
      <x:c r="D97" s="28" t="str">
        <x:v>Primary Evidence</x:v>
      </x:c>
      <x:c r="E97" s="28" t="str">
        <x:v>Text Span</x:v>
      </x:c>
      <x:c r="F97" s="28" t="str"/>
      <x:c r="G97" s="28" t="str">
        <x:v>PDF p. 7, Section 3.2</x:v>
      </x:c>
      <x:c r="H97" s="28" t="n">
        <x:v>7</x:v>
      </x:c>
      <x:c r="I97" s="28" t="n">
        <x:v>7</x:v>
      </x:c>
      <x:c r="J97" s="28" t="n">
        <x:v>7</x:v>
      </x:c>
      <x:c r="K97" s="28" t="str">
        <x:v>7</x:v>
      </x:c>
      <x:c r="L97" s="28" t="str">
        <x:v>Institutional reform section</x:v>
      </x:c>
      <x:c r="M97" s="28" t="str">
        <x:v>National Environment and Planning Agency (NEPA), the environment regulator, ii) to strengthen oversight of the operations of wastewater treatment facilities and the quality of the effluent discharges from these facilities.</x:v>
      </x:c>
      <x:c r="N97" s="28" t="str">
        <x:v>national environment and plann agency nepa the environment regulator ii to strengthen oversight of the operation of wastewater treatment facility and the quality of the effluent discharge from these facility</x:v>
      </x:c>
      <x:c r="O97" s="28" t="str">
        <x:v>7d803defb23ccc1017109669524ae935634d274a3d12023bf32502897ef1926b</x:v>
      </x:c>
      <x:c r="P97" s="28" t="str"/>
      <x:c r="Q97" s="28" t="str"/>
      <x:c r="R97" s="28" t="str">
        <x:v>[[1449,1524],[1445,1448],[1525,1609],[1610,1667]]</x:v>
      </x:c>
      <x:c r="S97" s="28" t="str">
        <x:v>Fuzzy token-window match</x:v>
      </x:c>
      <x:c r="T97" s="28" t="str">
        <x:v>Standardized Candidate</x:v>
      </x:c>
      <x:c r="U97" s="28" t="str">
        <x:v>Strengthen NEPA oversight of wastewater treatment and effluent</x:v>
      </x:c>
      <x:c r="V97" s="28" t="n">
        <x:v>0.74691</x:v>
      </x:c>
      <x:c r="W97" s="28" t="n">
        <x:v>0.828479</x:v>
      </x:c>
      <x:c r="X97" s="28" t="n">
        <x:v>0.795031</x:v>
      </x:c>
      <x:c r="Y97" s="28" t="n">
        <x:v>0.864865</x:v>
      </x:c>
      <x:c r="Z97" s="28" t="n">
        <x:v>0.682635</x:v>
      </x:c>
      <x:c r="AA97" s="28" t="str">
        <x:v>Medium</x:v>
      </x:c>
      <x:c r="AB97" s="28" t="str">
        <x:v>Pass</x:v>
      </x:c>
      <x:c r="AC97" s="28" t="str">
        <x:v>Pending human review</x:v>
      </x:c>
      <x:c r="AD97" s="28" t="str"/>
      <x:c r="AE97" s="28" t="n">
        <x:v>46238.87231481481</x:v>
      </x:c>
    </x:row>
    <x:row r="98" ht="60" customHeight="1">
      <x:c r="A98" s="28" t="str">
        <x:v>ANC-JAM-015-01</x:v>
      </x:c>
      <x:c r="B98" s="28" t="str">
        <x:v>JAM-015</x:v>
      </x:c>
      <x:c r="C98" s="28" t="str">
        <x:v>DOC-JAM-WC-2026</x:v>
      </x:c>
      <x:c r="D98" s="28" t="str">
        <x:v>Primary Evidence</x:v>
      </x:c>
      <x:c r="E98" s="28" t="str">
        <x:v>Text Span</x:v>
      </x:c>
      <x:c r="F98" s="28" t="str"/>
      <x:c r="G98" s="28" t="str">
        <x:v>PDF p. 7, Section 3.2</x:v>
      </x:c>
      <x:c r="H98" s="28" t="n">
        <x:v>7</x:v>
      </x:c>
      <x:c r="I98" s="28" t="n">
        <x:v>7</x:v>
      </x:c>
      <x:c r="J98" s="28" t="n">
        <x:v>7</x:v>
      </x:c>
      <x:c r="K98" s="28" t="str">
        <x:v>7</x:v>
      </x:c>
      <x:c r="L98" s="28" t="str">
        <x:v>Institutional reform section</x:v>
      </x:c>
      <x:c r="M98" s="28" t="str">
        <x:v>Water Resources Authority (WRA), the water abstraction regulator, to ensure the iii) optimal use of the country’s water resources.</x:v>
      </x:c>
      <x:c r="N98" s="28" t="str">
        <x:v>water resource authority wra the water abstraction regulator to ensure the iii optimal use of the country water resource</x:v>
      </x:c>
      <x:c r="O98" s="28" t="str">
        <x:v>1d2a457f77ee91990e578bd5ef20845130df77278b8a7f5aa8504acc725ad60e</x:v>
      </x:c>
      <x:c r="P98" s="28" t="str"/>
      <x:c r="Q98" s="28" t="str"/>
      <x:c r="R98" s="28" t="str">
        <x:v>[[1673,1752],[1668,1672],[1753,1798]]</x:v>
      </x:c>
      <x:c r="S98" s="28" t="str">
        <x:v>Fuzzy token-window match</x:v>
      </x:c>
      <x:c r="T98" s="28" t="str">
        <x:v>Original Compact Text</x:v>
      </x:c>
      <x:c r="U98" s="28" t="str">
        <x:v>WRA abstraction regulation</x:v>
      </x:c>
      <x:c r="V98" s="28" t="n">
        <x:v>0.719156</x:v>
      </x:c>
      <x:c r="W98" s="28" t="n">
        <x:v>0.767568</x:v>
      </x:c>
      <x:c r="X98" s="28" t="n">
        <x:v>1</x:v>
      </x:c>
      <x:c r="Y98" s="28" t="n">
        <x:v>0.622807</x:v>
      </x:c>
      <x:c r="Z98" s="28" t="n">
        <x:v>0.588235</x:v>
      </x:c>
      <x:c r="AA98" s="28" t="str">
        <x:v>Medium</x:v>
      </x:c>
      <x:c r="AB98" s="28" t="str">
        <x:v>Pass</x:v>
      </x:c>
      <x:c r="AC98" s="28" t="str">
        <x:v>Pending human review</x:v>
      </x:c>
      <x:c r="AD98" s="28" t="str"/>
      <x:c r="AE98" s="28" t="n">
        <x:v>46238.87231481481</x:v>
      </x:c>
    </x:row>
    <x:row r="99" ht="60" customHeight="1">
      <x:c r="A99" s="28" t="str">
        <x:v>ANC-JAM-016-01</x:v>
      </x:c>
      <x:c r="B99" s="28" t="str">
        <x:v>JAM-016</x:v>
      </x:c>
      <x:c r="C99" s="28" t="str">
        <x:v>DOC-JAM-WC-2026</x:v>
      </x:c>
      <x:c r="D99" s="28" t="str">
        <x:v>Primary Evidence</x:v>
      </x:c>
      <x:c r="E99" s="28" t="str">
        <x:v>Text Span</x:v>
      </x:c>
      <x:c r="F99" s="28" t="str"/>
      <x:c r="G99" s="28" t="str">
        <x:v>PDF p. 7, Section 3.2</x:v>
      </x:c>
      <x:c r="H99" s="28" t="n">
        <x:v>7</x:v>
      </x:c>
      <x:c r="I99" s="28" t="n">
        <x:v>7</x:v>
      </x:c>
      <x:c r="J99" s="28" t="n">
        <x:v>7</x:v>
      </x:c>
      <x:c r="K99" s="28" t="str">
        <x:v>7</x:v>
      </x:c>
      <x:c r="L99" s="28" t="str">
        <x:v>Institutional reform section</x:v>
      </x:c>
      <x:c r="M99" s="28" t="str">
        <x:v>Ministry of Health, to provide effective oversight of drinking water quality and iv) the use of sanitation facilities.</x:v>
      </x:c>
      <x:c r="N99" s="28" t="str">
        <x:v>ministry of health to provide effective oversight of drink water quality and iv the use of sanitation facility</x:v>
      </x:c>
      <x:c r="O99" s="28" t="str">
        <x:v>2ec668a79fa5af3616b662f2c25548560054853442d5a3db5851079934fe0030</x:v>
      </x:c>
      <x:c r="P99" s="28" t="str"/>
      <x:c r="Q99" s="28" t="str"/>
      <x:c r="R99" s="28" t="str">
        <x:v>[[1803,1883],[1799,1802],[1884,1917]]</x:v>
      </x:c>
      <x:c r="S99" s="28" t="str">
        <x:v>Fuzzy spatial line-cluster match</x:v>
      </x:c>
      <x:c r="T99" s="28" t="str">
        <x:v>Standardized Candidate</x:v>
      </x:c>
      <x:c r="U99" s="28" t="str">
        <x:v>Strengthen Ministry of Health oversight of drinking water and sanitation</x:v>
      </x:c>
      <x:c r="V99" s="28" t="n">
        <x:v>0.815529</x:v>
      </x:c>
      <x:c r="W99" s="28" t="n">
        <x:v>0.838899</x:v>
      </x:c>
      <x:c r="X99" s="28" t="n">
        <x:v>0.722503</x:v>
      </x:c>
      <x:c r="Y99" s="28" t="n">
        <x:v>1</x:v>
      </x:c>
      <x:c r="Z99" s="28" t="n">
        <x:v>0.648045</x:v>
      </x:c>
      <x:c r="AA99" s="28" t="str">
        <x:v>High</x:v>
      </x:c>
      <x:c r="AB99" s="28" t="str">
        <x:v>Pass</x:v>
      </x:c>
      <x:c r="AC99" s="28" t="str">
        <x:v>Pending human review</x:v>
      </x:c>
      <x:c r="AD99" s="28" t="str"/>
      <x:c r="AE99" s="28" t="n">
        <x:v>46238.87231481481</x:v>
      </x:c>
    </x:row>
    <x:row r="100" ht="60" customHeight="1">
      <x:c r="A100" s="28" t="str">
        <x:v>ANC-JAM-017-01</x:v>
      </x:c>
      <x:c r="B100" s="28" t="str">
        <x:v>JAM-017</x:v>
      </x:c>
      <x:c r="C100" s="28" t="str">
        <x:v>DOC-JAM-WC-2026</x:v>
      </x:c>
      <x:c r="D100" s="28" t="str">
        <x:v>Primary Evidence</x:v>
      </x:c>
      <x:c r="E100" s="28" t="str">
        <x:v>Text Span</x:v>
      </x:c>
      <x:c r="F100" s="28" t="str"/>
      <x:c r="G100" s="28" t="str">
        <x:v>PDF p. 7, Section 3.2</x:v>
      </x:c>
      <x:c r="H100" s="28" t="n">
        <x:v>7</x:v>
      </x:c>
      <x:c r="I100" s="28" t="n">
        <x:v>7</x:v>
      </x:c>
      <x:c r="J100" s="28" t="n">
        <x:v>7</x:v>
      </x:c>
      <x:c r="K100" s="28" t="str">
        <x:v>7</x:v>
      </x:c>
      <x:c r="L100" s="28" t="str">
        <x:v>Institutional reform section</x:v>
      </x:c>
      <x:c r="M100" s="28" t="str">
        <x:v>(e) Strengthening data systems, monitoring, and analytical capacity to support evidence- based water management.</x:v>
      </x:c>
      <x:c r="N100" s="28" t="str">
        <x:v>e strengthen data system monitor and analytical capacity to support evidence bas water management</x:v>
      </x:c>
      <x:c r="O100" s="28" t="str">
        <x:v>f418a1045fd6658bfb08bf074d4038c0844870f5f67f6d62bfb35c005535a590</x:v>
      </x:c>
      <x:c r="P100" s="28" t="str"/>
      <x:c r="Q100" s="28" t="str"/>
      <x:c r="R100" s="28" t="str">
        <x:v>[[1918,2006],[2007,2030]]</x:v>
      </x:c>
      <x:c r="S100" s="28" t="str">
        <x:v>Fuzzy token-window match</x:v>
      </x:c>
      <x:c r="T100" s="28" t="str">
        <x:v>Standardized Candidate</x:v>
      </x:c>
      <x:c r="U100" s="28" t="str">
        <x:v>Strengthen sector data systems, monitoring, and analytical capacity</x:v>
      </x:c>
      <x:c r="V100" s="28" t="n">
        <x:v>0.971558</x:v>
      </x:c>
      <x:c r="W100" s="28" t="n">
        <x:v>1</x:v>
      </x:c>
      <x:c r="X100" s="28" t="n">
        <x:v>1</x:v>
      </x:c>
      <x:c r="Y100" s="28" t="n">
        <x:v>1</x:v>
      </x:c>
      <x:c r="Z100" s="28" t="n">
        <x:v>0.923077</x:v>
      </x:c>
      <x:c r="AA100" s="28" t="str">
        <x:v>High</x:v>
      </x:c>
      <x:c r="AB100" s="28" t="str">
        <x:v>Pass</x:v>
      </x:c>
      <x:c r="AC100" s="28" t="str">
        <x:v>Pending human review</x:v>
      </x:c>
      <x:c r="AD100" s="28" t="str"/>
      <x:c r="AE100" s="28" t="n">
        <x:v>46238.87231481481</x:v>
      </x:c>
    </x:row>
    <x:row r="101" ht="60" customHeight="1">
      <x:c r="A101" s="28" t="str">
        <x:v>ANC-JAM-018-01</x:v>
      </x:c>
      <x:c r="B101" s="28" t="str">
        <x:v>JAM-018</x:v>
      </x:c>
      <x:c r="C101" s="28" t="str">
        <x:v>DOC-JAM-WC-2026</x:v>
      </x:c>
      <x:c r="D101" s="28" t="str">
        <x:v>Primary Evidence</x:v>
      </x:c>
      <x:c r="E101" s="28" t="str">
        <x:v>Text Span</x:v>
      </x:c>
      <x:c r="F101" s="28" t="str"/>
      <x:c r="G101" s="28" t="str">
        <x:v>PDF p. 8, Section 3.4</x:v>
      </x:c>
      <x:c r="H101" s="28" t="n">
        <x:v>8</x:v>
      </x:c>
      <x:c r="I101" s="28" t="n">
        <x:v>8</x:v>
      </x:c>
      <x:c r="J101" s="28" t="n">
        <x:v>8</x:v>
      </x:c>
      <x:c r="K101" s="28" t="str">
        <x:v>8</x:v>
      </x:c>
      <x:c r="L101" s="28" t="str">
        <x:v>Policy and governance reform list</x:v>
      </x:c>
      <x:c r="M101" s="28" t="str">
        <x:v>These will include: • Legislation that defines the policy and regulatory framework for the entire water sector as first postulated in the 2004 Water Policy, to address the changing nature of the Jamaican water industry.</x:v>
      </x:c>
      <x:c r="N101" s="28" t="str">
        <x:v>these will include legislation that define the policy and regulatory framework for the entire water sector as first postulat in the 2004 water policy to address the chang nature of the jamaican water industry</x:v>
      </x:c>
      <x:c r="O101" s="28" t="str">
        <x:v>e9cb8c2fe44440559c18185b206dc69b87d502b2d0062aa476e0df66343d07d6</x:v>
      </x:c>
      <x:c r="P101" s="28" t="str"/>
      <x:c r="Q101" s="28" t="str"/>
      <x:c r="R101" s="28" t="str">
        <x:v>[[2495,2514],[2515,2516],[2517,2598],[2599,2682],[2683,2714]]</x:v>
      </x:c>
      <x:c r="S101" s="28" t="str">
        <x:v>Fuzzy token-window match</x:v>
      </x:c>
      <x:c r="T101" s="28" t="str">
        <x:v>Original Compact Text</x:v>
      </x:c>
      <x:c r="U101" s="28" t="str">
        <x:v>Sector-wide policy and regulatory legislation</x:v>
      </x:c>
      <x:c r="V101" s="28" t="n">
        <x:v>0.754958</x:v>
      </x:c>
      <x:c r="W101" s="28" t="n">
        <x:v>0.808762</x:v>
      </x:c>
      <x:c r="X101" s="28" t="n">
        <x:v>0.897196</x:v>
      </x:c>
      <x:c r="Y101" s="28" t="n">
        <x:v>0.736196</x:v>
      </x:c>
      <x:c r="Z101" s="28" t="n">
        <x:v>0.55914</x:v>
      </x:c>
      <x:c r="AA101" s="28" t="str">
        <x:v>Medium</x:v>
      </x:c>
      <x:c r="AB101" s="28" t="str">
        <x:v>Pass</x:v>
      </x:c>
      <x:c r="AC101" s="28" t="str">
        <x:v>Pending human review</x:v>
      </x:c>
      <x:c r="AD101" s="28" t="str"/>
      <x:c r="AE101" s="28" t="n">
        <x:v>46238.87231481481</x:v>
      </x:c>
    </x:row>
    <x:row r="102" ht="60" customHeight="1">
      <x:c r="A102" s="28" t="str">
        <x:v>ANC-JAM-019-01</x:v>
      </x:c>
      <x:c r="B102" s="28" t="str">
        <x:v>JAM-019</x:v>
      </x:c>
      <x:c r="C102" s="28" t="str">
        <x:v>DOC-JAM-WC-2026</x:v>
      </x:c>
      <x:c r="D102" s="28" t="str">
        <x:v>Primary Evidence</x:v>
      </x:c>
      <x:c r="E102" s="28" t="str">
        <x:v>Text Span</x:v>
      </x:c>
      <x:c r="F102" s="28" t="str"/>
      <x:c r="G102" s="28" t="str">
        <x:v>PDF pp. 8–9, Section 3.4</x:v>
      </x:c>
      <x:c r="H102" s="28" t="n">
        <x:v>8</x:v>
      </x:c>
      <x:c r="I102" s="28" t="n">
        <x:v>9</x:v>
      </x:c>
      <x:c r="J102" s="28" t="n">
        <x:v>8</x:v>
      </x:c>
      <x:c r="K102" s="28" t="str">
        <x:v>8</x:v>
      </x:c>
      <x:c r="L102" s="28" t="str">
        <x:v>Policy and governance reform list</x:v>
      </x:c>
      <x:c r="M102" s="28" t="str">
        <x:v>• The establishment of an institution that is responsible for the provision of weather, climate, and agro-meteorological services to support areas such as 7</x:v>
      </x:c>
      <x:c r="N102" s="28" t="str">
        <x:v>the establishment of an institution that is responsible for the provision of weather climate and agrometeorological service to support area such as 7</x:v>
      </x:c>
      <x:c r="O102" s="28" t="str">
        <x:v>fae3da3f335808fbc89dd29ff8fdec592227332288aebfe8a0c2908ab0109fb8</x:v>
      </x:c>
      <x:c r="P102" s="28" t="str"/>
      <x:c r="Q102" s="28" t="str"/>
      <x:c r="R102" s="28" t="str">
        <x:v>[[2715,2716],[2717,2793],[2794,2869],[2870,2871]]</x:v>
      </x:c>
      <x:c r="S102" s="28" t="str">
        <x:v>Fuzzy token-window match</x:v>
      </x:c>
      <x:c r="T102" s="28" t="str">
        <x:v>Standardized Candidate</x:v>
      </x:c>
      <x:c r="U102" s="28" t="str">
        <x:v>Establish an institution for weather, climate, and agrometeorological services</x:v>
      </x:c>
      <x:c r="V102" s="28" t="n">
        <x:v>0.886167</x:v>
      </x:c>
      <x:c r="W102" s="28" t="n">
        <x:v>0.938685</x:v>
      </x:c>
      <x:c r="X102" s="28" t="n">
        <x:v>0.884454</x:v>
      </x:c>
      <x:c r="Y102" s="28" t="n">
        <x:v>1</x:v>
      </x:c>
      <x:c r="Z102" s="28" t="n">
        <x:v>0.712644</x:v>
      </x:c>
      <x:c r="AA102" s="28" t="str">
        <x:v>High</x:v>
      </x:c>
      <x:c r="AB102" s="28" t="str">
        <x:v>Pass</x:v>
      </x:c>
      <x:c r="AC102" s="28" t="str">
        <x:v>Pending human review</x:v>
      </x:c>
      <x:c r="AD102" s="28" t="str"/>
      <x:c r="AE102" s="28" t="n">
        <x:v>46238.87231481481</x:v>
      </x:c>
    </x:row>
    <x:row r="103" ht="60" customHeight="1">
      <x:c r="A103" s="28" t="str">
        <x:v>ANC-JAM-020-01</x:v>
      </x:c>
      <x:c r="B103" s="28" t="str">
        <x:v>JAM-020</x:v>
      </x:c>
      <x:c r="C103" s="28" t="str">
        <x:v>DOC-JAM-WC-2026</x:v>
      </x:c>
      <x:c r="D103" s="28" t="str">
        <x:v>Primary Evidence</x:v>
      </x:c>
      <x:c r="E103" s="28" t="str">
        <x:v>Text Span</x:v>
      </x:c>
      <x:c r="F103" s="28" t="str"/>
      <x:c r="G103" s="28" t="str">
        <x:v>PDF p. 9, Section 3.4</x:v>
      </x:c>
      <x:c r="H103" s="28" t="n">
        <x:v>9</x:v>
      </x:c>
      <x:c r="I103" s="28" t="n">
        <x:v>9</x:v>
      </x:c>
      <x:c r="J103" s="28" t="n">
        <x:v>9</x:v>
      </x:c>
      <x:c r="K103" s="28" t="str">
        <x:v>9</x:v>
      </x:c>
      <x:c r="L103" s="28" t="str">
        <x:v>Policy and governance reform list</x:v>
      </x:c>
      <x:c r="M103" s="28" t="str">
        <x:v>• Amendments to the Office of Utilities Regulation Act and the Irrigation Amendment Act (1998) to transfer the regulation of irrigation services from NIC to OUR, and to provide for operational management of irrigation systems by Water User Associations.</x:v>
      </x:c>
      <x:c r="N103" s="28" t="str">
        <x:v>amendment to the office of utility regulation act and the irrigation amendment act 1998 to transfer the regulation of irrigation service from nic to our and to provide for operational management of irrigation system by water user association</x:v>
      </x:c>
      <x:c r="O103" s="28" t="str">
        <x:v>17ecd143f45ac9c7101f089038b27ac09503a1e1d5a092352728adffa37493ec</x:v>
      </x:c>
      <x:c r="P103" s="28" t="str"/>
      <x:c r="Q103" s="28" t="str"/>
      <x:c r="R103" s="28" t="str">
        <x:v>[[127,128],[129,200],[201,280],[281,355],[356,380]]</x:v>
      </x:c>
      <x:c r="S103" s="28" t="str">
        <x:v>Fuzzy token-window match</x:v>
      </x:c>
      <x:c r="T103" s="28" t="str">
        <x:v>Original Compact Text</x:v>
      </x:c>
      <x:c r="U103" s="28" t="str">
        <x:v>Transfer irrigation regulation to OUR</x:v>
      </x:c>
      <x:c r="V103" s="28" t="n">
        <x:v>0.88273</x:v>
      </x:c>
      <x:c r="W103" s="28" t="n">
        <x:v>0.914992</x:v>
      </x:c>
      <x:c r="X103" s="28" t="n">
        <x:v>0.843305</x:v>
      </x:c>
      <x:c r="Y103" s="28" t="n">
        <x:v>1</x:v>
      </x:c>
      <x:c r="Z103" s="28" t="n">
        <x:v>0.612245</x:v>
      </x:c>
      <x:c r="AA103" s="28" t="str">
        <x:v>High</x:v>
      </x:c>
      <x:c r="AB103" s="28" t="str">
        <x:v>Pass</x:v>
      </x:c>
      <x:c r="AC103" s="28" t="str">
        <x:v>Pending human review</x:v>
      </x:c>
      <x:c r="AD103" s="28" t="str"/>
      <x:c r="AE103" s="28" t="n">
        <x:v>46238.87231481481</x:v>
      </x:c>
    </x:row>
    <x:row r="104" ht="60" customHeight="1">
      <x:c r="A104" s="28" t="str">
        <x:v>ANC-JAM-021-01</x:v>
      </x:c>
      <x:c r="B104" s="28" t="str">
        <x:v>JAM-021</x:v>
      </x:c>
      <x:c r="C104" s="28" t="str">
        <x:v>DOC-JAM-WC-2026</x:v>
      </x:c>
      <x:c r="D104" s="28" t="str">
        <x:v>Primary Evidence</x:v>
      </x:c>
      <x:c r="E104" s="28" t="str">
        <x:v>Text Span</x:v>
      </x:c>
      <x:c r="F104" s="28" t="str"/>
      <x:c r="G104" s="28" t="str">
        <x:v>PDF p. 9, Section 3.4</x:v>
      </x:c>
      <x:c r="H104" s="28" t="n">
        <x:v>9</x:v>
      </x:c>
      <x:c r="I104" s="28" t="n">
        <x:v>9</x:v>
      </x:c>
      <x:c r="J104" s="28" t="n">
        <x:v>9</x:v>
      </x:c>
      <x:c r="K104" s="28" t="str">
        <x:v>9</x:v>
      </x:c>
      <x:c r="L104" s="28" t="str">
        <x:v>Policy and governance reform list</x:v>
      </x:c>
      <x:c r="M104" s="28" t="str">
        <x:v>Water User Associations.</x:v>
      </x:c>
      <x:c r="N104" s="28" t="str">
        <x:v>water user association</x:v>
      </x:c>
      <x:c r="O104" s="28" t="str">
        <x:v>f68f176ab134768daa67cd8a98c3700009202c21dbcba2713470b7010a96cd7a</x:v>
      </x:c>
      <x:c r="P104" s="28" t="n">
        <x:v>356</x:v>
      </x:c>
      <x:c r="Q104" s="28" t="n">
        <x:v>380</x:v>
      </x:c>
      <x:c r="R104" s="28" t="str">
        <x:v>[[356,380]]</x:v>
      </x:c>
      <x:c r="S104" s="28" t="str">
        <x:v>Fuzzy spatial line-cluster match</x:v>
      </x:c>
      <x:c r="T104" s="28" t="str">
        <x:v>Original Compact Text</x:v>
      </x:c>
      <x:c r="U104" s="28" t="str">
        <x:v>Water User Association operations</x:v>
      </x:c>
      <x:c r="V104" s="28" t="n">
        <x:v>0.767313</x:v>
      </x:c>
      <x:c r="W104" s="28" t="n">
        <x:v>0.78022</x:v>
      </x:c>
      <x:c r="X104" s="28" t="n">
        <x:v>1</x:v>
      </x:c>
      <x:c r="Y104" s="28" t="n">
        <x:v>0.63964</x:v>
      </x:c>
      <x:c r="Z104" s="28" t="n">
        <x:v>0.814815</x:v>
      </x:c>
      <x:c r="AA104" s="28" t="str">
        <x:v>High</x:v>
      </x:c>
      <x:c r="AB104" s="28" t="str">
        <x:v>Pass</x:v>
      </x:c>
      <x:c r="AC104" s="28" t="str">
        <x:v>Pending human review</x:v>
      </x:c>
      <x:c r="AD104" s="28" t="str"/>
      <x:c r="AE104" s="28" t="n">
        <x:v>46238.87231481481</x:v>
      </x:c>
    </x:row>
    <x:row r="105" ht="60" customHeight="1">
      <x:c r="A105" s="28" t="str">
        <x:v>ANC-JAM-022-01</x:v>
      </x:c>
      <x:c r="B105" s="28" t="str">
        <x:v>JAM-022</x:v>
      </x:c>
      <x:c r="C105" s="28" t="str">
        <x:v>DOC-JAM-WC-2026</x:v>
      </x:c>
      <x:c r="D105" s="28" t="str">
        <x:v>Primary Evidence</x:v>
      </x:c>
      <x:c r="E105" s="28" t="str">
        <x:v>Text Span</x:v>
      </x:c>
      <x:c r="F105" s="28" t="str"/>
      <x:c r="G105" s="28" t="str">
        <x:v>PDF p. 9, Section 3.4</x:v>
      </x:c>
      <x:c r="H105" s="28" t="n">
        <x:v>9</x:v>
      </x:c>
      <x:c r="I105" s="28" t="n">
        <x:v>9</x:v>
      </x:c>
      <x:c r="J105" s="28" t="n">
        <x:v>9</x:v>
      </x:c>
      <x:c r="K105" s="28" t="str">
        <x:v>9</x:v>
      </x:c>
      <x:c r="L105" s="28" t="str">
        <x:v>Policy and governance reform list</x:v>
      </x:c>
      <x:c r="M105" s="28" t="str">
        <x:v>• Amendments to the Floodwater Control Act (1958) and Water Resources Act (1995), to define the role of the Water Resources Authority (WRA) and the National Works Agency (NWA) in flood water management.</x:v>
      </x:c>
      <x:c r="N105" s="28" t="str">
        <x:v>amendment to the floodwater control act 1958 and water resource act 1995 to define the role of the water resource authority wra and the national work agency nwa in flood water management</x:v>
      </x:c>
      <x:c r="O105" s="28" t="str">
        <x:v>d968294f9d70c831f24dc6305d7defd75f57650902f7f835ffc2c6be85aec0ad</x:v>
      </x:c>
      <x:c r="P105" s="28" t="str"/>
      <x:c r="Q105" s="28" t="str"/>
      <x:c r="R105" s="28" t="str">
        <x:v>[[381,382],[383,454],[455,528],[529,583]]</x:v>
      </x:c>
      <x:c r="S105" s="28" t="str">
        <x:v>Fuzzy token-window match</x:v>
      </x:c>
      <x:c r="T105" s="28" t="str">
        <x:v>Original Compact Text</x:v>
      </x:c>
      <x:c r="U105" s="28" t="str">
        <x:v>Clarify WRA and NWA flood roles</x:v>
      </x:c>
      <x:c r="V105" s="28" t="n">
        <x:v>0.611009</x:v>
      </x:c>
      <x:c r="W105" s="28" t="n">
        <x:v>0.643299</x:v>
      </x:c>
      <x:c r="X105" s="28" t="n">
        <x:v>0.739336</x:v>
      </x:c>
      <x:c r="Y105" s="28" t="n">
        <x:v>0.569343</x:v>
      </x:c>
      <x:c r="Z105" s="28" t="n">
        <x:v>0.453333</x:v>
      </x:c>
      <x:c r="AA105" s="28" t="str">
        <x:v>Medium</x:v>
      </x:c>
      <x:c r="AB105" s="28" t="str">
        <x:v>Pass</x:v>
      </x:c>
      <x:c r="AC105" s="28" t="str">
        <x:v>Pending human review</x:v>
      </x:c>
      <x:c r="AD105" s="28" t="str"/>
      <x:c r="AE105" s="28" t="n">
        <x:v>46238.87231481481</x:v>
      </x:c>
    </x:row>
    <x:row r="106" ht="60" customHeight="1">
      <x:c r="A106" s="28" t="str">
        <x:v>ANC-JAM-023-01</x:v>
      </x:c>
      <x:c r="B106" s="28" t="str">
        <x:v>JAM-023</x:v>
      </x:c>
      <x:c r="C106" s="28" t="str">
        <x:v>DOC-JAM-WC-2026</x:v>
      </x:c>
      <x:c r="D106" s="28" t="str">
        <x:v>Primary Evidence</x:v>
      </x:c>
      <x:c r="E106" s="28" t="str">
        <x:v>Text Span</x:v>
      </x:c>
      <x:c r="F106" s="28" t="str"/>
      <x:c r="G106" s="28" t="str">
        <x:v>PDF p. 9, Section 3.4</x:v>
      </x:c>
      <x:c r="H106" s="28" t="n">
        <x:v>9</x:v>
      </x:c>
      <x:c r="I106" s="28" t="n">
        <x:v>9</x:v>
      </x:c>
      <x:c r="J106" s="28" t="n">
        <x:v>9</x:v>
      </x:c>
      <x:c r="K106" s="28" t="str">
        <x:v>9</x:v>
      </x:c>
      <x:c r="L106" s="28" t="str">
        <x:v>Policy and governance reform list</x:v>
      </x:c>
      <x:c r="M106" s="28" t="str">
        <x:v>• Establishing legislation that recognizes the role of the Ministry of Health in regulating drinking, and addresses surveillance and monitoring of drinking water supplies.</x:v>
      </x:c>
      <x:c r="N106" s="28" t="str">
        <x:v>establish legislation that recognize the role of the ministry of health in regulat drink and addresse surveillance and monitor of drink water supply</x:v>
      </x:c>
      <x:c r="O106" s="28" t="str">
        <x:v>d76abdd045f1748f0de0b7988b5690c7e65c97d60305db318602203eefe7991d</x:v>
      </x:c>
      <x:c r="P106" s="28" t="str"/>
      <x:c r="Q106" s="28" t="str"/>
      <x:c r="R106" s="28" t="str">
        <x:v>[[584,585],[586,664],[665,745],[746,755]]</x:v>
      </x:c>
      <x:c r="S106" s="28" t="str">
        <x:v>Fuzzy token-window match</x:v>
      </x:c>
      <x:c r="T106" s="28" t="str">
        <x:v>Original Compact Text</x:v>
      </x:c>
      <x:c r="U106" s="28" t="str">
        <x:v>Legislation recognizing MoH regulatory role</x:v>
      </x:c>
      <x:c r="V106" s="28" t="n">
        <x:v>0.597047</x:v>
      </x:c>
      <x:c r="W106" s="28" t="n">
        <x:v>0.544583</x:v>
      </x:c>
      <x:c r="X106" s="28" t="n">
        <x:v>0.837758</x:v>
      </x:c>
      <x:c r="Y106" s="28" t="n">
        <x:v>0.403409</x:v>
      </x:c>
      <x:c r="Z106" s="28" t="n">
        <x:v>0.746667</x:v>
      </x:c>
      <x:c r="AA106" s="28" t="str">
        <x:v>Medium</x:v>
      </x:c>
      <x:c r="AB106" s="28" t="str">
        <x:v>Pass</x:v>
      </x:c>
      <x:c r="AC106" s="28" t="str">
        <x:v>Pending human review</x:v>
      </x:c>
      <x:c r="AD106" s="28" t="str"/>
      <x:c r="AE106" s="28" t="n">
        <x:v>46238.87231481481</x:v>
      </x:c>
    </x:row>
    <x:row r="107" ht="60" customHeight="1">
      <x:c r="A107" s="28" t="str">
        <x:v>ANC-JAM-024-01</x:v>
      </x:c>
      <x:c r="B107" s="28" t="str">
        <x:v>JAM-024</x:v>
      </x:c>
      <x:c r="C107" s="28" t="str">
        <x:v>DOC-JAM-WC-2026</x:v>
      </x:c>
      <x:c r="D107" s="28" t="str">
        <x:v>Primary Evidence</x:v>
      </x:c>
      <x:c r="E107" s="28" t="str">
        <x:v>Text Span</x:v>
      </x:c>
      <x:c r="F107" s="28" t="str"/>
      <x:c r="G107" s="28" t="str">
        <x:v>PDF p. 9, Section 4</x:v>
      </x:c>
      <x:c r="H107" s="28" t="n">
        <x:v>9</x:v>
      </x:c>
      <x:c r="I107" s="28" t="n">
        <x:v>9</x:v>
      </x:c>
      <x:c r="J107" s="28" t="n">
        <x:v>9</x:v>
      </x:c>
      <x:c r="K107" s="28" t="str">
        <x:v>9</x:v>
      </x:c>
      <x:c r="L107" s="28" t="str">
        <x:v>Implementation monitoring</x:v>
      </x:c>
      <x:c r="M107" s="28" t="str">
        <x:v>4 Implementation Monitoring The Ministry of Water, Environment and Climate Change will monitor the progress of implementing the Water Compact, largely based on the monitoring and evaluation framework (M&amp;E Framework) that was developed following the promulgation of the 2019 Water Policy. This M&amp;E Framework will be refined to further allow policy learning and mid-course correction.</x:v>
      </x:c>
      <x:c r="N107" s="28" t="str">
        <x:v>4 implementation monitor the ministry of water environment and climate change will monitor the progress of implement the water compact largely bas on the monitor and evaluation framework m e framework that was develop follow the promulgation of the 2019 water policy this m e framework will be refin to further allow policy learn and midcourse correction</x:v>
      </x:c>
      <x:c r="O107" s="28" t="str">
        <x:v>042c1320d6356fba5b3ceb4dd788cec11f0df87df4285dc7126e94559d8c81e3</x:v>
      </x:c>
      <x:c r="P107" s="28" t="str"/>
      <x:c r="Q107" s="28" t="str"/>
      <x:c r="R107" s="28" t="str">
        <x:v>[[756,757],[758,783],[784,866],[867,955],[956,1043],[1044,1138]]</x:v>
      </x:c>
      <x:c r="S107" s="28" t="str">
        <x:v>Fuzzy token-window match</x:v>
      </x:c>
      <x:c r="T107" s="28" t="str">
        <x:v>Original Compact Text</x:v>
      </x:c>
      <x:c r="U107" s="28" t="str">
        <x:v>Refine Water Policy M&amp;E Framework</x:v>
      </x:c>
      <x:c r="V107" s="28" t="n">
        <x:v>0.803088</x:v>
      </x:c>
      <x:c r="W107" s="28" t="n">
        <x:v>0.820809</x:v>
      </x:c>
      <x:c r="X107" s="28" t="n">
        <x:v>1</x:v>
      </x:c>
      <x:c r="Y107" s="28" t="n">
        <x:v>0.696078</x:v>
      </x:c>
      <x:c r="Z107" s="28" t="n">
        <x:v>0.793651</x:v>
      </x:c>
      <x:c r="AA107" s="28" t="str">
        <x:v>High</x:v>
      </x:c>
      <x:c r="AB107" s="28" t="str">
        <x:v>Pass</x:v>
      </x:c>
      <x:c r="AC107" s="28" t="str">
        <x:v>Pending human review</x:v>
      </x:c>
      <x:c r="AD107" s="28" t="str"/>
      <x:c r="AE107" s="28" t="n">
        <x:v>46238.87231481481</x:v>
      </x:c>
    </x:row>
    <x:row r="108" ht="60" customHeight="1">
      <x:c r="A108" s="28" t="str">
        <x:v>ANC-JAM-025-01</x:v>
      </x:c>
      <x:c r="B108" s="28" t="str">
        <x:v>JAM-025</x:v>
      </x:c>
      <x:c r="C108" s="28" t="str">
        <x:v>DOC-JAM-WC-2026</x:v>
      </x:c>
      <x:c r="D108" s="28" t="str">
        <x:v>Duplicate/Sub-action Evidence</x:v>
      </x:c>
      <x:c r="E108" s="28" t="str">
        <x:v>Text Span</x:v>
      </x:c>
      <x:c r="F108" s="28" t="str"/>
      <x:c r="G108" s="28" t="str">
        <x:v>PDF p. 9, Section 4</x:v>
      </x:c>
      <x:c r="H108" s="28" t="n">
        <x:v>9</x:v>
      </x:c>
      <x:c r="I108" s="28" t="n">
        <x:v>9</x:v>
      </x:c>
      <x:c r="J108" s="28" t="n">
        <x:v>9</x:v>
      </x:c>
      <x:c r="K108" s="28" t="str">
        <x:v>9</x:v>
      </x:c>
      <x:c r="L108" s="28" t="str">
        <x:v>Implementation monitoring</x:v>
      </x:c>
      <x:c r="M108" s="28" t="str">
        <x:v>• Institutional responsibilities: Designation of responsible entities for data collection, consolidation, and reporting, under overall coordination led by the IWRMC.</x:v>
      </x:c>
      <x:c r="N108" s="28" t="str">
        <x:v>institutional responsibility designation of responsible entity for data collection consolidation and report under overall coordination led by the iwrmc</x:v>
      </x:c>
      <x:c r="O108" s="28" t="str">
        <x:v>09bf42997c8b87aa17bdf3536d53844457cb9cf55be89a5b10e0a0ac11044488</x:v>
      </x:c>
      <x:c r="P108" s="28" t="str"/>
      <x:c r="Q108" s="28" t="str"/>
      <x:c r="R108" s="28" t="str">
        <x:v>[[1948,1949],[1950,2026],[2027,2106],[2107,2113]]</x:v>
      </x:c>
      <x:c r="S108" s="28" t="str">
        <x:v>Fuzzy token-window match</x:v>
      </x:c>
      <x:c r="T108" s="28" t="str">
        <x:v>Tier 2 Label</x:v>
      </x:c>
      <x:c r="U108" s="28" t="str">
        <x:v>Compact reporting</x:v>
      </x:c>
      <x:c r="V108" s="28" t="n">
        <x:v>0.755883</x:v>
      </x:c>
      <x:c r="W108" s="28" t="n">
        <x:v>1</x:v>
      </x:c>
      <x:c r="X108" s="28" t="n">
        <x:v>1</x:v>
      </x:c>
      <x:c r="Y108" s="28" t="n">
        <x:v>1</x:v>
      </x:c>
      <x:c r="Z108" s="28" t="n">
        <x:v>0.666667</x:v>
      </x:c>
      <x:c r="AA108" s="28" t="str">
        <x:v>Medium</x:v>
      </x:c>
      <x:c r="AB108" s="28" t="str">
        <x:v>Pass</x:v>
      </x:c>
      <x:c r="AC108" s="28" t="str">
        <x:v>Pending human review</x:v>
      </x:c>
      <x:c r="AD108" s="28" t="str"/>
      <x:c r="AE108" s="28" t="n">
        <x:v>46238.87231481481</x:v>
      </x:c>
    </x:row>
    <x:row r="109" ht="60" customHeight="1">
      <x:c r="A109" s="28" t="str">
        <x:v>ANC-JAM-026-01</x:v>
      </x:c>
      <x:c r="B109" s="28" t="str">
        <x:v>JAM-026</x:v>
      </x:c>
      <x:c r="C109" s="28" t="str">
        <x:v>DOC-JAM-WC-2026</x:v>
      </x:c>
      <x:c r="D109" s="28" t="str">
        <x:v>Primary Evidence</x:v>
      </x:c>
      <x:c r="E109" s="28" t="str">
        <x:v>Text Span</x:v>
      </x:c>
      <x:c r="F109" s="28" t="str"/>
      <x:c r="G109" s="28" t="str">
        <x:v>PDF p. 9, Section 4</x:v>
      </x:c>
      <x:c r="H109" s="28" t="n">
        <x:v>9</x:v>
      </x:c>
      <x:c r="I109" s="28" t="n">
        <x:v>9</x:v>
      </x:c>
      <x:c r="J109" s="28" t="n">
        <x:v>9</x:v>
      </x:c>
      <x:c r="K109" s="28" t="str">
        <x:v>9</x:v>
      </x:c>
      <x:c r="L109" s="28" t="str">
        <x:v>Implementation monitoring</x:v>
      </x:c>
      <x:c r="M109" s="28" t="str">
        <x:v>• Institutional responsibilities: Designation of responsible entities for data collection, consolidation, and reporting, under overall coordination led by the IWRMC.</x:v>
      </x:c>
      <x:c r="N109" s="28" t="str">
        <x:v>institutional responsibility designation of responsible entity for data collection consolidation and report under overall coordination led by the iwrmc</x:v>
      </x:c>
      <x:c r="O109" s="28" t="str">
        <x:v>09bf42997c8b87aa17bdf3536d53844457cb9cf55be89a5b10e0a0ac11044488</x:v>
      </x:c>
      <x:c r="P109" s="28" t="str"/>
      <x:c r="Q109" s="28" t="str"/>
      <x:c r="R109" s="28" t="str">
        <x:v>[[1948,1949],[1950,2026],[2027,2106],[2107,2113]]</x:v>
      </x:c>
      <x:c r="S109" s="28" t="str">
        <x:v>Fuzzy token-window match</x:v>
      </x:c>
      <x:c r="T109" s="28" t="str">
        <x:v>Standardized Candidate</x:v>
      </x:c>
      <x:c r="U109" s="28" t="str">
        <x:v>Assign institutional responsibilities for Compact data and reporting</x:v>
      </x:c>
      <x:c r="V109" s="28" t="n">
        <x:v>0.708826</x:v>
      </x:c>
      <x:c r="W109" s="28" t="n">
        <x:v>0.765708</x:v>
      </x:c>
      <x:c r="X109" s="28" t="n">
        <x:v>0.703344</x:v>
      </x:c>
      <x:c r="Y109" s="28" t="n">
        <x:v>0.840206</x:v>
      </x:c>
      <x:c r="Z109" s="28" t="n">
        <x:v>0.564706</x:v>
      </x:c>
      <x:c r="AA109" s="28" t="str">
        <x:v>Medium</x:v>
      </x:c>
      <x:c r="AB109" s="28" t="str">
        <x:v>Pass</x:v>
      </x:c>
      <x:c r="AC109" s="28" t="str">
        <x:v>Pending human review</x:v>
      </x:c>
      <x:c r="AD109" s="28" t="str"/>
      <x:c r="AE109" s="28" t="n">
        <x:v>46238.87231481481</x:v>
      </x:c>
    </x:row>
    <x:row r="110" ht="60" customHeight="1">
      <x:c r="A110" s="28" t="str">
        <x:v>ANC-JAM-027-01</x:v>
      </x:c>
      <x:c r="B110" s="28" t="str">
        <x:v>JAM-027</x:v>
      </x:c>
      <x:c r="C110" s="28" t="str">
        <x:v>DOC-JAM-WC-2026</x:v>
      </x:c>
      <x:c r="D110" s="28" t="str">
        <x:v>Primary Evidence</x:v>
      </x:c>
      <x:c r="E110" s="28" t="str">
        <x:v>Text Span</x:v>
      </x:c>
      <x:c r="F110" s="28" t="str"/>
      <x:c r="G110" s="28" t="str">
        <x:v>PDF p. 10, Section 4</x:v>
      </x:c>
      <x:c r="H110" s="28" t="n">
        <x:v>10</x:v>
      </x:c>
      <x:c r="I110" s="28" t="n">
        <x:v>10</x:v>
      </x:c>
      <x:c r="J110" s="28" t="n">
        <x:v>10</x:v>
      </x:c>
      <x:c r="K110" s="28" t="str">
        <x:v>10</x:v>
      </x:c>
      <x:c r="L110" s="28" t="str">
        <x:v>Implementation monitoring</x:v>
      </x:c>
      <x:c r="M110" s="28" t="str">
        <x:v>It is planned to enhance data integration among key Ministries, Department and Agencies such as MWECC, MSETT, MoFP, NWC, RWSL, WRA, NEPA.</x:v>
      </x:c>
      <x:c r="N110" s="28" t="str">
        <x:v>it is plann to enhance data integration among key ministry department and agency such as mwecc msett mofp nwc rwsl wra nepa</x:v>
      </x:c>
      <x:c r="O110" s="28" t="str">
        <x:v>effebdbd8071870ecfaf0d18fad7730af20bdf6796da641896d5045c6d8eb788</x:v>
      </x:c>
      <x:c r="P110" s="28" t="str"/>
      <x:c r="Q110" s="28" t="str"/>
      <x:c r="R110" s="28" t="str">
        <x:v>[[0,92],[93,137]]</x:v>
      </x:c>
      <x:c r="S110" s="28" t="str">
        <x:v>Fuzzy token-window match</x:v>
      </x:c>
      <x:c r="T110" s="28" t="str">
        <x:v>Original Compact Text</x:v>
      </x:c>
      <x:c r="U110" s="28" t="str">
        <x:v>Enhance inter-agency data integration</x:v>
      </x:c>
      <x:c r="V110" s="28" t="n">
        <x:v>0.806445</x:v>
      </x:c>
      <x:c r="W110" s="28" t="n">
        <x:v>0.820312</x:v>
      </x:c>
      <x:c r="X110" s="28" t="n">
        <x:v>1</x:v>
      </x:c>
      <x:c r="Y110" s="28" t="n">
        <x:v>0.695364</x:v>
      </x:c>
      <x:c r="Z110" s="28" t="n">
        <x:v>0.761905</x:v>
      </x:c>
      <x:c r="AA110" s="28" t="str">
        <x:v>High</x:v>
      </x:c>
      <x:c r="AB110" s="28" t="str">
        <x:v>Pass</x:v>
      </x:c>
      <x:c r="AC110" s="28" t="str">
        <x:v>Pending human review</x:v>
      </x:c>
      <x:c r="AD110" s="28" t="str"/>
      <x:c r="AE110" s="28" t="n">
        <x:v>46238.87231481481</x:v>
      </x:c>
    </x:row>
    <x:row r="111" ht="60" customHeight="1">
      <x:c r="A111" s="28" t="str">
        <x:v>ANC-JAM-028-01</x:v>
      </x:c>
      <x:c r="B111" s="28" t="str">
        <x:v>JAM-028</x:v>
      </x:c>
      <x:c r="C111" s="28" t="str">
        <x:v>DOC-JAM-WC-2026</x:v>
      </x:c>
      <x:c r="D111" s="28" t="str">
        <x:v>Primary Evidence</x:v>
      </x:c>
      <x:c r="E111" s="28" t="str">
        <x:v>Text Span</x:v>
      </x:c>
      <x:c r="F111" s="28" t="str"/>
      <x:c r="G111" s="28" t="str">
        <x:v>PDF p. 10, Section 5</x:v>
      </x:c>
      <x:c r="H111" s="28" t="n">
        <x:v>10</x:v>
      </x:c>
      <x:c r="I111" s="28" t="n">
        <x:v>10</x:v>
      </x:c>
      <x:c r="J111" s="28" t="n">
        <x:v>10</x:v>
      </x:c>
      <x:c r="K111" s="28" t="str">
        <x:v>10</x:v>
      </x:c>
      <x:c r="L111" s="28" t="str">
        <x:v>Government commitment</x:v>
      </x:c>
      <x:c r="M111" s="28" t="str">
        <x:v>We will foster an environment of stakeholder participation, ensuring that women, youth, and vulnerable groups have a voice in water management.</x:v>
      </x:c>
      <x:c r="N111" s="28" t="str">
        <x:v>we will foster an environment of stakeholder participation ensur that women youth and vulnerable group have a voice in water management</x:v>
      </x:c>
      <x:c r="O111" s="28" t="str">
        <x:v>907a1bb9ea874cac464769bb00d5a19e06690be6ed91334c9bd9e6088b7700a5</x:v>
      </x:c>
      <x:c r="P111" s="28" t="str"/>
      <x:c r="Q111" s="28" t="str"/>
      <x:c r="R111" s="28" t="str">
        <x:v>[[350,430],[431,493]]</x:v>
      </x:c>
      <x:c r="S111" s="28" t="str">
        <x:v>Fuzzy token-window match</x:v>
      </x:c>
      <x:c r="T111" s="28" t="str">
        <x:v>Original Compact Text</x:v>
      </x:c>
      <x:c r="U111" s="28" t="str">
        <x:v>Women, youth and vulnerable voices</x:v>
      </x:c>
      <x:c r="V111" s="28" t="n">
        <x:v>0.950882</x:v>
      </x:c>
      <x:c r="W111" s="28" t="n">
        <x:v>0.948646</x:v>
      </x:c>
      <x:c r="X111" s="28" t="n">
        <x:v>0.902309</x:v>
      </x:c>
      <x:c r="Y111" s="28" t="n">
        <x:v>1</x:v>
      </x:c>
      <x:c r="Z111" s="28" t="n">
        <x:v>0.831169</x:v>
      </x:c>
      <x:c r="AA111" s="28" t="str">
        <x:v>High</x:v>
      </x:c>
      <x:c r="AB111" s="28" t="str">
        <x:v>Pass</x:v>
      </x:c>
      <x:c r="AC111" s="28" t="str">
        <x:v>Pending human review</x:v>
      </x:c>
      <x:c r="AD111" s="28" t="str"/>
      <x:c r="AE111" s="28" t="n">
        <x:v>46238.87231481481</x:v>
      </x:c>
    </x:row>
    <x:row r="112" ht="60" customHeight="1">
      <x:c r="A112" s="28" t="str">
        <x:v>ANC-JAM-029-01</x:v>
      </x:c>
      <x:c r="B112" s="28" t="str">
        <x:v>JAM-029</x:v>
      </x:c>
      <x:c r="C112" s="28" t="str">
        <x:v>DOC-JAM-WC-2026</x:v>
      </x:c>
      <x:c r="D112" s="28" t="str">
        <x:v>Exclusion Evidence</x:v>
      </x:c>
      <x:c r="E112" s="28" t="str">
        <x:v>Text Span</x:v>
      </x:c>
      <x:c r="F112" s="28" t="str"/>
      <x:c r="G112" s="28" t="str">
        <x:v>PDF p. 2, overall target</x:v>
      </x:c>
      <x:c r="H112" s="28" t="n">
        <x:v>2</x:v>
      </x:c>
      <x:c r="I112" s="28" t="n">
        <x:v>2</x:v>
      </x:c>
      <x:c r="J112" s="28" t="n">
        <x:v>2</x:v>
      </x:c>
      <x:c r="K112" s="28" t="str">
        <x:v>2</x:v>
      </x:c>
      <x:c r="L112" s="28" t="str">
        <x:v>Reform aspiration</x:v>
      </x:c>
      <x:c r="M112" s="28" t="str">
        <x:v>1 Overall Target Statement As stated in the 2019 Water Policy, GOJ aims to achieve universal access to safe, reliable, and affordable potable water and adequate sanitation by 2030.</x:v>
      </x:c>
      <x:c r="N112" s="28" t="str">
        <x:v>1 overall target statement as stat in the 2019 water policy goj aims to achieve universal access to safe reliable and affordable potable water and adequate sanitation by 2030</x:v>
      </x:c>
      <x:c r="O112" s="28" t="str">
        <x:v>7ea9e02bfbd6d1d3c5b0c4651abcd7165af670ed62787be659077048b25d52bf</x:v>
      </x:c>
      <x:c r="P112" s="28" t="str"/>
      <x:c r="Q112" s="28" t="str"/>
      <x:c r="R112" s="28" t="str">
        <x:v>[[1225,1226],[1227,1251],[1252,1347],[1348,1405]]</x:v>
      </x:c>
      <x:c r="S112" s="28" t="str">
        <x:v>Fuzzy token-window match</x:v>
      </x:c>
      <x:c r="T112" s="28" t="str">
        <x:v>Original Compact Text</x:v>
      </x:c>
      <x:c r="U112" s="28" t="str">
        <x:v>Universal safe and affordable water</x:v>
      </x:c>
      <x:c r="V112" s="28" t="n">
        <x:v>0.903637</x:v>
      </x:c>
      <x:c r="W112" s="28" t="n">
        <x:v>0.887064</x:v>
      </x:c>
      <x:c r="X112" s="28" t="n">
        <x:v>0.797048</x:v>
      </x:c>
      <x:c r="Y112" s="28" t="n">
        <x:v>1</x:v>
      </x:c>
      <x:c r="Z112" s="28" t="n">
        <x:v>0.698795</x:v>
      </x:c>
      <x:c r="AA112" s="28" t="str">
        <x:v>High</x:v>
      </x:c>
      <x:c r="AB112" s="28" t="str">
        <x:v>Pass</x:v>
      </x:c>
      <x:c r="AC112" s="28" t="str">
        <x:v>Pending human review</x:v>
      </x:c>
      <x:c r="AD112" s="28" t="str"/>
      <x:c r="AE112" s="28" t="n">
        <x:v>46238.87231481481</x:v>
      </x:c>
    </x:row>
    <x:row r="113" ht="60" customHeight="1">
      <x:c r="A113" s="28" t="str">
        <x:v>ANC-JAM-030-01</x:v>
      </x:c>
      <x:c r="B113" s="28" t="str">
        <x:v>JAM-030</x:v>
      </x:c>
      <x:c r="C113" s="28" t="str">
        <x:v>DOC-JAM-WC-2026</x:v>
      </x:c>
      <x:c r="D113" s="28" t="str">
        <x:v>Exclusion Evidence</x:v>
      </x:c>
      <x:c r="E113" s="28" t="str">
        <x:v>Table Cell/Row</x:v>
      </x:c>
      <x:c r="F113" s="28" t="str"/>
      <x:c r="G113" s="28" t="str">
        <x:v>PDF p. 5, Section 2.3</x:v>
      </x:c>
      <x:c r="H113" s="28" t="n">
        <x:v>5</x:v>
      </x:c>
      <x:c r="I113" s="28" t="n">
        <x:v>5</x:v>
      </x:c>
      <x:c r="J113" s="28" t="n">
        <x:v>5</x:v>
      </x:c>
      <x:c r="K113" s="28" t="str">
        <x:v>5</x:v>
      </x:c>
      <x:c r="L113" s="28" t="str">
        <x:v>Target table/narrative</x:v>
      </x:c>
      <x:c r="M113" s="28" t="str">
        <x:v>(a) Reducing NWC’s non-revenue water (NRW) levels from its current 75% of water production to at most 65% by 2030, through proactive and sustained NRW activities. By 2040, the target is to reduce NRW to at most 30% throughout NWC’s operations. This</x:v>
      </x:c>
      <x:c r="N113" s="28" t="str">
        <x:v>a reduc nwcs nonrevenue water nrw level from its current 75 of water production to at most 65 by 2030 through proactive and sustain nrw activity by 2040 the target is to reduce nrw to at most 30 throughout nwcs operation this</x:v>
      </x:c>
      <x:c r="O113" s="28" t="str">
        <x:v>03468372c6209dbb0e9e4ebdde57dc6f38140b26b20728c4952b6161b496cf7f</x:v>
      </x:c>
      <x:c r="P113" s="28" t="str"/>
      <x:c r="Q113" s="28" t="str"/>
      <x:c r="R113" s="28" t="str">
        <x:v>[[125,204],[205,290],[291,373]]</x:v>
      </x:c>
      <x:c r="S113" s="28" t="str">
        <x:v>Exact spatial line-cluster phrase</x:v>
      </x:c>
      <x:c r="T113" s="28" t="str">
        <x:v>Verified PDF locator hint</x:v>
      </x:c>
      <x:c r="U113" s="28" t="str">
        <x:v>Reducing NWC’s non-revenue water (NRW) levels from its current 75% of water production to at most 65% by 2030, through proactive and sustained NRW activities. By 2040, the target is to reduce NRW to at most 30% throughout NWC’s operations.</x:v>
      </x:c>
      <x:c r="V113" s="28" t="n">
        <x:v>0.999</x:v>
      </x:c>
      <x:c r="W113" s="28" t="n">
        <x:v>1</x:v>
      </x:c>
      <x:c r="X113" s="28" t="n">
        <x:v>1</x:v>
      </x:c>
      <x:c r="Y113" s="28" t="n">
        <x:v>1</x:v>
      </x:c>
      <x:c r="Z113" s="28" t="n">
        <x:v>0.984199</x:v>
      </x:c>
      <x:c r="AA113" s="28" t="str">
        <x:v>High</x:v>
      </x:c>
      <x:c r="AB113" s="28" t="str">
        <x:v>Pass</x:v>
      </x:c>
      <x:c r="AC113" s="28" t="str">
        <x:v>Pending human review</x:v>
      </x:c>
      <x:c r="AD113" s="28" t="str"/>
      <x:c r="AE113" s="28" t="n">
        <x:v>46238.87231481481</x:v>
      </x:c>
    </x:row>
    <x:row r="114" ht="60" customHeight="1">
      <x:c r="A114" s="28" t="str">
        <x:v>ANC-JAM-031-01</x:v>
      </x:c>
      <x:c r="B114" s="28" t="str">
        <x:v>JAM-031</x:v>
      </x:c>
      <x:c r="C114" s="28" t="str">
        <x:v>DOC-JAM-WC-2026</x:v>
      </x:c>
      <x:c r="D114" s="28" t="str">
        <x:v>Exclusion Evidence</x:v>
      </x:c>
      <x:c r="E114" s="28" t="str">
        <x:v>Table Cell/Row</x:v>
      </x:c>
      <x:c r="F114" s="28" t="str"/>
      <x:c r="G114" s="28" t="str">
        <x:v>PDF p. 5, Section 2.3</x:v>
      </x:c>
      <x:c r="H114" s="28" t="n">
        <x:v>5</x:v>
      </x:c>
      <x:c r="I114" s="28" t="n">
        <x:v>5</x:v>
      </x:c>
      <x:c r="J114" s="28" t="n">
        <x:v>5</x:v>
      </x:c>
      <x:c r="K114" s="28" t="str">
        <x:v>5</x:v>
      </x:c>
      <x:c r="L114" s="28" t="str">
        <x:v>Target table/narrative</x:v>
      </x:c>
      <x:c r="M114" s="28" t="str">
        <x:v>(b) Improving energy efficiency and installing renewable energy systems, to contribute to the alignment of the water sector with the targets agreed for Nationally Appropriate Mitigation Actions for this sector (Water Sector NAMAs), which are the following:</x:v>
      </x:c>
      <x:c r="N114" s="28" t="str">
        <x:v>b improv energy efficiency and install renewable energy system to contribute to the alignment of the water sector with the target agre for nationally appropriate mitigation action for this sector water sector nama which are the follow</x:v>
      </x:c>
      <x:c r="O114" s="28" t="str">
        <x:v>fdaa3c7a01cd82816e5b53b5a2b1b1a850f04dcd38eccca2e2f8ce2552b5ac23</x:v>
      </x:c>
      <x:c r="P114" s="28" t="str"/>
      <x:c r="Q114" s="28" t="str"/>
      <x:c r="R114" s="28" t="str">
        <x:v>[[529,622],[623,703],[704,785]]</x:v>
      </x:c>
      <x:c r="S114" s="28" t="str">
        <x:v>Exact spatial line-cluster phrase</x:v>
      </x:c>
      <x:c r="T114" s="28" t="str">
        <x:v>Verified PDF locator hint</x:v>
      </x:c>
      <x:c r="U114" s="28" t="str">
        <x:v>Improving energy efficiency and installing renewable energy systems, to contribute to the alignment of the water sector with the targets agreed for Nationally Appropriate Mitigation Actions for this sector (Water Sector NAMAs), which are the following:</x:v>
      </x:c>
      <x:c r="V114" s="28" t="n">
        <x:v>0.999</x:v>
      </x:c>
      <x:c r="W114" s="28" t="n">
        <x:v>1</x:v>
      </x:c>
      <x:c r="X114" s="28" t="n">
        <x:v>1</x:v>
      </x:c>
      <x:c r="Y114" s="28" t="n">
        <x:v>1</x:v>
      </x:c>
      <x:c r="Z114" s="28" t="n">
        <x:v>0.995708</x:v>
      </x:c>
      <x:c r="AA114" s="28" t="str">
        <x:v>High</x:v>
      </x:c>
      <x:c r="AB114" s="28" t="str">
        <x:v>Pass</x:v>
      </x:c>
      <x:c r="AC114" s="28" t="str">
        <x:v>Pending human review</x:v>
      </x:c>
      <x:c r="AD114" s="28" t="str"/>
      <x:c r="AE114" s="28" t="n">
        <x:v>46238.87231481481</x:v>
      </x:c>
    </x:row>
    <x:row r="115" ht="60" customHeight="1">
      <x:c r="A115" s="28" t="str">
        <x:v>ANC-JAM-032-01</x:v>
      </x:c>
      <x:c r="B115" s="28" t="str">
        <x:v>JAM-032</x:v>
      </x:c>
      <x:c r="C115" s="28" t="str">
        <x:v>DOC-JAM-WC-2026</x:v>
      </x:c>
      <x:c r="D115" s="28" t="str">
        <x:v>Exclusion Evidence</x:v>
      </x:c>
      <x:c r="E115" s="28" t="str">
        <x:v>Table Cell/Row</x:v>
      </x:c>
      <x:c r="F115" s="28" t="str"/>
      <x:c r="G115" s="28" t="str">
        <x:v>PDF p. 5, Section 2.3</x:v>
      </x:c>
      <x:c r="H115" s="28" t="n">
        <x:v>5</x:v>
      </x:c>
      <x:c r="I115" s="28" t="n">
        <x:v>5</x:v>
      </x:c>
      <x:c r="J115" s="28" t="n">
        <x:v>5</x:v>
      </x:c>
      <x:c r="K115" s="28" t="str">
        <x:v>5</x:v>
      </x:c>
      <x:c r="L115" s="28" t="str">
        <x:v>Target table/narrative</x:v>
      </x:c>
      <x:c r="M115" s="28" t="str">
        <x:v>(c) Expanding sewerage coverage to increase persons connected to the sewer connection</x:v>
      </x:c>
      <x:c r="N115" s="28" t="str">
        <x:v>c expand sewerage coverage to increase person connect to the sewer connection</x:v>
      </x:c>
      <x:c r="O115" s="28" t="str">
        <x:v>a689141049ab6530b7a4a547b9a8c29de49b8de6c02168938f3c39b547427ed0</x:v>
      </x:c>
      <x:c r="P115" s="28" t="n">
        <x:v>1024</x:v>
      </x:c>
      <x:c r="Q115" s="28" t="n">
        <x:v>1109</x:v>
      </x:c>
      <x:c r="R115" s="28" t="str">
        <x:v>[[1024,1109]]</x:v>
      </x:c>
      <x:c r="S115" s="28" t="str">
        <x:v>Exact spatial line-cluster phrase</x:v>
      </x:c>
      <x:c r="T115" s="28" t="str">
        <x:v>Original Compact Text</x:v>
      </x:c>
      <x:c r="U115" s="28" t="str">
        <x:v>Expand sewerage coverage</x:v>
      </x:c>
      <x:c r="V115" s="28" t="n">
        <x:v>0.999</x:v>
      </x:c>
      <x:c r="W115" s="28" t="n">
        <x:v>0.753363</x:v>
      </x:c>
      <x:c r="X115" s="28" t="n">
        <x:v>0.604317</x:v>
      </x:c>
      <x:c r="Y115" s="28" t="n">
        <x:v>1</x:v>
      </x:c>
      <x:c r="Z115" s="28" t="n">
        <x:v>0.475248</x:v>
      </x:c>
      <x:c r="AA115" s="28" t="str">
        <x:v>High</x:v>
      </x:c>
      <x:c r="AB115" s="28" t="str">
        <x:v>Pass</x:v>
      </x:c>
      <x:c r="AC115" s="28" t="str">
        <x:v>Pending human review</x:v>
      </x:c>
      <x:c r="AD115" s="28" t="str"/>
      <x:c r="AE115" s="28" t="n">
        <x:v>46238.87231481481</x:v>
      </x:c>
    </x:row>
    <x:row r="116" ht="60" customHeight="1">
      <x:c r="A116" s="28" t="str">
        <x:v>ANC-JAM-033-01</x:v>
      </x:c>
      <x:c r="B116" s="28" t="str">
        <x:v>JAM-033</x:v>
      </x:c>
      <x:c r="C116" s="28" t="str">
        <x:v>DOC-JAM-WC-2026</x:v>
      </x:c>
      <x:c r="D116" s="28" t="str">
        <x:v>Exclusion Evidence</x:v>
      </x:c>
      <x:c r="E116" s="28" t="str">
        <x:v>Text Span</x:v>
      </x:c>
      <x:c r="F116" s="28" t="str"/>
      <x:c r="G116" s="28" t="str">
        <x:v>PDF pp. 5–6, Section 2.4</x:v>
      </x:c>
      <x:c r="H116" s="28" t="n">
        <x:v>5</x:v>
      </x:c>
      <x:c r="I116" s="28" t="n">
        <x:v>6</x:v>
      </x:c>
      <x:c r="J116" s="28" t="n">
        <x:v>5</x:v>
      </x:c>
      <x:c r="K116" s="28" t="str">
        <x:v>5</x:v>
      </x:c>
      <x:c r="L116" s="28" t="str">
        <x:v>Target narrative</x:v>
      </x:c>
      <x:c r="M116" s="28" t="str">
        <x:v>About 205,000 hectares of land have been identified as suitable for irrigation. (b) Efficiency and Technology Targets GOJ is committed to transition from traditional surface furrow irrigation (which i) currently accounts for 75-80% of systems) to more efficient sprinkler and drip irrigation.</x:v>
      </x:c>
      <x:c r="N116" s="28" t="str">
        <x:v>about 205 000 hectare of land have been identifi as suitable for irrigation b efficiency and technology target goj is committ to transition from traditional surface furrow irrigation which i currently account for 7580 of system to more efficient sprinkler and drip irrigation</x:v>
      </x:c>
      <x:c r="O116" s="28" t="str">
        <x:v>cb58fade1b5e6a0f859c52913d645d85444f7c2f6ce2ec115642a0ede7f7246b</x:v>
      </x:c>
      <x:c r="P116" s="28" t="str"/>
      <x:c r="Q116" s="28" t="str"/>
      <x:c r="R116" s="28" t="str">
        <x:v>[[1979,2033],[2034,2058],[2059,2096],[2100,2180],[2097,2099],[2181,2259],[2260,2271]]</x:v>
      </x:c>
      <x:c r="S116" s="28" t="str">
        <x:v>Fuzzy token-window match</x:v>
      </x:c>
      <x:c r="T116" s="28" t="str">
        <x:v>Original Compact Text</x:v>
      </x:c>
      <x:c r="U116" s="28" t="str">
        <x:v>Efficient irrigation technologies</x:v>
      </x:c>
      <x:c r="V116" s="28" t="n">
        <x:v>0.715963</x:v>
      </x:c>
      <x:c r="W116" s="28" t="n">
        <x:v>0.761905</x:v>
      </x:c>
      <x:c r="X116" s="28" t="n">
        <x:v>0.862155</x:v>
      </x:c>
      <x:c r="Y116" s="28" t="n">
        <x:v>0.68254</x:v>
      </x:c>
      <x:c r="Z116" s="28" t="n">
        <x:v>0.608696</x:v>
      </x:c>
      <x:c r="AA116" s="28" t="str">
        <x:v>Medium</x:v>
      </x:c>
      <x:c r="AB116" s="28" t="str">
        <x:v>Pass</x:v>
      </x:c>
      <x:c r="AC116" s="28" t="str">
        <x:v>Pending human review</x:v>
      </x:c>
      <x:c r="AD116" s="28" t="str"/>
      <x:c r="AE116" s="28" t="n">
        <x:v>46238.87231481481</x:v>
      </x:c>
    </x:row>
    <x:row r="117" ht="60" customHeight="1">
      <x:c r="A117" s="28" t="str">
        <x:v>ANC-JAM-034-01</x:v>
      </x:c>
      <x:c r="B117" s="28" t="str">
        <x:v>JAM-034</x:v>
      </x:c>
      <x:c r="C117" s="28" t="str">
        <x:v>DOC-JAM-WC-2026</x:v>
      </x:c>
      <x:c r="D117" s="28" t="str">
        <x:v>Exclusion Evidence</x:v>
      </x:c>
      <x:c r="E117" s="28" t="str">
        <x:v>Text Span</x:v>
      </x:c>
      <x:c r="F117" s="28" t="str"/>
      <x:c r="G117" s="28" t="str">
        <x:v>PDF p. 6, Section 2.4</x:v>
      </x:c>
      <x:c r="H117" s="28" t="n">
        <x:v>6</x:v>
      </x:c>
      <x:c r="I117" s="28" t="n">
        <x:v>6</x:v>
      </x:c>
      <x:c r="J117" s="28" t="n">
        <x:v>6</x:v>
      </x:c>
      <x:c r="K117" s="28" t="str">
        <x:v>6</x:v>
      </x:c>
      <x:c r="L117" s="28" t="str">
        <x:v>Target narrative</x:v>
      </x:c>
      <x:c r="M117" s="28" t="str">
        <x:v>(c) Resource Augmentation and Sustainability It is planned to further explore the reuse of treated wastewater effluent for i) irrigation, particularly from facilities like the Soapberry Treatment Plant, which could serve as a source for the Lower Rio Cobre region.</x:v>
      </x:c>
      <x:c r="N117" s="28" t="str">
        <x:v>c resource augmentation and sustainability it is plann to further explore the reuse of treat wastewater effluent for i irrigation particularly from facility like the soapberry treatment plant which could serve as a source for the lower rio cobre region</x:v>
      </x:c>
      <x:c r="O117" s="28" t="str">
        <x:v>a2c107897f5a485b158ccd2226ae3dd0e0a9d2347a04928f4711d808b42e1e0d</x:v>
      </x:c>
      <x:c r="P117" s="28" t="str"/>
      <x:c r="Q117" s="28" t="str"/>
      <x:c r="R117" s="28" t="str">
        <x:v>[[0,44],[48,125],[45,47],[126,208],[209,264]]</x:v>
      </x:c>
      <x:c r="S117" s="28" t="str">
        <x:v>Fuzzy token-window match</x:v>
      </x:c>
      <x:c r="T117" s="28" t="str">
        <x:v>Original Compact Text</x:v>
      </x:c>
      <x:c r="U117" s="28" t="str">
        <x:v>Wastewater reuse and aquifer recharge</x:v>
      </x:c>
      <x:c r="V117" s="28" t="n">
        <x:v>0.589179</x:v>
      </x:c>
      <x:c r="W117" s="28" t="n">
        <x:v>0.62624</x:v>
      </x:c>
      <x:c r="X117" s="28" t="n">
        <x:v>0.837758</x:v>
      </x:c>
      <x:c r="Y117" s="28" t="n">
        <x:v>0.5</x:v>
      </x:c>
      <x:c r="Z117" s="28" t="n">
        <x:v>0.30303</x:v>
      </x:c>
      <x:c r="AA117" s="28" t="str">
        <x:v>Medium</x:v>
      </x:c>
      <x:c r="AB117" s="28" t="str">
        <x:v>Pass</x:v>
      </x:c>
      <x:c r="AC117" s="28" t="str">
        <x:v>Pending human review</x:v>
      </x:c>
      <x:c r="AD117" s="28" t="str"/>
      <x:c r="AE117" s="28" t="n">
        <x:v>46238.87231481481</x:v>
      </x:c>
    </x:row>
    <x:row r="118" ht="60" customHeight="1">
      <x:c r="A118" s="28" t="str">
        <x:v>ANC-JAM-035-01</x:v>
      </x:c>
      <x:c r="B118" s="28" t="str">
        <x:v>JAM-035</x:v>
      </x:c>
      <x:c r="C118" s="28" t="str">
        <x:v>DOC-JAM-WC-2026</x:v>
      </x:c>
      <x:c r="D118" s="28" t="str">
        <x:v>Primary Evidence</x:v>
      </x:c>
      <x:c r="E118" s="28" t="str">
        <x:v>Text Span</x:v>
      </x:c>
      <x:c r="F118" s="28" t="str"/>
      <x:c r="G118" s="28" t="str">
        <x:v>PDF p. 7, Section 3.1</x:v>
      </x:c>
      <x:c r="H118" s="28" t="n">
        <x:v>7</x:v>
      </x:c>
      <x:c r="I118" s="28" t="n">
        <x:v>7</x:v>
      </x:c>
      <x:c r="J118" s="28" t="n">
        <x:v>7</x:v>
      </x:c>
      <x:c r="K118" s="28" t="str">
        <x:v>7</x:v>
      </x:c>
      <x:c r="L118" s="28" t="str">
        <x:v>Infrastructure roadmap</x:v>
      </x:c>
      <x:c r="M118" s="28" t="str">
        <x:v>(e) Rural Water Master Plan: Developing technical solutions to provide water supply to</x:v>
      </x:c>
      <x:c r="N118" s="28" t="str">
        <x:v>e rural water master plan develop technical solution to provide water supply to</x:v>
      </x:c>
      <x:c r="O118" s="28" t="str">
        <x:v>503140ab5787f1c20379a57be2e95abb10c8f5ec0990bfc380d867ece1a34243</x:v>
      </x:c>
      <x:c r="P118" s="28" t="n">
        <x:v>0</x:v>
      </x:c>
      <x:c r="Q118" s="28" t="n">
        <x:v>86</x:v>
      </x:c>
      <x:c r="R118" s="28" t="str">
        <x:v>[[0,86]]</x:v>
      </x:c>
      <x:c r="S118" s="28" t="str">
        <x:v>Exact spatial line-cluster phrase</x:v>
      </x:c>
      <x:c r="T118" s="28" t="str">
        <x:v>Original Compact Text</x:v>
      </x:c>
      <x:c r="U118" s="28" t="str">
        <x:v>Rural Water Master Plan</x:v>
      </x:c>
      <x:c r="V118" s="28" t="n">
        <x:v>0.999</x:v>
      </x:c>
      <x:c r="W118" s="28" t="n">
        <x:v>0.753363</x:v>
      </x:c>
      <x:c r="X118" s="28" t="n">
        <x:v>0.604317</x:v>
      </x:c>
      <x:c r="Y118" s="28" t="n">
        <x:v>1</x:v>
      </x:c>
      <x:c r="Z118" s="28" t="n">
        <x:v>0.45098</x:v>
      </x:c>
      <x:c r="AA118" s="28" t="str">
        <x:v>High</x:v>
      </x:c>
      <x:c r="AB118" s="28" t="str">
        <x:v>Pass</x:v>
      </x:c>
      <x:c r="AC118" s="28" t="str">
        <x:v>Pending human review</x:v>
      </x:c>
      <x:c r="AD118" s="28" t="str"/>
      <x:c r="AE118" s="28" t="n">
        <x:v>46238.87231481481</x:v>
      </x:c>
    </x:row>
    <x:row r="119" ht="60" customHeight="1">
      <x:c r="A119" s="28" t="str">
        <x:v>ANC-JAM-036-01</x:v>
      </x:c>
      <x:c r="B119" s="28" t="str">
        <x:v>JAM-036</x:v>
      </x:c>
      <x:c r="C119" s="28" t="str">
        <x:v>DOC-JAM-WC-2026</x:v>
      </x:c>
      <x:c r="D119" s="28" t="str">
        <x:v>Exclusion Evidence</x:v>
      </x:c>
      <x:c r="E119" s="28" t="str">
        <x:v>Text Span</x:v>
      </x:c>
      <x:c r="F119" s="28" t="str"/>
      <x:c r="G119" s="28" t="str">
        <x:v>PDF pp. 6–7, Section 3.1</x:v>
      </x:c>
      <x:c r="H119" s="28" t="n">
        <x:v>6</x:v>
      </x:c>
      <x:c r="I119" s="28" t="n">
        <x:v>7</x:v>
      </x:c>
      <x:c r="J119" s="28" t="n">
        <x:v>6</x:v>
      </x:c>
      <x:c r="K119" s="28" t="str">
        <x:v>6</x:v>
      </x:c>
      <x:c r="L119" s="28" t="str">
        <x:v>Infrastructure roadmap</x:v>
      </x:c>
      <x:c r="M119" s="28" t="str">
        <x:v>3.1 National Objectives for Infrastructure Development The Government will prioritize investments in:</x:v>
      </x:c>
      <x:c r="N119" s="28" t="str">
        <x:v>3 1 national objective for infrastructure development the government will prioritize investment in</x:v>
      </x:c>
      <x:c r="O119" s="28" t="str">
        <x:v>a25fec0dd990b19dcc05e956ce5fcdb565618cc51e7b990b441f819644fad23c</x:v>
      </x:c>
      <x:c r="P119" s="28" t="str"/>
      <x:c r="Q119" s="28" t="str"/>
      <x:c r="R119" s="28" t="str">
        <x:v>[[1136,1190],[1191,1237]]</x:v>
      </x:c>
      <x:c r="S119" s="28" t="str">
        <x:v>Fuzzy spatial line-cluster match</x:v>
      </x:c>
      <x:c r="T119" s="28" t="str">
        <x:v>Tier 2 Label</x:v>
      </x:c>
      <x:c r="U119" s="28" t="str">
        <x:v>Infrastructure investment</x:v>
      </x:c>
      <x:c r="V119" s="28" t="n">
        <x:v>0.575975</x:v>
      </x:c>
      <x:c r="W119" s="28" t="n">
        <x:v>0.780876</x:v>
      </x:c>
      <x:c r="X119" s="28" t="n">
        <x:v>0.640523</x:v>
      </x:c>
      <x:c r="Y119" s="28" t="n">
        <x:v>1</x:v>
      </x:c>
      <x:c r="Z119" s="28" t="n">
        <x:v>0.409836</x:v>
      </x:c>
      <x:c r="AA119" s="28" t="str">
        <x:v>Low</x:v>
      </x:c>
      <x:c r="AB119" s="28" t="str">
        <x:v>Needs targeted review</x:v>
      </x:c>
      <x:c r="AC119" s="28" t="str">
        <x:v>Pending human review</x:v>
      </x:c>
      <x:c r="AD119" s="28" t="str"/>
      <x:c r="AE119" s="28" t="n">
        <x:v>46238.87231481481</x:v>
      </x:c>
    </x:row>
    <x:row r="120" ht="60" customHeight="1">
      <x:c r="A120" s="28" t="str">
        <x:v>ANC-JAM-037-01</x:v>
      </x:c>
      <x:c r="B120" s="28" t="str">
        <x:v>JAM-037</x:v>
      </x:c>
      <x:c r="C120" s="28" t="str">
        <x:v>DOC-JAM-WC-2026</x:v>
      </x:c>
      <x:c r="D120" s="28" t="str">
        <x:v>Exclusion Evidence</x:v>
      </x:c>
      <x:c r="E120" s="28" t="str">
        <x:v>Text Span</x:v>
      </x:c>
      <x:c r="F120" s="28" t="str"/>
      <x:c r="G120" s="28" t="str">
        <x:v>PDF pp. 7–8, Section 3.3</x:v>
      </x:c>
      <x:c r="H120" s="28" t="n">
        <x:v>7</x:v>
      </x:c>
      <x:c r="I120" s="28" t="n">
        <x:v>8</x:v>
      </x:c>
      <x:c r="J120" s="28" t="n">
        <x:v>7</x:v>
      </x:c>
      <x:c r="K120" s="28" t="str">
        <x:v>7</x:v>
      </x:c>
      <x:c r="L120" s="28" t="str">
        <x:v>Investment section</x:v>
      </x:c>
      <x:c r="M120" s="28" t="str">
        <x:v>3.3 National Investment Needs To achieve these targets, Jamaica requires a mobilization of significant capital.</x:v>
      </x:c>
      <x:c r="N120" s="28" t="str">
        <x:v>3 3 national investment need to achieve these target jamaica require a mobilization of significant capital</x:v>
      </x:c>
      <x:c r="O120" s="28" t="str">
        <x:v>8794401484fbfd26dd9ff6697c870e1890820a3fc85071658287be86b3e5274c</x:v>
      </x:c>
      <x:c r="P120" s="28" t="str"/>
      <x:c r="Q120" s="28" t="str"/>
      <x:c r="R120" s="28" t="str">
        <x:v>[[2031,2060],[2061,2142]]</x:v>
      </x:c>
      <x:c r="S120" s="28" t="str">
        <x:v>Fuzzy token-window match</x:v>
      </x:c>
      <x:c r="T120" s="28" t="str">
        <x:v>Original Compact Text</x:v>
      </x:c>
      <x:c r="U120" s="28" t="str">
        <x:v>US$5 billion investment need</x:v>
      </x:c>
      <x:c r="V120" s="28" t="n">
        <x:v>0.686971</x:v>
      </x:c>
      <x:c r="W120" s="28" t="n">
        <x:v>0.697436</x:v>
      </x:c>
      <x:c r="X120" s="28" t="n">
        <x:v>1</x:v>
      </x:c>
      <x:c r="Y120" s="28" t="n">
        <x:v>0.535433</x:v>
      </x:c>
      <x:c r="Z120" s="28" t="n">
        <x:v>0.690909</x:v>
      </x:c>
      <x:c r="AA120" s="28" t="str">
        <x:v>Medium</x:v>
      </x:c>
      <x:c r="AB120" s="28" t="str">
        <x:v>Pass</x:v>
      </x:c>
      <x:c r="AC120" s="28" t="str">
        <x:v>Pending human review</x:v>
      </x:c>
      <x:c r="AD120" s="28" t="str"/>
      <x:c r="AE120" s="28" t="n">
        <x:v>46238.87231481481</x:v>
      </x:c>
    </x:row>
    <x:row r="121" ht="60" customHeight="1">
      <x:c r="A121" s="28" t="str">
        <x:v>ANC-JAM-038-01</x:v>
      </x:c>
      <x:c r="B121" s="28" t="str">
        <x:v>JAM-038</x:v>
      </x:c>
      <x:c r="C121" s="28" t="str">
        <x:v>DOC-JAM-WC-2026</x:v>
      </x:c>
      <x:c r="D121" s="28" t="str">
        <x:v>Exclusion Evidence</x:v>
      </x:c>
      <x:c r="E121" s="28" t="str">
        <x:v>Text Span</x:v>
      </x:c>
      <x:c r="F121" s="28" t="str"/>
      <x:c r="G121" s="28" t="str">
        <x:v>PDF p. 8, Section 3.3</x:v>
      </x:c>
      <x:c r="H121" s="28" t="n">
        <x:v>8</x:v>
      </x:c>
      <x:c r="I121" s="28" t="n">
        <x:v>8</x:v>
      </x:c>
      <x:c r="J121" s="28" t="n">
        <x:v>8</x:v>
      </x:c>
      <x:c r="K121" s="28" t="str">
        <x:v>8</x:v>
      </x:c>
      <x:c r="L121" s="28" t="str">
        <x:v>Investment section</x:v>
      </x:c>
      <x:c r="M121" s="28" t="str">
        <x:v>The GOJ is keen to have some of its investment done through PPP arrangements.</x:v>
      </x:c>
      <x:c r="N121" s="28" t="str">
        <x:v>the goj is keen to have some of its investment done through ppp arrangement</x:v>
      </x:c>
      <x:c r="O121" s="28" t="str">
        <x:v>b085c5ea306ca31c516525546ae94e2c490dade9e7cb740431fa4b983a661598</x:v>
      </x:c>
      <x:c r="P121" s="28" t="n">
        <x:v>1348</x:v>
      </x:c>
      <x:c r="Q121" s="28" t="n">
        <x:v>1425</x:v>
      </x:c>
      <x:c r="R121" s="28" t="str">
        <x:v>[[1348,1425]]</x:v>
      </x:c>
      <x:c r="S121" s="28" t="str">
        <x:v>Fuzzy token-window match</x:v>
      </x:c>
      <x:c r="T121" s="28" t="str">
        <x:v>Original Compact Text</x:v>
      </x:c>
      <x:c r="U121" s="28" t="str">
        <x:v>PPP investment transactions</x:v>
      </x:c>
      <x:c r="V121" s="28" t="n">
        <x:v>0.658022</x:v>
      </x:c>
      <x:c r="W121" s="28" t="n">
        <x:v>0.694764</x:v>
      </x:c>
      <x:c r="X121" s="28" t="n">
        <x:v>0.831804</x:v>
      </x:c>
      <x:c r="Y121" s="28" t="n">
        <x:v>0.596491</x:v>
      </x:c>
      <x:c r="Z121" s="28" t="n">
        <x:v>0.490566</x:v>
      </x:c>
      <x:c r="AA121" s="28" t="str">
        <x:v>Medium</x:v>
      </x:c>
      <x:c r="AB121" s="28" t="str">
        <x:v>Pass</x:v>
      </x:c>
      <x:c r="AC121" s="28" t="str">
        <x:v>Pending human review</x:v>
      </x:c>
      <x:c r="AD121" s="28" t="str"/>
      <x:c r="AE121" s="28" t="n">
        <x:v>46238.87231481481</x:v>
      </x:c>
    </x:row>
    <x:row r="122" ht="60" customHeight="1">
      <x:c r="A122" s="28" t="str">
        <x:v>ANC-JAM-039-01</x:v>
      </x:c>
      <x:c r="B122" s="28" t="str">
        <x:v>JAM-039</x:v>
      </x:c>
      <x:c r="C122" s="28" t="str">
        <x:v>DOC-JAM-WC-2026</x:v>
      </x:c>
      <x:c r="D122" s="28" t="str">
        <x:v>Exclusion Evidence</x:v>
      </x:c>
      <x:c r="E122" s="28" t="str">
        <x:v>Text Span</x:v>
      </x:c>
      <x:c r="F122" s="28" t="str"/>
      <x:c r="G122" s="28" t="str">
        <x:v>PDF p. 10, Section 5</x:v>
      </x:c>
      <x:c r="H122" s="28" t="n">
        <x:v>10</x:v>
      </x:c>
      <x:c r="I122" s="28" t="n">
        <x:v>10</x:v>
      </x:c>
      <x:c r="J122" s="28" t="n">
        <x:v>10</x:v>
      </x:c>
      <x:c r="K122" s="28" t="str">
        <x:v>10</x:v>
      </x:c>
      <x:c r="L122" s="28" t="str">
        <x:v>Government commitment</x:v>
      </x:c>
      <x:c r="M122" s="28" t="str">
        <x:v>youth, and vulnerable groups have a voice in water management. We commit to transparency and accountability in the execution of the Implementation Plan and the sustainable management</x:v>
      </x:c>
      <x:c r="N122" s="28" t="str">
        <x:v>youth and vulnerable group have a voice in water management we commit to transparency and accountability in the execution of the implementation plan and the sustainable management</x:v>
      </x:c>
      <x:c r="O122" s="28" t="str">
        <x:v>2c05b60b41ad3f419e960e7316d420838ba9091327575653a7e4659674cff7b5</x:v>
      </x:c>
      <x:c r="P122" s="28" t="str"/>
      <x:c r="Q122" s="28" t="str"/>
      <x:c r="R122" s="28" t="str">
        <x:v>[[431,519],[520,613]]</x:v>
      </x:c>
      <x:c r="S122" s="28" t="str">
        <x:v>Exact spatial line-cluster phrase</x:v>
      </x:c>
      <x:c r="T122" s="28" t="str">
        <x:v>Original Compact Text</x:v>
      </x:c>
      <x:c r="U122" s="28" t="str">
        <x:v>Transparency and accountability</x:v>
      </x:c>
      <x:c r="V122" s="28" t="n">
        <x:v>0.99</x:v>
      </x:c>
      <x:c r="W122" s="28" t="n">
        <x:v>0.578984</x:v>
      </x:c>
      <x:c r="X122" s="28" t="n">
        <x:v>0.407444</x:v>
      </x:c>
      <x:c r="Y122" s="28" t="n">
        <x:v>1</x:v>
      </x:c>
      <x:c r="Z122" s="28" t="n">
        <x:v>0.295238</x:v>
      </x:c>
      <x:c r="AA122" s="28" t="str">
        <x:v>High</x:v>
      </x:c>
      <x:c r="AB122" s="28" t="str">
        <x:v>Pass</x:v>
      </x:c>
      <x:c r="AC122" s="28" t="str">
        <x:v>Pending human review</x:v>
      </x:c>
      <x:c r="AD122" s="28" t="str"/>
      <x:c r="AE122" s="28" t="n">
        <x:v>46238.87231481481</x:v>
      </x:c>
    </x:row>
    <x:row r="123" ht="60" customHeight="1">
      <x:c r="A123" s="28" t="str">
        <x:v>ANC-JAM-040-01</x:v>
      </x:c>
      <x:c r="B123" s="28" t="str">
        <x:v>JAM-040</x:v>
      </x:c>
      <x:c r="C123" s="28" t="str">
        <x:v>DOC-JAM-WC-2026</x:v>
      </x:c>
      <x:c r="D123" s="28" t="str">
        <x:v>Exclusion Evidence</x:v>
      </x:c>
      <x:c r="E123" s="28" t="str">
        <x:v>Text Span</x:v>
      </x:c>
      <x:c r="F123" s="28" t="str"/>
      <x:c r="G123" s="28" t="str">
        <x:v>PDF p. 10, Section 6</x:v>
      </x:c>
      <x:c r="H123" s="28" t="n">
        <x:v>10</x:v>
      </x:c>
      <x:c r="I123" s="28" t="n">
        <x:v>10</x:v>
      </x:c>
      <x:c r="J123" s="28" t="n">
        <x:v>10</x:v>
      </x:c>
      <x:c r="K123" s="28" t="str">
        <x:v>10</x:v>
      </x:c>
      <x:c r="L123" s="28" t="str">
        <x:v>Implementation arrangements</x:v>
      </x:c>
      <x:c r="M123" s="28" t="str">
        <x:v>Overall coordination of the Water Compact 2030 will be led by the Ministry of Water Environment and Climate Change, through its Water Policy and Monitoring Branch. There will</x:v>
      </x:c>
      <x:c r="N123" s="28" t="str">
        <x:v>overall coordination of the water compact 2030 will be led by the ministry of water environment and climate change through its water policy and monitor branch there will</x:v>
      </x:c>
      <x:c r="O123" s="28" t="str">
        <x:v>6c3e300a3b33eecbe6646b3f0f4d70c48de12fdc1b1e2f169f68cdb88096044a</x:v>
      </x:c>
      <x:c r="P123" s="28" t="str"/>
      <x:c r="Q123" s="28" t="str"/>
      <x:c r="R123" s="28" t="str">
        <x:v>[[678,761],[762,852]]</x:v>
      </x:c>
      <x:c r="S123" s="28" t="str">
        <x:v>Exact spatial line-cluster phrase</x:v>
      </x:c>
      <x:c r="T123" s="28" t="str">
        <x:v>Verified PDF locator hint</x:v>
      </x:c>
      <x:c r="U123" s="28" t="str">
        <x:v>Overall coordination of the Water Compact 2030 will be led by the Ministry of Water Environment and Climate Change</x:v>
      </x:c>
      <x:c r="V123" s="28" t="n">
        <x:v>0.999</x:v>
      </x:c>
      <x:c r="W123" s="28" t="n">
        <x:v>0.910859</x:v>
      </x:c>
      <x:c r="X123" s="28" t="n">
        <x:v>0.83631</x:v>
      </x:c>
      <x:c r="Y123" s="28" t="n">
        <x:v>1</x:v>
      </x:c>
      <x:c r="Z123" s="28" t="n">
        <x:v>0.805654</x:v>
      </x:c>
      <x:c r="AA123" s="28" t="str">
        <x:v>High</x:v>
      </x:c>
      <x:c r="AB123" s="28" t="str">
        <x:v>Pass</x:v>
      </x:c>
      <x:c r="AC123" s="28" t="str">
        <x:v>Pending human review</x:v>
      </x:c>
      <x:c r="AD123" s="28" t="str"/>
      <x:c r="AE123" s="28" t="n">
        <x:v>46238.87231481481</x:v>
      </x:c>
    </x:row>
    <x:row r="124" ht="60" customHeight="1">
      <x:c r="A124" s="28" t="str">
        <x:v>ANC-SLE-001-01</x:v>
      </x:c>
      <x:c r="B124" s="28" t="str">
        <x:v>SLE-001</x:v>
      </x:c>
      <x:c r="C124" s="28" t="str">
        <x:v>DOC-SLE-WC-2026</x:v>
      </x:c>
      <x:c r="D124" s="28" t="str">
        <x:v>Primary Evidence</x:v>
      </x:c>
      <x:c r="E124" s="28" t="str">
        <x:v>Table Cell/Row</x:v>
      </x:c>
      <x:c r="F124" s="28" t="str"/>
      <x:c r="G124" s="28" t="str">
        <x:v>PDF p. 9, Table 1</x:v>
      </x:c>
      <x:c r="H124" s="28" t="n">
        <x:v>9</x:v>
      </x:c>
      <x:c r="I124" s="28" t="n">
        <x:v>9</x:v>
      </x:c>
      <x:c r="J124" s="28" t="n">
        <x:v>9</x:v>
      </x:c>
      <x:c r="K124" s="28" t="str">
        <x:v>9</x:v>
      </x:c>
      <x:c r="L124" s="28" t="str">
        <x:v>Target table</x:v>
      </x:c>
      <x:c r="M124" s="28" t="str">
        <x:v>Establish and operationalize 2 transboundary basin authorities (Moa Makona and Great Scarcies)</x:v>
      </x:c>
      <x:c r="N124" s="28" t="str">
        <x:v>establish and operationalize 2 transboundary basin authority moa makona and great scarcy</x:v>
      </x:c>
      <x:c r="O124" s="28" t="str">
        <x:v>be2143d44f80f981cf930be97b1a9669246abe9cb006539a7b23a247a65f7c34</x:v>
      </x:c>
      <x:c r="P124" s="28" t="str"/>
      <x:c r="Q124" s="28" t="str"/>
      <x:c r="R124" s="28" t="str">
        <x:v>[[1740,1790],[1812,1855]]</x:v>
      </x:c>
      <x:c r="S124" s="28" t="str">
        <x:v>Fuzzy spatial line-cluster match</x:v>
      </x:c>
      <x:c r="T124" s="28" t="str">
        <x:v>Standardized Candidate</x:v>
      </x:c>
      <x:c r="U124" s="28" t="str">
        <x:v>Establish and operationalize two transboundary basin authorities</x:v>
      </x:c>
      <x:c r="V124" s="28" t="n">
        <x:v>0.754916</x:v>
      </x:c>
      <x:c r="W124" s="28" t="n">
        <x:v>0.788732</x:v>
      </x:c>
      <x:c r="X124" s="28" t="n">
        <x:v>0.717949</x:v>
      </x:c>
      <x:c r="Y124" s="28" t="n">
        <x:v>0.875</x:v>
      </x:c>
      <x:c r="Z124" s="28" t="n">
        <x:v>0.786667</x:v>
      </x:c>
      <x:c r="AA124" s="28" t="str">
        <x:v>Medium</x:v>
      </x:c>
      <x:c r="AB124" s="28" t="str">
        <x:v>Pass</x:v>
      </x:c>
      <x:c r="AC124" s="28" t="str">
        <x:v>Pending human review</x:v>
      </x:c>
      <x:c r="AD124" s="28" t="str"/>
      <x:c r="AE124" s="28" t="n">
        <x:v>46238.87231481481</x:v>
      </x:c>
    </x:row>
    <x:row r="125" ht="60" customHeight="1">
      <x:c r="A125" s="28" t="str">
        <x:v>ANC-SLE-002-01</x:v>
      </x:c>
      <x:c r="B125" s="28" t="str">
        <x:v>SLE-002</x:v>
      </x:c>
      <x:c r="C125" s="28" t="str">
        <x:v>DOC-SLE-WC-2026</x:v>
      </x:c>
      <x:c r="D125" s="28" t="str">
        <x:v>Primary Evidence</x:v>
      </x:c>
      <x:c r="E125" s="28" t="str">
        <x:v>Table Cell/Row</x:v>
      </x:c>
      <x:c r="F125" s="28" t="str"/>
      <x:c r="G125" s="28" t="str">
        <x:v>PDF p. 9, Table 1</x:v>
      </x:c>
      <x:c r="H125" s="28" t="n">
        <x:v>9</x:v>
      </x:c>
      <x:c r="I125" s="28" t="n">
        <x:v>9</x:v>
      </x:c>
      <x:c r="J125" s="28" t="n">
        <x:v>9</x:v>
      </x:c>
      <x:c r="K125" s="28" t="str">
        <x:v>9</x:v>
      </x:c>
      <x:c r="L125" s="28" t="str">
        <x:v>Target table</x:v>
      </x:c>
      <x:c r="M125" s="28" t="str">
        <x:v>Protect and legally enforce 3,500 ha of priority buffer zones, focusing on Western Area Peninsula National Park</x:v>
      </x:c>
      <x:c r="N125" s="28" t="str">
        <x:v>protect and legally enforce 3 500 ha of priority buffer zone focus on western area peninsula national park</x:v>
      </x:c>
      <x:c r="O125" s="28" t="str">
        <x:v>182383d3c1a6439b820fc7d59c49e5fdd84779e0e92ac41adf08607f4e6d3d13</x:v>
      </x:c>
      <x:c r="P125" s="28" t="str"/>
      <x:c r="Q125" s="28" t="str"/>
      <x:c r="R125" s="28" t="str">
        <x:v>[[1866,1921],[1946,2001]]</x:v>
      </x:c>
      <x:c r="S125" s="28" t="str">
        <x:v>Fuzzy spatial line-cluster match</x:v>
      </x:c>
      <x:c r="T125" s="28" t="str">
        <x:v>Verified PDF locator hint</x:v>
      </x:c>
      <x:c r="U125" s="28" t="str">
        <x:v>Protect and legally enforce 3,500 ha of priority buffer zones, focusing on Western Area Peninsula National Park</x:v>
      </x:c>
      <x:c r="V125" s="28" t="n">
        <x:v>0.924551</x:v>
      </x:c>
      <x:c r="W125" s="28" t="n">
        <x:v>0.915869</x:v>
      </x:c>
      <x:c r="X125" s="28" t="n">
        <x:v>0.961885</x:v>
      </x:c>
      <x:c r="Y125" s="28" t="n">
        <x:v>0.874055</x:v>
      </x:c>
      <x:c r="Z125" s="28" t="n">
        <x:v>0.995261</x:v>
      </x:c>
      <x:c r="AA125" s="28" t="str">
        <x:v>High</x:v>
      </x:c>
      <x:c r="AB125" s="28" t="str">
        <x:v>Pass</x:v>
      </x:c>
      <x:c r="AC125" s="28" t="str">
        <x:v>Pending human review</x:v>
      </x:c>
      <x:c r="AD125" s="28" t="str"/>
      <x:c r="AE125" s="28" t="n">
        <x:v>46238.87231481481</x:v>
      </x:c>
    </x:row>
    <x:row r="126" ht="60" customHeight="1">
      <x:c r="A126" s="28" t="str">
        <x:v>ANC-SLE-003-01</x:v>
      </x:c>
      <x:c r="B126" s="28" t="str">
        <x:v>SLE-003</x:v>
      </x:c>
      <x:c r="C126" s="28" t="str">
        <x:v>DOC-SLE-WC-2026</x:v>
      </x:c>
      <x:c r="D126" s="28" t="str">
        <x:v>Primary Evidence</x:v>
      </x:c>
      <x:c r="E126" s="28" t="str">
        <x:v>Table Cell/Row</x:v>
      </x:c>
      <x:c r="F126" s="28" t="str"/>
      <x:c r="G126" s="28" t="str">
        <x:v>PDF p. 9, Table 1</x:v>
      </x:c>
      <x:c r="H126" s="28" t="n">
        <x:v>9</x:v>
      </x:c>
      <x:c r="I126" s="28" t="n">
        <x:v>9</x:v>
      </x:c>
      <x:c r="J126" s="28" t="n">
        <x:v>9</x:v>
      </x:c>
      <x:c r="K126" s="28" t="str">
        <x:v>9</x:v>
      </x:c>
      <x:c r="L126" s="28" t="str">
        <x:v>Target table</x:v>
      </x:c>
      <x:c r="M126" s="28" t="str">
        <x:v>Create and operationalize 5 Basin Boards</x:v>
      </x:c>
      <x:c r="N126" s="28" t="str">
        <x:v>create and operationalize 5 basin board</x:v>
      </x:c>
      <x:c r="O126" s="28" t="str">
        <x:v>a8c22a742a8d14a9544c607c9d8a73fcad7ec4ef32b823e27ed7d8a317600ee1</x:v>
      </x:c>
      <x:c r="P126" s="28" t="n">
        <x:v>2183</x:v>
      </x:c>
      <x:c r="Q126" s="28" t="n">
        <x:v>2223</x:v>
      </x:c>
      <x:c r="R126" s="28" t="str">
        <x:v>[[2183,2223]]</x:v>
      </x:c>
      <x:c r="S126" s="28" t="str">
        <x:v>Fuzzy spatial line-cluster match</x:v>
      </x:c>
      <x:c r="T126" s="28" t="str">
        <x:v>Standardized Candidate</x:v>
      </x:c>
      <x:c r="U126" s="28" t="str">
        <x:v>Create and operationalize five Basin Boards</x:v>
      </x:c>
      <x:c r="V126" s="28" t="n">
        <x:v>0.84831</x:v>
      </x:c>
      <x:c r="W126" s="28" t="n">
        <x:v>0.879938</x:v>
      </x:c>
      <x:c r="X126" s="28" t="n">
        <x:v>0.911717</x:v>
      </x:c>
      <x:c r="Y126" s="28" t="n">
        <x:v>0.850299</x:v>
      </x:c>
      <x:c r="Z126" s="28" t="n">
        <x:v>0.938272</x:v>
      </x:c>
      <x:c r="AA126" s="28" t="str">
        <x:v>High</x:v>
      </x:c>
      <x:c r="AB126" s="28" t="str">
        <x:v>Pass</x:v>
      </x:c>
      <x:c r="AC126" s="28" t="str">
        <x:v>Pending human review</x:v>
      </x:c>
      <x:c r="AD126" s="28" t="str"/>
      <x:c r="AE126" s="28" t="n">
        <x:v>46238.87231481481</x:v>
      </x:c>
    </x:row>
    <x:row r="127" ht="60" customHeight="1">
      <x:c r="A127" s="28" t="str">
        <x:v>ANC-SLE-004-01</x:v>
      </x:c>
      <x:c r="B127" s="28" t="str">
        <x:v>SLE-004</x:v>
      </x:c>
      <x:c r="C127" s="28" t="str">
        <x:v>DOC-SLE-WC-2026</x:v>
      </x:c>
      <x:c r="D127" s="28" t="str">
        <x:v>Primary Evidence</x:v>
      </x:c>
      <x:c r="E127" s="28" t="str">
        <x:v>Table Cell/Row</x:v>
      </x:c>
      <x:c r="F127" s="28" t="str"/>
      <x:c r="G127" s="28" t="str">
        <x:v>PDF p. 9, Table 1</x:v>
      </x:c>
      <x:c r="H127" s="28" t="n">
        <x:v>9</x:v>
      </x:c>
      <x:c r="I127" s="28" t="n">
        <x:v>9</x:v>
      </x:c>
      <x:c r="J127" s="28" t="n">
        <x:v>9</x:v>
      </x:c>
      <x:c r="K127" s="28" t="str">
        <x:v>9</x:v>
      </x:c>
      <x:c r="L127" s="28" t="str">
        <x:v>Target table</x:v>
      </x:c>
      <x:c r="M127" s="28" t="str">
        <x:v>2 offices (2024) Operationalize 1 additional regional WRM office (Kenema)</x:v>
      </x:c>
      <x:c r="N127" s="28" t="str">
        <x:v>2 office 2024 operationalize 1 additional regional wrm office kenema</x:v>
      </x:c>
      <x:c r="O127" s="28" t="str">
        <x:v>4647fa34c42566d60a47924cd116d71a6a42b96302998e8b002ad7b45479e325</x:v>
      </x:c>
      <x:c r="P127" s="28" t="n">
        <x:v>2238</x:v>
      </x:c>
      <x:c r="Q127" s="28" t="n">
        <x:v>2311</x:v>
      </x:c>
      <x:c r="R127" s="28" t="str">
        <x:v>[[2238,2311]]</x:v>
      </x:c>
      <x:c r="S127" s="28" t="str">
        <x:v>Exact spatial line-cluster phrase</x:v>
      </x:c>
      <x:c r="T127" s="28" t="str">
        <x:v>Original Compact Text</x:v>
      </x:c>
      <x:c r="U127" s="28" t="str">
        <x:v>Additional regional WRM office</x:v>
      </x:c>
      <x:c r="V127" s="28" t="n">
        <x:v>0.999</x:v>
      </x:c>
      <x:c r="W127" s="28" t="n">
        <x:v>0.731675</x:v>
      </x:c>
      <x:c r="X127" s="28" t="n">
        <x:v>0.576882</x:v>
      </x:c>
      <x:c r="Y127" s="28" t="n">
        <x:v>1</x:v>
      </x:c>
      <x:c r="Z127" s="28" t="n">
        <x:v>0.612245</x:v>
      </x:c>
      <x:c r="AA127" s="28" t="str">
        <x:v>High</x:v>
      </x:c>
      <x:c r="AB127" s="28" t="str">
        <x:v>Pass</x:v>
      </x:c>
      <x:c r="AC127" s="28" t="str">
        <x:v>Pending human review</x:v>
      </x:c>
      <x:c r="AD127" s="28" t="str"/>
      <x:c r="AE127" s="28" t="n">
        <x:v>46238.87231481481</x:v>
      </x:c>
    </x:row>
    <x:row r="128" ht="60" customHeight="1">
      <x:c r="A128" s="28" t="str">
        <x:v>ANC-SLE-005-01</x:v>
      </x:c>
      <x:c r="B128" s="28" t="str">
        <x:v>SLE-005</x:v>
      </x:c>
      <x:c r="C128" s="28" t="str">
        <x:v>DOC-SLE-WC-2026</x:v>
      </x:c>
      <x:c r="D128" s="28" t="str">
        <x:v>Primary Evidence</x:v>
      </x:c>
      <x:c r="E128" s="28" t="str">
        <x:v>Table Cell/Row</x:v>
      </x:c>
      <x:c r="F128" s="28" t="str"/>
      <x:c r="G128" s="28" t="str">
        <x:v>PDF p. 9, Table 1</x:v>
      </x:c>
      <x:c r="H128" s="28" t="n">
        <x:v>9</x:v>
      </x:c>
      <x:c r="I128" s="28" t="n">
        <x:v>9</x:v>
      </x:c>
      <x:c r="J128" s="28" t="n">
        <x:v>9</x:v>
      </x:c>
      <x:c r="K128" s="28" t="str">
        <x:v>9</x:v>
      </x:c>
      <x:c r="L128" s="28" t="str">
        <x:v>Target table</x:v>
      </x:c>
      <x:c r="M128" s="28" t="str">
        <x:v>Mobilize USD 10 million through the Western Area Peninsula Water Fund</x:v>
      </x:c>
      <x:c r="N128" s="28" t="str">
        <x:v>mobilize usd 10 million through the western area peninsula water fund</x:v>
      </x:c>
      <x:c r="O128" s="28" t="str">
        <x:v>343f87feccac92d8d0fc42fe82f355eb1d1e646898bbd4e8dec183f8fbc46869</x:v>
      </x:c>
      <x:c r="P128" s="28" t="str"/>
      <x:c r="Q128" s="28" t="str"/>
      <x:c r="R128" s="28" t="str">
        <x:v>[[2355,2413],[2431,2441]]</x:v>
      </x:c>
      <x:c r="S128" s="28" t="str">
        <x:v>Exact spatial line-cluster phrase</x:v>
      </x:c>
      <x:c r="T128" s="28" t="str">
        <x:v>Original Compact Text</x:v>
      </x:c>
      <x:c r="U128" s="28" t="str">
        <x:v>Western Area Peninsula Water Fund</x:v>
      </x:c>
      <x:c r="V128" s="28" t="n">
        <x:v>0.999</x:v>
      </x:c>
      <x:c r="W128" s="28" t="n">
        <x:v>0.818482</x:v>
      </x:c>
      <x:c r="X128" s="28" t="n">
        <x:v>0.692737</x:v>
      </x:c>
      <x:c r="Y128" s="28" t="n">
        <x:v>1</x:v>
      </x:c>
      <x:c r="Z128" s="28" t="n">
        <x:v>0.647059</x:v>
      </x:c>
      <x:c r="AA128" s="28" t="str">
        <x:v>High</x:v>
      </x:c>
      <x:c r="AB128" s="28" t="str">
        <x:v>Pass</x:v>
      </x:c>
      <x:c r="AC128" s="28" t="str">
        <x:v>Pending human review</x:v>
      </x:c>
      <x:c r="AD128" s="28" t="str"/>
      <x:c r="AE128" s="28" t="n">
        <x:v>46238.87231481481</x:v>
      </x:c>
    </x:row>
    <x:row r="129" ht="60" customHeight="1">
      <x:c r="A129" s="28" t="str">
        <x:v>ANC-SLE-006-01</x:v>
      </x:c>
      <x:c r="B129" s="28" t="str">
        <x:v>SLE-006</x:v>
      </x:c>
      <x:c r="C129" s="28" t="str">
        <x:v>DOC-SLE-WC-2026</x:v>
      </x:c>
      <x:c r="D129" s="28" t="str">
        <x:v>Primary Evidence</x:v>
      </x:c>
      <x:c r="E129" s="28" t="str">
        <x:v>Text Span</x:v>
      </x:c>
      <x:c r="F129" s="28" t="str"/>
      <x:c r="G129" s="28" t="str">
        <x:v>PDF p. 10, Priority Action 2</x:v>
      </x:c>
      <x:c r="H129" s="28" t="n">
        <x:v>10</x:v>
      </x:c>
      <x:c r="I129" s="28" t="n">
        <x:v>10</x:v>
      </x:c>
      <x:c r="J129" s="28" t="n">
        <x:v>10</x:v>
      </x:c>
      <x:c r="K129" s="28" t="str">
        <x:v>10</x:v>
      </x:c>
      <x:c r="L129" s="28" t="str">
        <x:v>Narrative priority action</x:v>
      </x:c>
      <x:c r="M129" s="28" t="str">
        <x:v>To address fragmentation, this initiative will formalize inter-agency coordination and reorganize the Sector</x:v>
      </x:c>
      <x:c r="N129" s="28" t="str">
        <x:v>to address fragmentation this initiative will formalize interagency coordination and reorganize the sector</x:v>
      </x:c>
      <x:c r="O129" s="28" t="str">
        <x:v>3e438ca67f9cc6ee1d5b1f31895f8f4ad3a83ba4e82d5960d9ac31d19a376ae0</x:v>
      </x:c>
      <x:c r="P129" s="28" t="n">
        <x:v>2017</x:v>
      </x:c>
      <x:c r="Q129" s="28" t="n">
        <x:v>2125</x:v>
      </x:c>
      <x:c r="R129" s="28" t="str">
        <x:v>[[2017,2125]]</x:v>
      </x:c>
      <x:c r="S129" s="28" t="str">
        <x:v>Exact spatial line-cluster phrase</x:v>
      </x:c>
      <x:c r="T129" s="28" t="str">
        <x:v>Original Compact Text</x:v>
      </x:c>
      <x:c r="U129" s="28" t="str">
        <x:v>Formalize inter-agency coordination</x:v>
      </x:c>
      <x:c r="V129" s="28" t="n">
        <x:v>0.999</x:v>
      </x:c>
      <x:c r="W129" s="28" t="n">
        <x:v>0.830769</x:v>
      </x:c>
      <x:c r="X129" s="28" t="n">
        <x:v>0.710526</x:v>
      </x:c>
      <x:c r="Y129" s="28" t="n">
        <x:v>1</x:v>
      </x:c>
      <x:c r="Z129" s="28" t="n">
        <x:v>0.485714</x:v>
      </x:c>
      <x:c r="AA129" s="28" t="str">
        <x:v>High</x:v>
      </x:c>
      <x:c r="AB129" s="28" t="str">
        <x:v>Pass</x:v>
      </x:c>
      <x:c r="AC129" s="28" t="str">
        <x:v>Pending human review</x:v>
      </x:c>
      <x:c r="AD129" s="28" t="str"/>
      <x:c r="AE129" s="28" t="n">
        <x:v>46238.87231481481</x:v>
      </x:c>
    </x:row>
    <x:row r="130" ht="60" customHeight="1">
      <x:c r="A130" s="28" t="str">
        <x:v>ANC-SLE-007-01</x:v>
      </x:c>
      <x:c r="B130" s="28" t="str">
        <x:v>SLE-007</x:v>
      </x:c>
      <x:c r="C130" s="28" t="str">
        <x:v>DOC-SLE-WC-2026</x:v>
      </x:c>
      <x:c r="D130" s="28" t="str">
        <x:v>Primary Evidence</x:v>
      </x:c>
      <x:c r="E130" s="28" t="str">
        <x:v>Text Span</x:v>
      </x:c>
      <x:c r="F130" s="28" t="str"/>
      <x:c r="G130" s="28" t="str">
        <x:v>PDF p. 10, Priority Action 2</x:v>
      </x:c>
      <x:c r="H130" s="28" t="n">
        <x:v>10</x:v>
      </x:c>
      <x:c r="I130" s="28" t="n">
        <x:v>10</x:v>
      </x:c>
      <x:c r="J130" s="28" t="n">
        <x:v>10</x:v>
      </x:c>
      <x:c r="K130" s="28" t="str">
        <x:v>10</x:v>
      </x:c>
      <x:c r="L130" s="28" t="str">
        <x:v>Narrative priority action</x:v>
      </x:c>
      <x:c r="M130" s="28" t="str">
        <x:v>standardized WASH information system will be established to support integrated planning and investment</x:v>
      </x:c>
      <x:c r="N130" s="28" t="str">
        <x:v>standardiz wash information system will be establish to support integrat plann and investment</x:v>
      </x:c>
      <x:c r="O130" s="28" t="str">
        <x:v>75466b94df6e966e562097558ae6ae048803fd12d49d54799ffef06b49b585fc</x:v>
      </x:c>
      <x:c r="P130" s="28" t="n">
        <x:v>2229</x:v>
      </x:c>
      <x:c r="Q130" s="28" t="n">
        <x:v>2331</x:v>
      </x:c>
      <x:c r="R130" s="28" t="str">
        <x:v>[[2229,2331]]</x:v>
      </x:c>
      <x:c r="S130" s="28" t="str">
        <x:v>Exact spatial line-cluster phrase</x:v>
      </x:c>
      <x:c r="T130" s="28" t="str">
        <x:v>Original Compact Text</x:v>
      </x:c>
      <x:c r="U130" s="28" t="str">
        <x:v>Standardized WASH information system</x:v>
      </x:c>
      <x:c r="V130" s="28" t="n">
        <x:v>0.999</x:v>
      </x:c>
      <x:c r="W130" s="28" t="n">
        <x:v>0.84058</x:v>
      </x:c>
      <x:c r="X130" s="28" t="n">
        <x:v>0.725</x:v>
      </x:c>
      <x:c r="Y130" s="28" t="n">
        <x:v>1</x:v>
      </x:c>
      <x:c r="Z130" s="28" t="n">
        <x:v>0.535433</x:v>
      </x:c>
      <x:c r="AA130" s="28" t="str">
        <x:v>High</x:v>
      </x:c>
      <x:c r="AB130" s="28" t="str">
        <x:v>Pass</x:v>
      </x:c>
      <x:c r="AC130" s="28" t="str">
        <x:v>Pending human review</x:v>
      </x:c>
      <x:c r="AD130" s="28" t="str"/>
      <x:c r="AE130" s="28" t="n">
        <x:v>46238.87231481481</x:v>
      </x:c>
    </x:row>
    <x:row r="131" ht="60" customHeight="1">
      <x:c r="A131" s="28" t="str">
        <x:v>ANC-SLE-008-01</x:v>
      </x:c>
      <x:c r="B131" s="28" t="str">
        <x:v>SLE-008</x:v>
      </x:c>
      <x:c r="C131" s="28" t="str">
        <x:v>DOC-SLE-WC-2026</x:v>
      </x:c>
      <x:c r="D131" s="28" t="str">
        <x:v>Primary Evidence</x:v>
      </x:c>
      <x:c r="E131" s="28" t="str">
        <x:v>Text Span</x:v>
      </x:c>
      <x:c r="F131" s="28" t="str"/>
      <x:c r="G131" s="28" t="str">
        <x:v>PDF p. 10, Priority Action 2</x:v>
      </x:c>
      <x:c r="H131" s="28" t="n">
        <x:v>10</x:v>
      </x:c>
      <x:c r="I131" s="28" t="n">
        <x:v>10</x:v>
      </x:c>
      <x:c r="J131" s="28" t="n">
        <x:v>10</x:v>
      </x:c>
      <x:c r="K131" s="28" t="str">
        <x:v>10</x:v>
      </x:c>
      <x:c r="L131" s="28" t="str">
        <x:v>Narrative priority action</x:v>
      </x:c>
      <x:c r="M131" s="28" t="str">
        <x:v>The strategy will also promote diversified funding sources through increased fiscal transfers, improved revenue generation by service providers, and public-private partnerships.</x:v>
      </x:c>
      <x:c r="N131" s="28" t="str">
        <x:v>the strategy will also promote diversifi fund source through increas fiscal transfer improv revenue generation by service provider and publicprivate partnership</x:v>
      </x:c>
      <x:c r="O131" s="28" t="str">
        <x:v>dce82567c505c3a0cdf3f342fe76fc4f0615a00d960112f8cbe31b30eaf6af85</x:v>
      </x:c>
      <x:c r="P131" s="28" t="str"/>
      <x:c r="Q131" s="28" t="str"/>
      <x:c r="R131" s="28" t="str">
        <x:v>[[2343,2437],[2438,2520]]</x:v>
      </x:c>
      <x:c r="S131" s="28" t="str">
        <x:v>Fuzzy token-window match</x:v>
      </x:c>
      <x:c r="T131" s="28" t="str">
        <x:v>Original Compact Text</x:v>
      </x:c>
      <x:c r="U131" s="28" t="str">
        <x:v>Diversify WASH funding sources</x:v>
      </x:c>
      <x:c r="V131" s="28" t="n">
        <x:v>0.635316</x:v>
      </x:c>
      <x:c r="W131" s="28" t="n">
        <x:v>0.587156</x:v>
      </x:c>
      <x:c r="X131" s="28" t="n">
        <x:v>0.802867</x:v>
      </x:c>
      <x:c r="Y131" s="28" t="n">
        <x:v>0.46281</x:v>
      </x:c>
      <x:c r="Z131" s="28" t="n">
        <x:v>0.851064</x:v>
      </x:c>
      <x:c r="AA131" s="28" t="str">
        <x:v>Medium</x:v>
      </x:c>
      <x:c r="AB131" s="28" t="str">
        <x:v>Pass</x:v>
      </x:c>
      <x:c r="AC131" s="28" t="str">
        <x:v>Pending human review</x:v>
      </x:c>
      <x:c r="AD131" s="28" t="str"/>
      <x:c r="AE131" s="28" t="n">
        <x:v>46238.87231481481</x:v>
      </x:c>
    </x:row>
    <x:row r="132" ht="60" customHeight="1">
      <x:c r="A132" s="28" t="str">
        <x:v>ANC-SLE-009-01</x:v>
      </x:c>
      <x:c r="B132" s="28" t="str">
        <x:v>SLE-009</x:v>
      </x:c>
      <x:c r="C132" s="28" t="str">
        <x:v>DOC-SLE-WC-2026</x:v>
      </x:c>
      <x:c r="D132" s="28" t="str">
        <x:v>Primary Evidence</x:v>
      </x:c>
      <x:c r="E132" s="28" t="str">
        <x:v>Text Span</x:v>
      </x:c>
      <x:c r="F132" s="28" t="str"/>
      <x:c r="G132" s="28" t="str">
        <x:v>PDF p. 11, Priority Action 3</x:v>
      </x:c>
      <x:c r="H132" s="28" t="n">
        <x:v>11</x:v>
      </x:c>
      <x:c r="I132" s="28" t="n">
        <x:v>11</x:v>
      </x:c>
      <x:c r="J132" s="28" t="n">
        <x:v>11</x:v>
      </x:c>
      <x:c r="K132" s="28" t="str">
        <x:v>11</x:v>
      </x:c>
      <x:c r="L132" s="28" t="str">
        <x:v>Narrative priority action</x:v>
      </x:c>
      <x:c r="M132" s="28" t="str">
        <x:v>construction of fecal sludge treatment facilities. The plan encourages market-based sanitation approaches</x:v>
      </x:c>
      <x:c r="N132" s="28" t="str">
        <x:v>construction of fecal sludge treatment facility the plan encourage marketbas sanitation approache</x:v>
      </x:c>
      <x:c r="O132" s="28" t="str">
        <x:v>d4f1d07696aa9ac0d3068b9a5443c973ac4d1eaf889f5d28782d3ec008fa1079</x:v>
      </x:c>
      <x:c r="P132" s="28" t="n">
        <x:v>268</x:v>
      </x:c>
      <x:c r="Q132" s="28" t="n">
        <x:v>373</x:v>
      </x:c>
      <x:c r="R132" s="28" t="str">
        <x:v>[[268,373]]</x:v>
      </x:c>
      <x:c r="S132" s="28" t="str">
        <x:v>Exact spatial line-cluster phrase</x:v>
      </x:c>
      <x:c r="T132" s="28" t="str">
        <x:v>Original Compact Text</x:v>
      </x:c>
      <x:c r="U132" s="28" t="str">
        <x:v>Market-based sanitation approaches</x:v>
      </x:c>
      <x:c r="V132" s="28" t="n">
        <x:v>0.999</x:v>
      </x:c>
      <x:c r="W132" s="28" t="n">
        <x:v>0.718773</x:v>
      </x:c>
      <x:c r="X132" s="28" t="n">
        <x:v>0.561003</x:v>
      </x:c>
      <x:c r="Y132" s="28" t="n">
        <x:v>1</x:v>
      </x:c>
      <x:c r="Z132" s="28" t="n">
        <x:v>0.472441</x:v>
      </x:c>
      <x:c r="AA132" s="28" t="str">
        <x:v>High</x:v>
      </x:c>
      <x:c r="AB132" s="28" t="str">
        <x:v>Pass</x:v>
      </x:c>
      <x:c r="AC132" s="28" t="str">
        <x:v>Pending human review</x:v>
      </x:c>
      <x:c r="AD132" s="28" t="str"/>
      <x:c r="AE132" s="28" t="n">
        <x:v>46238.87231481481</x:v>
      </x:c>
    </x:row>
    <x:row r="133" ht="60" customHeight="1">
      <x:c r="A133" s="28" t="str">
        <x:v>ANC-SLE-010-01</x:v>
      </x:c>
      <x:c r="B133" s="28" t="str">
        <x:v>SLE-010</x:v>
      </x:c>
      <x:c r="C133" s="28" t="str">
        <x:v>DOC-SLE-WC-2026</x:v>
      </x:c>
      <x:c r="D133" s="28" t="str">
        <x:v>Primary Evidence</x:v>
      </x:c>
      <x:c r="E133" s="28" t="str">
        <x:v>Text Span</x:v>
      </x:c>
      <x:c r="F133" s="28" t="str"/>
      <x:c r="G133" s="28" t="str">
        <x:v>PDF p. 11, Priority Action 4</x:v>
      </x:c>
      <x:c r="H133" s="28" t="n">
        <x:v>11</x:v>
      </x:c>
      <x:c r="I133" s="28" t="n">
        <x:v>11</x:v>
      </x:c>
      <x:c r="J133" s="28" t="n">
        <x:v>11</x:v>
      </x:c>
      <x:c r="K133" s="28" t="str">
        <x:v>11</x:v>
      </x:c>
      <x:c r="L133" s="28" t="str">
        <x:v>Narrative priority action</x:v>
      </x:c>
      <x:c r="M133" s="28" t="str">
        <x:v>There is a need for a climate-aware water resource monitoring system to enhance forecasting and adaptation strategies.</x:v>
      </x:c>
      <x:c r="N133" s="28" t="str">
        <x:v>there is a need for a climateaware water resource monitor system to enhance forecast and adaptation strategy</x:v>
      </x:c>
      <x:c r="O133" s="28" t="str">
        <x:v>b3505f20061d44d263e3a7da7e5243e1d549a93eb71b04e662213ba0a9945654</x:v>
      </x:c>
      <x:c r="P133" s="28" t="str"/>
      <x:c r="Q133" s="28" t="str"/>
      <x:c r="R133" s="28" t="str">
        <x:v>[[948,998],[999,1066]]</x:v>
      </x:c>
      <x:c r="S133" s="28" t="str">
        <x:v>Fuzzy token-window match</x:v>
      </x:c>
      <x:c r="T133" s="28" t="str">
        <x:v>Original Compact Text</x:v>
      </x:c>
      <x:c r="U133" s="28" t="str">
        <x:v>Climate-aware water monitoring system</x:v>
      </x:c>
      <x:c r="V133" s="28" t="n">
        <x:v>0.970981</x:v>
      </x:c>
      <x:c r="W133" s="28" t="n">
        <x:v>0.943123</x:v>
      </x:c>
      <x:c r="X133" s="28" t="n">
        <x:v>0.892368</x:v>
      </x:c>
      <x:c r="Y133" s="28" t="n">
        <x:v>1</x:v>
      </x:c>
      <x:c r="Z133" s="28" t="n">
        <x:v>0.88</x:v>
      </x:c>
      <x:c r="AA133" s="28" t="str">
        <x:v>High</x:v>
      </x:c>
      <x:c r="AB133" s="28" t="str">
        <x:v>Pass</x:v>
      </x:c>
      <x:c r="AC133" s="28" t="str">
        <x:v>Pending human review</x:v>
      </x:c>
      <x:c r="AD133" s="28" t="str"/>
      <x:c r="AE133" s="28" t="n">
        <x:v>46238.87231481481</x:v>
      </x:c>
    </x:row>
    <x:row r="134" ht="60" customHeight="1">
      <x:c r="A134" s="28" t="str">
        <x:v>ANC-SLE-011-01</x:v>
      </x:c>
      <x:c r="B134" s="28" t="str">
        <x:v>SLE-011</x:v>
      </x:c>
      <x:c r="C134" s="28" t="str">
        <x:v>DOC-SLE-WC-2026</x:v>
      </x:c>
      <x:c r="D134" s="28" t="str">
        <x:v>Primary Evidence</x:v>
      </x:c>
      <x:c r="E134" s="28" t="str">
        <x:v>Text Span</x:v>
      </x:c>
      <x:c r="F134" s="28" t="str"/>
      <x:c r="G134" s="28" t="str">
        <x:v>PDF p. 11, Priority Action 5</x:v>
      </x:c>
      <x:c r="H134" s="28" t="n">
        <x:v>11</x:v>
      </x:c>
      <x:c r="I134" s="28" t="n">
        <x:v>11</x:v>
      </x:c>
      <x:c r="J134" s="28" t="n">
        <x:v>11</x:v>
      </x:c>
      <x:c r="K134" s="28" t="str">
        <x:v>11</x:v>
      </x:c>
      <x:c r="L134" s="28" t="str">
        <x:v>Narrative priority action</x:v>
      </x:c>
      <x:c r="M134" s="28" t="str">
        <x:v>The plan also establishes clear policies and regulations to promote waste segregation, recycling, and public-private partnerships.</x:v>
      </x:c>
      <x:c r="N134" s="28" t="str">
        <x:v>the plan also establishe clear policy and regulation to promote waste segregation recycl and publicprivate partnership</x:v>
      </x:c>
      <x:c r="O134" s="28" t="str">
        <x:v>32f78bee22fe2ea74251ae3ad6d8b073c90627455f49dd05bf1e54c1a024dd7a</x:v>
      </x:c>
      <x:c r="P134" s="28" t="str"/>
      <x:c r="Q134" s="28" t="str"/>
      <x:c r="R134" s="28" t="str">
        <x:v>[[1630,1697],[1698,1760]]</x:v>
      </x:c>
      <x:c r="S134" s="28" t="str">
        <x:v>Fuzzy token-window match</x:v>
      </x:c>
      <x:c r="T134" s="28" t="str">
        <x:v>Original Compact Text</x:v>
      </x:c>
      <x:c r="U134" s="28" t="str">
        <x:v>Solid-waste policies and regulations</x:v>
      </x:c>
      <x:c r="V134" s="28" t="n">
        <x:v>0.767773</x:v>
      </x:c>
      <x:c r="W134" s="28" t="n">
        <x:v>0.774869</x:v>
      </x:c>
      <x:c r="X134" s="28" t="n">
        <x:v>1</x:v>
      </x:c>
      <x:c r="Y134" s="28" t="n">
        <x:v>0.632479</x:v>
      </x:c>
      <x:c r="Z134" s="28" t="n">
        <x:v>0.75</x:v>
      </x:c>
      <x:c r="AA134" s="28" t="str">
        <x:v>High</x:v>
      </x:c>
      <x:c r="AB134" s="28" t="str">
        <x:v>Pass</x:v>
      </x:c>
      <x:c r="AC134" s="28" t="str">
        <x:v>Pending human review</x:v>
      </x:c>
      <x:c r="AD134" s="28" t="str"/>
      <x:c r="AE134" s="28" t="n">
        <x:v>46238.87231481481</x:v>
      </x:c>
    </x:row>
    <x:row r="135" ht="60" customHeight="1">
      <x:c r="A135" s="28" t="str">
        <x:v>ANC-SLE-012-01</x:v>
      </x:c>
      <x:c r="B135" s="28" t="str">
        <x:v>SLE-012</x:v>
      </x:c>
      <x:c r="C135" s="28" t="str">
        <x:v>DOC-SLE-WC-2026</x:v>
      </x:c>
      <x:c r="D135" s="28" t="str">
        <x:v>Primary Evidence</x:v>
      </x:c>
      <x:c r="E135" s="28" t="str">
        <x:v>Text Span</x:v>
      </x:c>
      <x:c r="F135" s="28" t="str"/>
      <x:c r="G135" s="28" t="str">
        <x:v>PDF p. 14, Appendix 1</x:v>
      </x:c>
      <x:c r="H135" s="28" t="n">
        <x:v>14</x:v>
      </x:c>
      <x:c r="I135" s="28" t="n">
        <x:v>14</x:v>
      </x:c>
      <x:c r="J135" s="28" t="n">
        <x:v>14</x:v>
      </x:c>
      <x:c r="K135" s="28" t="str">
        <x:v>14</x:v>
      </x:c>
      <x:c r="L135" s="28" t="str">
        <x:v>Programmatic outlook</x:v>
      </x:c>
      <x:c r="M135" s="28" t="str">
        <x:v>Implement measures to (i) Installation of bulk meters on all urban water systems 7.00 0.00 7.00 2.00 3.00 1.00 1.00 0.00 reduce non-revenue water (ii) Installation of zonal meters and customer meters for consumers on a 2.00 0.00 2.00 1.00 1.00 0.00 0.00 0.00 flat rate (iii) Establish DMA and water loss reduction programs 4.00 0.00 4.00 2.00 2.00 0.00 0.00 0.00 Rural Water (1) Provide new water (i) Institutionalize Local Council-wide water supply planning</x:v>
      </x:c>
      <x:c r="N135" s="28" t="str">
        <x:v>implement measure to i installation of bulk meter on all urban water system 7 00 0 00 7 00 2 00 3 00 1 00 1 00 0 00 reduce nonrevenue water ii installation of zonal meter and customer meter for consumer on a 2 00 0 00 2 00 1 00 1 00 0 00 0 00 0 00 flat rate iii establish dma and water loss reduction program 4 00 0 00 4 00 2 00 2 00 0 00 0 00 0 00 rural water 1 provide new water i institutionalize local councilwide water supply plann</x:v>
      </x:c>
      <x:c r="O135" s="28" t="str">
        <x:v>8ba40482677742017393754023c3ff8e1baba51b05818167a1a1bda1e2fa133b</x:v>
      </x:c>
      <x:c r="P135" s="28" t="str"/>
      <x:c r="Q135" s="28" t="str"/>
      <x:c r="R135" s="28" t="str">
        <x:v>[[2020,2041],[2042,2100],[2101,2105],[2106,2110],[2111,2115],[2116,2120],[2121,2125],[2126,2130],[2131,2135],[2136,2140],[2141,2165],[2166,2238],[2249,2253],[2254,2258],[2259,2263],[2264,2268],[2269,2273],[2274,2278],[2279,2283],[2284,2288],[2239,2248],[2289,2342],[2343,2347],[2348,2352],[2353,2357],[2358,2362],[2363,2367],[2368,2372],[2373,2377],[2378,2382],[2383,2394],[2395,2416],[2417,2478]]</x:v>
      </x:c>
      <x:c r="S135" s="28" t="str">
        <x:v>Fuzzy token-window match</x:v>
      </x:c>
      <x:c r="T135" s="28" t="str">
        <x:v>Original Compact Text</x:v>
      </x:c>
      <x:c r="U135" s="28" t="str">
        <x:v>Local Council-wide water planning</x:v>
      </x:c>
      <x:c r="V135" s="28" t="n">
        <x:v>0.96944</x:v>
      </x:c>
      <x:c r="W135" s="28" t="n">
        <x:v>0.936854</x:v>
      </x:c>
      <x:c r="X135" s="28" t="n">
        <x:v>0.88121</x:v>
      </x:c>
      <x:c r="Y135" s="28" t="n">
        <x:v>1</x:v>
      </x:c>
      <x:c r="Z135" s="28" t="n">
        <x:v>0.892308</x:v>
      </x:c>
      <x:c r="AA135" s="28" t="str">
        <x:v>High</x:v>
      </x:c>
      <x:c r="AB135" s="28" t="str">
        <x:v>Pass</x:v>
      </x:c>
      <x:c r="AC135" s="28" t="str">
        <x:v>Pending human review</x:v>
      </x:c>
      <x:c r="AD135" s="28" t="str"/>
      <x:c r="AE135" s="28" t="n">
        <x:v>46238.87231481481</x:v>
      </x:c>
    </x:row>
    <x:row r="136" ht="60" customHeight="1">
      <x:c r="A136" s="28" t="str">
        <x:v>ANC-SLE-013-01</x:v>
      </x:c>
      <x:c r="B136" s="28" t="str">
        <x:v>SLE-013</x:v>
      </x:c>
      <x:c r="C136" s="28" t="str">
        <x:v>DOC-SLE-WC-2026</x:v>
      </x:c>
      <x:c r="D136" s="28" t="str">
        <x:v>Primary Evidence</x:v>
      </x:c>
      <x:c r="E136" s="28" t="str">
        <x:v>Text Span</x:v>
      </x:c>
      <x:c r="F136" s="28" t="str"/>
      <x:c r="G136" s="28" t="str">
        <x:v>PDF p. 14, Appendix 1</x:v>
      </x:c>
      <x:c r="H136" s="28" t="n">
        <x:v>14</x:v>
      </x:c>
      <x:c r="I136" s="28" t="n">
        <x:v>14</x:v>
      </x:c>
      <x:c r="J136" s="28" t="n">
        <x:v>14</x:v>
      </x:c>
      <x:c r="K136" s="28" t="str">
        <x:v>14</x:v>
      </x:c>
      <x:c r="L136" s="28" t="str">
        <x:v>Programmatic outlook</x:v>
      </x:c>
      <x:c r="M136" s="28" t="str">
        <x:v>(ii) Strengthening water planning, budgeting and monitoring and performance reporting at the Local Council level</x:v>
      </x:c>
      <x:c r="N136" s="28" t="str">
        <x:v>ii strengthen water plann budget and monitor and performance report at the local council level</x:v>
      </x:c>
      <x:c r="O136" s="28" t="str">
        <x:v>e968b0b14359f45a0399bb612cfa19940e8c51bba21459aaba8b07e7812e1972</x:v>
      </x:c>
      <x:c r="P136" s="28" t="str"/>
      <x:c r="Q136" s="28" t="str"/>
      <x:c r="R136" s="28" t="str">
        <x:v>[[2653,2716],[2733,2781]]</x:v>
      </x:c>
      <x:c r="S136" s="28" t="str">
        <x:v>Fuzzy spatial line-cluster match</x:v>
      </x:c>
      <x:c r="T136" s="28" t="str">
        <x:v>Original Compact Text</x:v>
      </x:c>
      <x:c r="U136" s="28" t="str">
        <x:v>Council planning and performance reporting</x:v>
      </x:c>
      <x:c r="V136" s="28" t="n">
        <x:v>0.803119</x:v>
      </x:c>
      <x:c r="W136" s="28" t="n">
        <x:v>0.834835</x:v>
      </x:c>
      <x:c r="X136" s="28" t="n">
        <x:v>0.716495</x:v>
      </x:c>
      <x:c r="Y136" s="28" t="n">
        <x:v>1</x:v>
      </x:c>
      <x:c r="Z136" s="28" t="n">
        <x:v>0.461538</x:v>
      </x:c>
      <x:c r="AA136" s="28" t="str">
        <x:v>High</x:v>
      </x:c>
      <x:c r="AB136" s="28" t="str">
        <x:v>Pass</x:v>
      </x:c>
      <x:c r="AC136" s="28" t="str">
        <x:v>Pending human review</x:v>
      </x:c>
      <x:c r="AD136" s="28" t="str"/>
      <x:c r="AE136" s="28" t="n">
        <x:v>46238.87231481481</x:v>
      </x:c>
    </x:row>
    <x:row r="137" ht="60" customHeight="1">
      <x:c r="A137" s="28" t="str">
        <x:v>ANC-SLE-014-01</x:v>
      </x:c>
      <x:c r="B137" s="28" t="str">
        <x:v>SLE-014</x:v>
      </x:c>
      <x:c r="C137" s="28" t="str">
        <x:v>DOC-SLE-WC-2026</x:v>
      </x:c>
      <x:c r="D137" s="28" t="str">
        <x:v>Primary Evidence</x:v>
      </x:c>
      <x:c r="E137" s="28" t="str">
        <x:v>Text Span</x:v>
      </x:c>
      <x:c r="F137" s="28" t="str"/>
      <x:c r="G137" s="28" t="str">
        <x:v>PDF pp. 14–15, Appendix 1</x:v>
      </x:c>
      <x:c r="H137" s="28" t="n">
        <x:v>14</x:v>
      </x:c>
      <x:c r="I137" s="28" t="n">
        <x:v>15</x:v>
      </x:c>
      <x:c r="J137" s="28" t="n">
        <x:v>14</x:v>
      </x:c>
      <x:c r="K137" s="28" t="str">
        <x:v>14</x:v>
      </x:c>
      <x:c r="L137" s="28" t="str">
        <x:v>Programmatic outlook</x:v>
      </x:c>
      <x:c r="M137" s="28" t="str">
        <x:v>(i) Mainstream asset management planning to inform planning on replacement/major rehabilitation of water facilities</x:v>
      </x:c>
      <x:c r="N137" s="28" t="str">
        <x:v>i mainstream asset management plann to inform plann on replacementmajor rehabilitation of water facility</x:v>
      </x:c>
      <x:c r="O137" s="28" t="str">
        <x:v>dda5665349426a85f4d7d0294ed5e6d4a45923721579450e2fc4b04913b862b0</x:v>
      </x:c>
      <x:c r="P137" s="28" t="str"/>
      <x:c r="Q137" s="28" t="str"/>
      <x:c r="R137" s="28" t="str">
        <x:v>[[2989,3051],[3074,3126]]</x:v>
      </x:c>
      <x:c r="S137" s="28" t="str">
        <x:v>Exact spatial line-cluster phrase</x:v>
      </x:c>
      <x:c r="T137" s="28" t="str">
        <x:v>Verified PDF locator hint</x:v>
      </x:c>
      <x:c r="U137" s="28" t="str">
        <x:v>Mainstream asset management planning to inform planning on replacement/major rehabilitation of water facilities</x:v>
      </x:c>
      <x:c r="V137" s="28" t="n">
        <x:v>0.999</x:v>
      </x:c>
      <x:c r="W137" s="28" t="n">
        <x:v>1</x:v>
      </x:c>
      <x:c r="X137" s="28" t="n">
        <x:v>1</x:v>
      </x:c>
      <x:c r="Y137" s="28" t="n">
        <x:v>1</x:v>
      </x:c>
      <x:c r="Z137" s="28" t="n">
        <x:v>0.990291</x:v>
      </x:c>
      <x:c r="AA137" s="28" t="str">
        <x:v>High</x:v>
      </x:c>
      <x:c r="AB137" s="28" t="str">
        <x:v>Pass</x:v>
      </x:c>
      <x:c r="AC137" s="28" t="str">
        <x:v>Pending human review</x:v>
      </x:c>
      <x:c r="AD137" s="28" t="str"/>
      <x:c r="AE137" s="28" t="n">
        <x:v>46238.87231481481</x:v>
      </x:c>
    </x:row>
    <x:row r="138" ht="60" customHeight="1">
      <x:c r="A138" s="28" t="str">
        <x:v>ANC-SLE-015-01</x:v>
      </x:c>
      <x:c r="B138" s="28" t="str">
        <x:v>SLE-015</x:v>
      </x:c>
      <x:c r="C138" s="28" t="str">
        <x:v>DOC-SLE-WC-2026</x:v>
      </x:c>
      <x:c r="D138" s="28" t="str">
        <x:v>Primary Evidence</x:v>
      </x:c>
      <x:c r="E138" s="28" t="str">
        <x:v>Text Span</x:v>
      </x:c>
      <x:c r="F138" s="28" t="str"/>
      <x:c r="G138" s="28" t="str">
        <x:v>PDF p. 15, Appendix 1</x:v>
      </x:c>
      <x:c r="H138" s="28" t="n">
        <x:v>15</x:v>
      </x:c>
      <x:c r="I138" s="28" t="n">
        <x:v>15</x:v>
      </x:c>
      <x:c r="J138" s="28" t="n">
        <x:v>15</x:v>
      </x:c>
      <x:c r="K138" s="28" t="str">
        <x:v>15</x:v>
      </x:c>
      <x:c r="L138" s="28" t="str">
        <x:v>Programmatic outlook</x:v>
      </x:c>
      <x:c r="M138" s="28" t="str">
        <x:v>Enforce the one-year post-implementation support on all projects 0.10 0.10 0.00 0.02 0.02 0.02 0.02 0.02 facilities (3) develop and (iv)Develop and implement a water safety planning in line with the operationalize a national drinking water management framework 0.40 0.40 0.00 0.10 0.10 0.10 0.10 0.00 nationwide water safety planning Basic Sanitation &amp; (1) Promote safe (i) Implementation and Scaling Up of CLTS &amp; Urban CLTS to eliminate Hygiene Service sanitation and hygiene ODF and</x:v>
      </x:c>
      <x:c r="N138" s="28" t="str">
        <x:v>enforce the oneyear postimplementation support on all project 0 10 0 10 0 00 0 02 0 02 0 02 0 02 0 02 facility 3 develop and iv develop and implement a water safety plann in line with the operationalize a national drink water management framework 0 40 0 40 0 00 0 10 0 10 0 10 0 10 0 00 nationwide water safety plann basic sanitation 1 promote safe i implementation and scal up of clts urban clts to eliminate hygiene service sanitation and hygiene odf and</x:v>
      </x:c>
      <x:c r="O138" s="28" t="str">
        <x:v>4e8cf1b68bff93dc3c77c95a708b01dd213e643fcd7fe3ae6bbad0b241da1579</x:v>
      </x:c>
      <x:c r="P138" s="28" t="str"/>
      <x:c r="Q138" s="28" t="str"/>
      <x:c r="R138" s="28" t="str">
        <x:v>[[325,389],[390,394],[395,399],[400,404],[405,409],[410,414],[415,419],[420,424],[425,429],[430,440],[441,456],[457,523],[524,540],[541,585],[586,590],[591,595],[596,600],[601,605],[606,610],[611,615],[616,620],[621,625],[626,649],[650,658],[659,677],[678,694],[695,762],[763,778],[779,801],[802,809]]</x:v>
      </x:c>
      <x:c r="S138" s="28" t="str">
        <x:v>Fuzzy token-window match</x:v>
      </x:c>
      <x:c r="T138" s="28" t="str">
        <x:v>Original Compact Text</x:v>
      </x:c>
      <x:c r="U138" s="28" t="str">
        <x:v>Enforce post-implementation support</x:v>
      </x:c>
      <x:c r="V138" s="28" t="n">
        <x:v>0.952022</x:v>
      </x:c>
      <x:c r="W138" s="28" t="n">
        <x:v>0.949955</x:v>
      </x:c>
      <x:c r="X138" s="28" t="n">
        <x:v>0.904679</x:v>
      </x:c>
      <x:c r="Y138" s="28" t="n">
        <x:v>1</x:v>
      </x:c>
      <x:c r="Z138" s="28" t="n">
        <x:v>0.85</x:v>
      </x:c>
      <x:c r="AA138" s="28" t="str">
        <x:v>High</x:v>
      </x:c>
      <x:c r="AB138" s="28" t="str">
        <x:v>Pass</x:v>
      </x:c>
      <x:c r="AC138" s="28" t="str">
        <x:v>Pending human review</x:v>
      </x:c>
      <x:c r="AD138" s="28" t="str"/>
      <x:c r="AE138" s="28" t="n">
        <x:v>46238.87231481481</x:v>
      </x:c>
    </x:row>
    <x:row r="139" ht="60" customHeight="1">
      <x:c r="A139" s="28" t="str">
        <x:v>ANC-SLE-016-01</x:v>
      </x:c>
      <x:c r="B139" s="28" t="str">
        <x:v>SLE-016</x:v>
      </x:c>
      <x:c r="C139" s="28" t="str">
        <x:v>DOC-SLE-WC-2026</x:v>
      </x:c>
      <x:c r="D139" s="28" t="str">
        <x:v>Primary Evidence</x:v>
      </x:c>
      <x:c r="E139" s="28" t="str">
        <x:v>Text Span</x:v>
      </x:c>
      <x:c r="F139" s="28" t="str"/>
      <x:c r="G139" s="28" t="str">
        <x:v>PDF p. 15, Appendix 1</x:v>
      </x:c>
      <x:c r="H139" s="28" t="n">
        <x:v>15</x:v>
      </x:c>
      <x:c r="I139" s="28" t="n">
        <x:v>15</x:v>
      </x:c>
      <x:c r="J139" s="28" t="n">
        <x:v>15</x:v>
      </x:c>
      <x:c r="K139" s="28" t="str">
        <x:v>15</x:v>
      </x:c>
      <x:c r="L139" s="28" t="str">
        <x:v>Programmatic outlook</x:v>
      </x:c>
      <x:c r="M139" s="28" t="str">
        <x:v>operationalize a nationwide water safety planning</x:v>
      </x:c>
      <x:c r="N139" s="28" t="str">
        <x:v>operationalize a nationwide water safety plann</x:v>
      </x:c>
      <x:c r="O139" s="28" t="str">
        <x:v>84c1fcf6c83e11efc4f92271ce4d9d6ac0f47006415fa9dbbe3bb9f1e7371038</x:v>
      </x:c>
      <x:c r="P139" s="28" t="str"/>
      <x:c r="Q139" s="28" t="str"/>
      <x:c r="R139" s="28" t="str">
        <x:v>[[524,540],[626,649],[650,658]]</x:v>
      </x:c>
      <x:c r="S139" s="28" t="str">
        <x:v>Fuzzy spatial line-cluster match</x:v>
      </x:c>
      <x:c r="T139" s="28" t="str">
        <x:v>Standardized Candidate</x:v>
      </x:c>
      <x:c r="U139" s="28" t="str">
        <x:v>Develop and operationalize nationwide water-safety planning</x:v>
      </x:c>
      <x:c r="V139" s="28" t="n">
        <x:v>0.775679</x:v>
      </x:c>
      <x:c r="W139" s="28" t="n">
        <x:v>0.80834</x:v>
      </x:c>
      <x:c r="X139" s="28" t="n">
        <x:v>0.90161</x:v>
      </x:c>
      <x:c r="Y139" s="28" t="n">
        <x:v>0.732558</x:v>
      </x:c>
      <x:c r="Z139" s="28" t="n">
        <x:v>0.851485</x:v>
      </x:c>
      <x:c r="AA139" s="28" t="str">
        <x:v>High</x:v>
      </x:c>
      <x:c r="AB139" s="28" t="str">
        <x:v>Pass</x:v>
      </x:c>
      <x:c r="AC139" s="28" t="str">
        <x:v>Pending human review</x:v>
      </x:c>
      <x:c r="AD139" s="28" t="str"/>
      <x:c r="AE139" s="28" t="n">
        <x:v>46238.87231481481</x:v>
      </x:c>
    </x:row>
    <x:row r="140" ht="60" customHeight="1">
      <x:c r="A140" s="28" t="str">
        <x:v>ANC-SLE-017-01</x:v>
      </x:c>
      <x:c r="B140" s="28" t="str">
        <x:v>SLE-017</x:v>
      </x:c>
      <x:c r="C140" s="28" t="str">
        <x:v>DOC-SLE-WC-2026</x:v>
      </x:c>
      <x:c r="D140" s="28" t="str">
        <x:v>Primary Evidence</x:v>
      </x:c>
      <x:c r="E140" s="28" t="str">
        <x:v>Text Span</x:v>
      </x:c>
      <x:c r="F140" s="28" t="str"/>
      <x:c r="G140" s="28" t="str">
        <x:v>PDF p. 15, Appendix 1</x:v>
      </x:c>
      <x:c r="H140" s="28" t="n">
        <x:v>15</x:v>
      </x:c>
      <x:c r="I140" s="28" t="n">
        <x:v>15</x:v>
      </x:c>
      <x:c r="J140" s="28" t="n">
        <x:v>15</x:v>
      </x:c>
      <x:c r="K140" s="28" t="str">
        <x:v>15</x:v>
      </x:c>
      <x:c r="L140" s="28" t="str">
        <x:v>Programmatic outlook</x:v>
      </x:c>
      <x:c r="M140" s="28" t="str">
        <x:v>(ii) Assess, adopt and implement a framework for PPP on hand washing 5.00 5.00 0.00 1.00 1.00 1.00 1.00 1.00 with soap (iii)Monitor implementation of the PPP framework on handwashing with soap at the local council and Chiefdom level.</x:v>
      </x:c>
      <x:c r="N140" s="28" t="str">
        <x:v>ii assess adopt and implement a framework for ppp on hand wash 5 00 5 00 0 00 1 00 1 00 1 00 1 00 1 00 with soap iii monitor implementation of the ppp framework on handwash with soap at the local council and chiefdom level</x:v>
      </x:c>
      <x:c r="O140" s="28" t="str">
        <x:v>0c83c65a28b360752c5506bca85f183e0392f5bb58d51fa2259337f1f36f3c4c</x:v>
      </x:c>
      <x:c r="P140" s="28" t="str"/>
      <x:c r="Q140" s="28" t="str"/>
      <x:c r="R140" s="28" t="str">
        <x:v>[[1190,1258],[1269,1273],[1274,1278],[1279,1283],[1284,1288],[1289,1293],[1294,1298],[1299,1303],[1304,1308],[1259,1268],[1309,1377],[1378,1423]]</x:v>
      </x:c>
      <x:c r="S140" s="28" t="str">
        <x:v>Fuzzy token-window match</x:v>
      </x:c>
      <x:c r="T140" s="28" t="str">
        <x:v>Original Compact Text</x:v>
      </x:c>
      <x:c r="U140" s="28" t="str">
        <x:v>PPP framework for handwashing</x:v>
      </x:c>
      <x:c r="V140" s="28" t="n">
        <x:v>0.999</x:v>
      </x:c>
      <x:c r="W140" s="28" t="n">
        <x:v>1</x:v>
      </x:c>
      <x:c r="X140" s="28" t="n">
        <x:v>1</x:v>
      </x:c>
      <x:c r="Y140" s="28" t="n">
        <x:v>1</x:v>
      </x:c>
      <x:c r="Z140" s="28" t="n">
        <x:v>0.941176</x:v>
      </x:c>
      <x:c r="AA140" s="28" t="str">
        <x:v>High</x:v>
      </x:c>
      <x:c r="AB140" s="28" t="str">
        <x:v>Pass</x:v>
      </x:c>
      <x:c r="AC140" s="28" t="str">
        <x:v>Pending human review</x:v>
      </x:c>
      <x:c r="AD140" s="28" t="str"/>
      <x:c r="AE140" s="28" t="n">
        <x:v>46238.87231481481</x:v>
      </x:c>
    </x:row>
    <x:row r="141" ht="60" customHeight="1">
      <x:c r="A141" s="28" t="str">
        <x:v>ANC-SLE-018-01</x:v>
      </x:c>
      <x:c r="B141" s="28" t="str">
        <x:v>SLE-018</x:v>
      </x:c>
      <x:c r="C141" s="28" t="str">
        <x:v>DOC-SLE-WC-2026</x:v>
      </x:c>
      <x:c r="D141" s="28" t="str">
        <x:v>Primary Evidence</x:v>
      </x:c>
      <x:c r="E141" s="28" t="str">
        <x:v>Text Span</x:v>
      </x:c>
      <x:c r="F141" s="28" t="str"/>
      <x:c r="G141" s="28" t="str">
        <x:v>PDF p. 15, Appendix 1</x:v>
      </x:c>
      <x:c r="H141" s="28" t="n">
        <x:v>15</x:v>
      </x:c>
      <x:c r="I141" s="28" t="n">
        <x:v>15</x:v>
      </x:c>
      <x:c r="J141" s="28" t="n">
        <x:v>15</x:v>
      </x:c>
      <x:c r="K141" s="28" t="str">
        <x:v>15</x:v>
      </x:c>
      <x:c r="L141" s="28" t="str">
        <x:v>Programmatic outlook</x:v>
      </x:c>
      <x:c r="M141" s="28" t="str">
        <x:v>(i) Review of policies, solid waste situational analysis and plan for solid waste management</x:v>
      </x:c>
      <x:c r="N141" s="28" t="str">
        <x:v>i review of policy solid waste situational analysi and plan for solid waste management</x:v>
      </x:c>
      <x:c r="O141" s="28" t="str">
        <x:v>11e97f3c671b893936267c4f3a4e4ba6e7de6bcfa234b73ec374082191a566b9</x:v>
      </x:c>
      <x:c r="P141" s="28" t="str"/>
      <x:c r="Q141" s="28" t="str"/>
      <x:c r="R141" s="28" t="str">
        <x:v>[[1748,1823],[1835,1851]]</x:v>
      </x:c>
      <x:c r="S141" s="28" t="str">
        <x:v>Exact spatial line-cluster phrase</x:v>
      </x:c>
      <x:c r="T141" s="28" t="str">
        <x:v>Verified PDF locator hint</x:v>
      </x:c>
      <x:c r="U141" s="28" t="str">
        <x:v>Review of policies, solid waste situational analysis and plan for solid waste management</x:v>
      </x:c>
      <x:c r="V141" s="28" t="n">
        <x:v>0.999</x:v>
      </x:c>
      <x:c r="W141" s="28" t="n">
        <x:v>1</x:v>
      </x:c>
      <x:c r="X141" s="28" t="n">
        <x:v>1</x:v>
      </x:c>
      <x:c r="Y141" s="28" t="n">
        <x:v>1</x:v>
      </x:c>
      <x:c r="Z141" s="28" t="n">
        <x:v>0.988235</x:v>
      </x:c>
      <x:c r="AA141" s="28" t="str">
        <x:v>High</x:v>
      </x:c>
      <x:c r="AB141" s="28" t="str">
        <x:v>Pass</x:v>
      </x:c>
      <x:c r="AC141" s="28" t="str">
        <x:v>Pending human review</x:v>
      </x:c>
      <x:c r="AD141" s="28" t="str"/>
      <x:c r="AE141" s="28" t="n">
        <x:v>46238.87231481481</x:v>
      </x:c>
    </x:row>
    <x:row r="142" ht="60" customHeight="1">
      <x:c r="A142" s="28" t="str">
        <x:v>ANC-SLE-019-01</x:v>
      </x:c>
      <x:c r="B142" s="28" t="str">
        <x:v>SLE-019</x:v>
      </x:c>
      <x:c r="C142" s="28" t="str">
        <x:v>DOC-SLE-WC-2026</x:v>
      </x:c>
      <x:c r="D142" s="28" t="str">
        <x:v>Primary Evidence</x:v>
      </x:c>
      <x:c r="E142" s="28" t="str">
        <x:v>Text Span</x:v>
      </x:c>
      <x:c r="F142" s="28" t="str"/>
      <x:c r="G142" s="28" t="str">
        <x:v>PDF p. 15, Appendix 1</x:v>
      </x:c>
      <x:c r="H142" s="28" t="n">
        <x:v>15</x:v>
      </x:c>
      <x:c r="I142" s="28" t="n">
        <x:v>15</x:v>
      </x:c>
      <x:c r="J142" s="28" t="n">
        <x:v>15</x:v>
      </x:c>
      <x:c r="K142" s="28" t="str">
        <x:v>15</x:v>
      </x:c>
      <x:c r="L142" s="28" t="str">
        <x:v>Programmatic outlook</x:v>
      </x:c>
      <x:c r="M142" s="28" t="str">
        <x:v>(i) Assess and review existing water use and groundwater drilling regulations</x:v>
      </x:c>
      <x:c r="N142" s="28" t="str">
        <x:v>i assess and review exist water use and groundwater drill regulation</x:v>
      </x:c>
      <x:c r="O142" s="28" t="str">
        <x:v>936d0bfa49726e859cb1b1d3b614ad3135176363dcdf41e5ad79f357fabc864f</x:v>
      </x:c>
      <x:c r="P142" s="28" t="str"/>
      <x:c r="Q142" s="28" t="str"/>
      <x:c r="R142" s="28" t="str">
        <x:v>[[2403,2468],[2507,2518]]</x:v>
      </x:c>
      <x:c r="S142" s="28" t="str">
        <x:v>Fuzzy spatial line-cluster match</x:v>
      </x:c>
      <x:c r="T142" s="28" t="str">
        <x:v>Original Compact Text</x:v>
      </x:c>
      <x:c r="U142" s="28" t="str">
        <x:v>Review water-use and drilling regulations</x:v>
      </x:c>
      <x:c r="V142" s="28" t="n">
        <x:v>0.683627</x:v>
      </x:c>
      <x:c r="W142" s="28" t="n">
        <x:v>0.689189</x:v>
      </x:c>
      <x:c r="X142" s="28" t="n">
        <x:v>0.649682</x:v>
      </x:c>
      <x:c r="Y142" s="28" t="n">
        <x:v>0.733813</x:v>
      </x:c>
      <x:c r="Z142" s="28" t="n">
        <x:v>0.692308</x:v>
      </x:c>
      <x:c r="AA142" s="28" t="str">
        <x:v>Medium</x:v>
      </x:c>
      <x:c r="AB142" s="28" t="str">
        <x:v>Pass</x:v>
      </x:c>
      <x:c r="AC142" s="28" t="str">
        <x:v>Pending human review</x:v>
      </x:c>
      <x:c r="AD142" s="28" t="str"/>
      <x:c r="AE142" s="28" t="n">
        <x:v>46238.87231481481</x:v>
      </x:c>
    </x:row>
    <x:row r="143" ht="60" customHeight="1">
      <x:c r="A143" s="28" t="str">
        <x:v>ANC-SLE-020-01</x:v>
      </x:c>
      <x:c r="B143" s="28" t="str">
        <x:v>SLE-020</x:v>
      </x:c>
      <x:c r="C143" s="28" t="str">
        <x:v>DOC-SLE-WC-2026</x:v>
      </x:c>
      <x:c r="D143" s="28" t="str">
        <x:v>Primary Evidence</x:v>
      </x:c>
      <x:c r="E143" s="28" t="str">
        <x:v>Text Span</x:v>
      </x:c>
      <x:c r="F143" s="28" t="str"/>
      <x:c r="G143" s="28" t="str">
        <x:v>PDF p. 15, Appendix 1</x:v>
      </x:c>
      <x:c r="H143" s="28" t="n">
        <x:v>15</x:v>
      </x:c>
      <x:c r="I143" s="28" t="n">
        <x:v>15</x:v>
      </x:c>
      <x:c r="J143" s="28" t="n">
        <x:v>15</x:v>
      </x:c>
      <x:c r="K143" s="28" t="str">
        <x:v>15</x:v>
      </x:c>
      <x:c r="L143" s="28" t="str">
        <x:v>Programmatic outlook</x:v>
      </x:c>
      <x:c r="M143" s="28" t="str">
        <x:v>(ii) Provide capacity building support to NWRMA and EPA to monitor and enforce permit conditions on raw water</x:v>
      </x:c>
      <x:c r="N143" s="28" t="str">
        <x:v>ii provide capacity build support to nwrma and epa to monitor and enforce permit condition on raw water</x:v>
      </x:c>
      <x:c r="O143" s="28" t="str">
        <x:v>bcf70087974d9464ecfafc28f8e91a3717fd72c921a217fc0a551488b2a638c0</x:v>
      </x:c>
      <x:c r="P143" s="28" t="str"/>
      <x:c r="Q143" s="28" t="str"/>
      <x:c r="R143" s="28" t="str">
        <x:v>[[2578,2648],[2649,2687]]</x:v>
      </x:c>
      <x:c r="S143" s="28" t="str">
        <x:v>Exact spatial line-cluster phrase</x:v>
      </x:c>
      <x:c r="T143" s="28" t="str">
        <x:v>Verified PDF locator hint</x:v>
      </x:c>
      <x:c r="U143" s="28" t="str">
        <x:v>Provide capacity building support to NWRMA and EPA to monitor and enforce permit conditions on raw water</x:v>
      </x:c>
      <x:c r="V143" s="28" t="n">
        <x:v>0.999</x:v>
      </x:c>
      <x:c r="W143" s="28" t="n">
        <x:v>1</x:v>
      </x:c>
      <x:c r="X143" s="28" t="n">
        <x:v>1</x:v>
      </x:c>
      <x:c r="Y143" s="28" t="n">
        <x:v>1</x:v>
      </x:c>
      <x:c r="Z143" s="28" t="n">
        <x:v>0.985222</x:v>
      </x:c>
      <x:c r="AA143" s="28" t="str">
        <x:v>High</x:v>
      </x:c>
      <x:c r="AB143" s="28" t="str">
        <x:v>Pass</x:v>
      </x:c>
      <x:c r="AC143" s="28" t="str">
        <x:v>Pending human review</x:v>
      </x:c>
      <x:c r="AD143" s="28" t="str"/>
      <x:c r="AE143" s="28" t="n">
        <x:v>46238.87231481481</x:v>
      </x:c>
    </x:row>
    <x:row r="144" ht="60" customHeight="1">
      <x:c r="A144" s="28" t="str">
        <x:v>ANC-SLE-021-01</x:v>
      </x:c>
      <x:c r="B144" s="28" t="str">
        <x:v>SLE-021</x:v>
      </x:c>
      <x:c r="C144" s="28" t="str">
        <x:v>DOC-SLE-WC-2026</x:v>
      </x:c>
      <x:c r="D144" s="28" t="str">
        <x:v>Primary Evidence</x:v>
      </x:c>
      <x:c r="E144" s="28" t="str">
        <x:v>Text Span</x:v>
      </x:c>
      <x:c r="F144" s="28" t="str"/>
      <x:c r="G144" s="28" t="str">
        <x:v>PDF p. 15, Appendix 1</x:v>
      </x:c>
      <x:c r="H144" s="28" t="n">
        <x:v>15</x:v>
      </x:c>
      <x:c r="I144" s="28" t="n">
        <x:v>15</x:v>
      </x:c>
      <x:c r="J144" s="28" t="n">
        <x:v>15</x:v>
      </x:c>
      <x:c r="K144" s="28" t="str">
        <x:v>15</x:v>
      </x:c>
      <x:c r="L144" s="28" t="str">
        <x:v>Programmatic outlook</x:v>
      </x:c>
      <x:c r="M144" s="28" t="str">
        <x:v>1.50 reduction, re-use, recycling, and recovery as well as cost-recovery CROSS-CUTTING INTERVENTIONS Water Resources (1)Enhance the (i) Assess and review existing water use and groundwater drilling 0.80 0.80 0.00 0.40 0.40 0.00 0.00 0.00 Management implementation of existing regulations regulations on WRM (ii) Provide capacity building support to NWRMA and EPA to monitor and 0.60 0.60 0.00 0.30 0.30 0.00 0.00 0.00 enforce permit conditions on raw water (iii) Establishment of a Dam Safety Unit</x:v>
      </x:c>
      <x:c r="N144" s="28" t="str">
        <x:v>1 50 reduction reuse recycl and recovery as well as costrecovery crosscutt intervention water resource 1 enhance the i assess and review exist water use and groundwater drill 0 80 0 80 0 00 0 40 0 40 0 00 0 00 0 00 management implementation of exist regulation regulation on wrm ii provide capacity build support to nwrma and epa to monitor and 0 60 0 60 0 00 0 30 0 30 0 00 0 00 0 00 enforce permit condition on raw water iii establishment of a dam safety unit</x:v>
      </x:c>
      <x:c r="O144" s="28" t="str">
        <x:v>3ba409b9b8641fcd030dd01ae1e319e97f2f28622677a4a93a4fbffa73d27ee1</x:v>
      </x:c>
      <x:c r="P144" s="28" t="str"/>
      <x:c r="Q144" s="28" t="str"/>
      <x:c r="R144" s="28" t="str">
        <x:v>[[2271,2275],[2276,2343],[2344,2357],[2358,2371],[2372,2387],[2388,2402],[2403,2468],[2519,2523],[2524,2528],[2529,2533],[2534,2538],[2539,2543],[2544,2548],[2549,2553],[2554,2558],[2469,2479],[2480,2506],[2507,2518],[2559,2577],[2578,2648],[2688,2692],[2693,2697],[2698,2702],[2703,2707],[2708,2712],[2713,2717],[2718,2722],[2723,2727],[2649,2687],[2728,2768]]</x:v>
      </x:c>
      <x:c r="S144" s="28" t="str">
        <x:v>Fuzzy token-window match</x:v>
      </x:c>
      <x:c r="T144" s="28" t="str">
        <x:v>Original Compact Text</x:v>
      </x:c>
      <x:c r="U144" s="28" t="str">
        <x:v>Establish Dam Safety Unit</x:v>
      </x:c>
      <x:c r="V144" s="28" t="n">
        <x:v>0.999</x:v>
      </x:c>
      <x:c r="W144" s="28" t="n">
        <x:v>1</x:v>
      </x:c>
      <x:c r="X144" s="28" t="n">
        <x:v>1</x:v>
      </x:c>
      <x:c r="Y144" s="28" t="n">
        <x:v>1</x:v>
      </x:c>
      <x:c r="Z144" s="28" t="n">
        <x:v>0.809524</x:v>
      </x:c>
      <x:c r="AA144" s="28" t="str">
        <x:v>High</x:v>
      </x:c>
      <x:c r="AB144" s="28" t="str">
        <x:v>Pass</x:v>
      </x:c>
      <x:c r="AC144" s="28" t="str">
        <x:v>Pending human review</x:v>
      </x:c>
      <x:c r="AD144" s="28" t="str"/>
      <x:c r="AE144" s="28" t="n">
        <x:v>46238.87231481481</x:v>
      </x:c>
    </x:row>
    <x:row r="145" ht="60" customHeight="1">
      <x:c r="A145" s="28" t="str">
        <x:v>ANC-SLE-022-01</x:v>
      </x:c>
      <x:c r="B145" s="28" t="str">
        <x:v>SLE-022</x:v>
      </x:c>
      <x:c r="C145" s="28" t="str">
        <x:v>DOC-SLE-WC-2026</x:v>
      </x:c>
      <x:c r="D145" s="28" t="str">
        <x:v>Primary Evidence</x:v>
      </x:c>
      <x:c r="E145" s="28" t="str">
        <x:v>Text Span</x:v>
      </x:c>
      <x:c r="F145" s="28" t="str"/>
      <x:c r="G145" s="28" t="str">
        <x:v>PDF p. 15, Appendix 1</x:v>
      </x:c>
      <x:c r="H145" s="28" t="n">
        <x:v>15</x:v>
      </x:c>
      <x:c r="I145" s="28" t="n">
        <x:v>15</x:v>
      </x:c>
      <x:c r="J145" s="28" t="n">
        <x:v>15</x:v>
      </x:c>
      <x:c r="K145" s="28" t="str">
        <x:v>15</x:v>
      </x:c>
      <x:c r="L145" s="28" t="str">
        <x:v>Programmatic outlook</x:v>
      </x:c>
      <x:c r="M145" s="28" t="str">
        <x:v>Resources (1)Enhance the (i) Assess and review existing water use and groundwater drilling 0.80 0.80 0.00 0.40 0.40 0.00 0.00 0.00 Management implementation of existing regulations regulations on WRM (ii) Provide capacity building support to NWRMA and EPA to monitor and 0.60 0.60 0.00 0.30 0.30 0.00 0.00 0.00 enforce permit conditions on raw water (iii) Establishment of a Dam Safety Unit 2.20 2.20 0.00 2.00 0.20 0.00 0.00 0.00 (iv) Develop guidelines and regulations</x:v>
      </x:c>
      <x:c r="N145" s="28" t="str">
        <x:v>resource 1 enhance the i assess and review exist water use and groundwater drill 0 80 0 80 0 00 0 40 0 40 0 00 0 00 0 00 management implementation of exist regulation regulation on wrm ii provide capacity build support to nwrma and epa to monitor and 0 60 0 60 0 00 0 30 0 30 0 00 0 00 0 00 enforce permit condition on raw water iii establishment of a dam safety unit 2 20 2 20 0 00 2 00 0 20 0 00 0 00 0 00 iv develop guideline and regulation</x:v>
      </x:c>
      <x:c r="O145" s="28" t="str">
        <x:v>2bc0d715e80684135554cd8905c30eed8a3c5a8d76fe66d421ff6e97fd2f5ac9</x:v>
      </x:c>
      <x:c r="P145" s="28" t="str"/>
      <x:c r="Q145" s="28" t="str"/>
      <x:c r="R145" s="28" t="str">
        <x:v>[[2378,2387],[2388,2402],[2403,2468],[2519,2523],[2524,2528],[2529,2533],[2534,2538],[2539,2543],[2544,2548],[2549,2553],[2554,2558],[2469,2479],[2480,2506],[2507,2518],[2559,2577],[2578,2648],[2688,2692],[2693,2697],[2698,2702],[2703,2707],[2708,2712],[2713,2717],[2718,2722],[2723,2727],[2649,2687],[2728,2768],[2769,2773],[2774,2778],[2779,2783],[2784,2788],[2789,2793],[2794,2798],[2799,2803],[2804,2808],[2809,2848]]</x:v>
      </x:c>
      <x:c r="S145" s="28" t="str">
        <x:v>Fuzzy token-window match</x:v>
      </x:c>
      <x:c r="T145" s="28" t="str">
        <x:v>Original Compact Text</x:v>
      </x:c>
      <x:c r="U145" s="28" t="str">
        <x:v>Dam-safety guidelines and regulations</x:v>
      </x:c>
      <x:c r="V145" s="28" t="n">
        <x:v>0.803635</x:v>
      </x:c>
      <x:c r="W145" s="28" t="n">
        <x:v>0.805825</x:v>
      </x:c>
      <x:c r="X145" s="28" t="n">
        <x:v>1</x:v>
      </x:c>
      <x:c r="Y145" s="28" t="n">
        <x:v>0.674797</x:v>
      </x:c>
      <x:c r="Z145" s="28" t="n">
        <x:v>0.818182</x:v>
      </x:c>
      <x:c r="AA145" s="28" t="str">
        <x:v>High</x:v>
      </x:c>
      <x:c r="AB145" s="28" t="str">
        <x:v>Pass</x:v>
      </x:c>
      <x:c r="AC145" s="28" t="str">
        <x:v>Pending human review</x:v>
      </x:c>
      <x:c r="AD145" s="28" t="str"/>
      <x:c r="AE145" s="28" t="n">
        <x:v>46238.87231481481</x:v>
      </x:c>
    </x:row>
    <x:row r="146" ht="60" customHeight="1">
      <x:c r="A146" s="28" t="str">
        <x:v>ANC-SLE-023-01</x:v>
      </x:c>
      <x:c r="B146" s="28" t="str">
        <x:v>SLE-023</x:v>
      </x:c>
      <x:c r="C146" s="28" t="str">
        <x:v>DOC-SLE-WC-2026</x:v>
      </x:c>
      <x:c r="D146" s="28" t="str">
        <x:v>Primary Evidence</x:v>
      </x:c>
      <x:c r="E146" s="28" t="str">
        <x:v>Text Span</x:v>
      </x:c>
      <x:c r="F146" s="28" t="str"/>
      <x:c r="G146" s="28" t="str">
        <x:v>PDF pp. 15–16, Appendix 1</x:v>
      </x:c>
      <x:c r="H146" s="28" t="n">
        <x:v>15</x:v>
      </x:c>
      <x:c r="I146" s="28" t="n">
        <x:v>16</x:v>
      </x:c>
      <x:c r="J146" s="28" t="n">
        <x:v>15</x:v>
      </x:c>
      <x:c r="K146" s="28" t="str">
        <x:v>15</x:v>
      </x:c>
      <x:c r="L146" s="28" t="str">
        <x:v>Programmatic outlook</x:v>
      </x:c>
      <x:c r="M146" s="28" t="str">
        <x:v>WRM (ii) Provide capacity building support to NWRMA and EPA to monitor and 0.60 0.60 0.00 0.30 0.30 0.00 0.00 0.00 enforce permit conditions on raw water (iii) Establishment of a Dam Safety Unit 2.20 2.20 0.00 2.00 0.20 0.00 0.00 0.00 (iv) Develop guidelines and regulations for dam safety (including 0.20 0.20 0.00 0.00 0.00 0.20 0.00 0.00 operating rules for floods and evacuation plans) (v) An effective water resource assessment and monitoring system</x:v>
      </x:c>
      <x:c r="N146" s="28" t="str">
        <x:v>wrm ii provide capacity build support to nwrma and epa to monitor and 0 60 0 60 0 00 0 30 0 30 0 00 0 00 0 00 enforce permit condition on raw water iii establishment of a dam safety unit 2 20 2 20 0 00 2 00 0 20 0 00 0 00 0 00 iv develop guideline and regulation for dam safety includ 0 20 0 20 0 00 0 00 0 00 0 20 0 00 0 00 operat rule for flood and evacuation plan v an effective water resource assessment and monitor system</x:v>
      </x:c>
      <x:c r="O146" s="28" t="str">
        <x:v>6a9c30c682b665a971a5ce3ca9d5bd4fd7cca113075225d3390891e96a1bc5d7</x:v>
      </x:c>
      <x:c r="P146" s="28" t="str"/>
      <x:c r="Q146" s="28" t="str"/>
      <x:c r="R146" s="28" t="str">
        <x:v>[[2574,2577],[2578,2648],[2688,2692],[2693,2697],[2698,2702],[2703,2707],[2708,2712],[2713,2717],[2718,2722],[2723,2727],[2649,2687],[2728,2768],[2769,2773],[2774,2778],[2779,2783],[2784,2788],[2789,2793],[2794,2798],[2799,2803],[2804,2808],[2809,2874],[2924,2928],[2929,2933],[2934,2938],[2939,2943],[2944,2948],[2949,2953],[2954,2958],[2959,2963],[2875,2923],[2964,3028]]</x:v>
      </x:c>
      <x:c r="S146" s="28" t="str">
        <x:v>Fuzzy token-window match</x:v>
      </x:c>
      <x:c r="T146" s="28" t="str">
        <x:v>Original Compact Text</x:v>
      </x:c>
      <x:c r="U146" s="28" t="str">
        <x:v>Water-resource assessment and monitoring system</x:v>
      </x:c>
      <x:c r="V146" s="28" t="n">
        <x:v>0.80094</x:v>
      </x:c>
      <x:c r="W146" s="28" t="n">
        <x:v>0.766637</x:v>
      </x:c>
      <x:c r="X146" s="28" t="n">
        <x:v>0.887064</x:v>
      </x:c>
      <x:c r="Y146" s="28" t="n">
        <x:v>0.675</x:v>
      </x:c>
      <x:c r="Z146" s="28" t="n">
        <x:v>0.938272</x:v>
      </x:c>
      <x:c r="AA146" s="28" t="str">
        <x:v>High</x:v>
      </x:c>
      <x:c r="AB146" s="28" t="str">
        <x:v>Pass</x:v>
      </x:c>
      <x:c r="AC146" s="28" t="str">
        <x:v>Pending human review</x:v>
      </x:c>
      <x:c r="AD146" s="28" t="str"/>
      <x:c r="AE146" s="28" t="n">
        <x:v>46238.87231481481</x:v>
      </x:c>
    </x:row>
    <x:row r="147" ht="60" customHeight="1">
      <x:c r="A147" s="28" t="str">
        <x:v>ANC-SLE-024-01</x:v>
      </x:c>
      <x:c r="B147" s="28" t="str">
        <x:v>SLE-024</x:v>
      </x:c>
      <x:c r="C147" s="28" t="str">
        <x:v>DOC-SLE-WC-2026</x:v>
      </x:c>
      <x:c r="D147" s="28" t="str">
        <x:v>Primary Evidence</x:v>
      </x:c>
      <x:c r="E147" s="28" t="str">
        <x:v>Text Span</x:v>
      </x:c>
      <x:c r="F147" s="28" t="str"/>
      <x:c r="G147" s="28" t="str">
        <x:v>PDF p. 16, Appendix 1</x:v>
      </x:c>
      <x:c r="H147" s="28" t="n">
        <x:v>16</x:v>
      </x:c>
      <x:c r="I147" s="28" t="n">
        <x:v>16</x:v>
      </x:c>
      <x:c r="J147" s="28" t="n">
        <x:v>16</x:v>
      </x:c>
      <x:c r="K147" s="28" t="str">
        <x:v>16</x:v>
      </x:c>
      <x:c r="L147" s="28" t="str">
        <x:v>Programmatic outlook</x:v>
      </x:c>
      <x:c r="M147" s="28" t="str">
        <x:v>Thematic Area Proposed strategy Indicative Activities Total Cost Recurrent Capital Year (US$m) (US$m) (US$m) 2026 2027 2028 2029 2030 (2)Watershed and (i) Prepare national and river basins IWRM plans 5.10 5.10 0.00 1.70 1.70 1.70 0.00 0.00 catchment protected (ii) Establish River Basin Offices and Boards with adequate office against deforestation and 3.25 3.25 0.00 0.00 0.00 1.25 1.00 1.00 accommodation, logistics and budgetary support other human (iii) Facilitate and formulate L.I. environmental problems</x:v>
      </x:c>
      <x:c r="N147" s="28" t="str">
        <x:v>thematic area propos strategy indicative activity total cost recurrent capital year us m us m us m 2026 2027 2028 2029 2030 2 watersh and i prepare national and river basin iwrm plan 5 10 5 10 0 00 1 70 1 70 1 70 0 00 0 00 catchment protect ii establish river basin office and board with adequate office against deforestation and 3 25 3 25 0 00 0 00 0 00 1 25 1 00 1 00 accommodation logistic and budgetary support other human iii facilitate and formulate l i environmental problem</x:v>
      </x:c>
      <x:c r="O147" s="28" t="str">
        <x:v>1d018a46966cd26fafcfceb16f577fb19c90df68bba9bffebab43c1247aacead</x:v>
      </x:c>
      <x:c r="P147" s="28" t="str"/>
      <x:c r="Q147" s="28" t="str"/>
      <x:c r="R147" s="28" t="str">
        <x:v>[[0,13],[14,31],[32,53],[54,64],[65,74],[75,82],[83,87],[88,94],[95,101],[102,108],[109,113],[114,118],[119,123],[124,128],[129,133],[134,150],[151,199],[200,204],[205,209],[210,214],[215,219],[220,224],[225,229],[230,234],[235,239],[240,259],[286,352],[260,285],[353,357],[358,362],[363,367],[368,372],[373,377],[378,382],[383,387],[388,392],[405,451],[393,404],[475,510],[452,474]]</x:v>
      </x:c>
      <x:c r="S147" s="28" t="str">
        <x:v>Fuzzy token-window match</x:v>
      </x:c>
      <x:c r="T147" s="28" t="str">
        <x:v>Original Compact Text</x:v>
      </x:c>
      <x:c r="U147" s="28" t="str">
        <x:v>National and basin IWRM plans</x:v>
      </x:c>
      <x:c r="V147" s="28" t="n">
        <x:v>0.966702</x:v>
      </x:c>
      <x:c r="W147" s="28" t="n">
        <x:v>1</x:v>
      </x:c>
      <x:c r="X147" s="28" t="n">
        <x:v>1</x:v>
      </x:c>
      <x:c r="Y147" s="28" t="n">
        <x:v>1</x:v>
      </x:c>
      <x:c r="Z147" s="28" t="n">
        <x:v>0.697674</x:v>
      </x:c>
      <x:c r="AA147" s="28" t="str">
        <x:v>High</x:v>
      </x:c>
      <x:c r="AB147" s="28" t="str">
        <x:v>Pass</x:v>
      </x:c>
      <x:c r="AC147" s="28" t="str">
        <x:v>Pending human review</x:v>
      </x:c>
      <x:c r="AD147" s="28" t="str"/>
      <x:c r="AE147" s="28" t="n">
        <x:v>46238.87231481481</x:v>
      </x:c>
    </x:row>
    <x:row r="148" ht="60" customHeight="1">
      <x:c r="A148" s="28" t="str">
        <x:v>ANC-SLE-025-01</x:v>
      </x:c>
      <x:c r="B148" s="28" t="str">
        <x:v>SLE-025</x:v>
      </x:c>
      <x:c r="C148" s="28" t="str">
        <x:v>DOC-SLE-WC-2026</x:v>
      </x:c>
      <x:c r="D148" s="28" t="str">
        <x:v>Duplicate/Sub-action Evidence</x:v>
      </x:c>
      <x:c r="E148" s="28" t="str">
        <x:v>Text Span</x:v>
      </x:c>
      <x:c r="F148" s="28" t="str"/>
      <x:c r="G148" s="28" t="str">
        <x:v>PDF p. 16, Appendix 1</x:v>
      </x:c>
      <x:c r="H148" s="28" t="n">
        <x:v>16</x:v>
      </x:c>
      <x:c r="I148" s="28" t="n">
        <x:v>16</x:v>
      </x:c>
      <x:c r="J148" s="28" t="n">
        <x:v>16</x:v>
      </x:c>
      <x:c r="K148" s="28" t="str">
        <x:v>16</x:v>
      </x:c>
      <x:c r="L148" s="28" t="str">
        <x:v>Programmatic outlook</x:v>
      </x:c>
      <x:c r="M148" s="28" t="str">
        <x:v>(ii) Establish River Basin Offices and Boards with adequate office</x:v>
      </x:c>
      <x:c r="N148" s="28" t="str">
        <x:v>ii establish river basin office and board with adequate office</x:v>
      </x:c>
      <x:c r="O148" s="28" t="str">
        <x:v>34d6630f5f3c3946d740732addaf1c3b8cd214494f036330714b88e0582e3937</x:v>
      </x:c>
      <x:c r="P148" s="28" t="n">
        <x:v>286</x:v>
      </x:c>
      <x:c r="Q148" s="28" t="n">
        <x:v>352</x:v>
      </x:c>
      <x:c r="R148" s="28" t="str">
        <x:v>[[286,352]]</x:v>
      </x:c>
      <x:c r="S148" s="28" t="str">
        <x:v>Exact spatial line-cluster phrase</x:v>
      </x:c>
      <x:c r="T148" s="28" t="str">
        <x:v>Original Compact Text</x:v>
      </x:c>
      <x:c r="U148" s="28" t="str">
        <x:v>River Basin Offices and Boards</x:v>
      </x:c>
      <x:c r="V148" s="28" t="n">
        <x:v>0.999</x:v>
      </x:c>
      <x:c r="W148" s="28" t="n">
        <x:v>0.837125</x:v>
      </x:c>
      <x:c r="X148" s="28" t="n">
        <x:v>0.719875</x:v>
      </x:c>
      <x:c r="Y148" s="28" t="n">
        <x:v>1</x:v>
      </x:c>
      <x:c r="Z148" s="28" t="n">
        <x:v>0.622222</x:v>
      </x:c>
      <x:c r="AA148" s="28" t="str">
        <x:v>High</x:v>
      </x:c>
      <x:c r="AB148" s="28" t="str">
        <x:v>Pass</x:v>
      </x:c>
      <x:c r="AC148" s="28" t="str">
        <x:v>Pending human review</x:v>
      </x:c>
      <x:c r="AD148" s="28" t="str"/>
      <x:c r="AE148" s="28" t="n">
        <x:v>46238.87231481481</x:v>
      </x:c>
    </x:row>
    <x:row r="149" ht="60" customHeight="1">
      <x:c r="A149" s="28" t="str">
        <x:v>ANC-SLE-026-01</x:v>
      </x:c>
      <x:c r="B149" s="28" t="str">
        <x:v>SLE-026</x:v>
      </x:c>
      <x:c r="C149" s="28" t="str">
        <x:v>DOC-SLE-WC-2026</x:v>
      </x:c>
      <x:c r="D149" s="28" t="str">
        <x:v>Primary Evidence</x:v>
      </x:c>
      <x:c r="E149" s="28" t="str">
        <x:v>Text Span</x:v>
      </x:c>
      <x:c r="F149" s="28" t="str"/>
      <x:c r="G149" s="28" t="str">
        <x:v>PDF p. 16, Appendix 1</x:v>
      </x:c>
      <x:c r="H149" s="28" t="n">
        <x:v>16</x:v>
      </x:c>
      <x:c r="I149" s="28" t="n">
        <x:v>16</x:v>
      </x:c>
      <x:c r="J149" s="28" t="n">
        <x:v>16</x:v>
      </x:c>
      <x:c r="K149" s="28" t="str">
        <x:v>16</x:v>
      </x:c>
      <x:c r="L149" s="28" t="str">
        <x:v>Programmatic outlook</x:v>
      </x:c>
      <x:c r="M149" s="28" t="str">
        <x:v>(iii) Facilitate and formulate L.I. on buffer zone policy</x:v>
      </x:c>
      <x:c r="N149" s="28" t="str">
        <x:v>iii facilitate and formulate l i on buffer zone policy</x:v>
      </x:c>
      <x:c r="O149" s="28" t="str">
        <x:v>8dd0eb4260846bfb069f43a328e13e892935dea72ebfe27dde6e745f418cc423</x:v>
      </x:c>
      <x:c r="P149" s="28" t="n">
        <x:v>475</x:v>
      </x:c>
      <x:c r="Q149" s="28" t="n">
        <x:v>532</x:v>
      </x:c>
      <x:c r="R149" s="28" t="str">
        <x:v>[[475,532]]</x:v>
      </x:c>
      <x:c r="S149" s="28" t="str">
        <x:v>Fuzzy spatial line-cluster match</x:v>
      </x:c>
      <x:c r="T149" s="28" t="str">
        <x:v>Verified PDF locator hint</x:v>
      </x:c>
      <x:c r="U149" s="28" t="str">
        <x:v>Facilitate and formulate L.I. on buffer zone policy</x:v>
      </x:c>
      <x:c r="V149" s="28" t="n">
        <x:v>0.999</x:v>
      </x:c>
      <x:c r="W149" s="28" t="n">
        <x:v>0.961131</x:v>
      </x:c>
      <x:c r="X149" s="28" t="n">
        <x:v>0.92517</x:v>
      </x:c>
      <x:c r="Y149" s="28" t="n">
        <x:v>1</x:v>
      </x:c>
      <x:c r="Z149" s="28" t="n">
        <x:v>0.951456</x:v>
      </x:c>
      <x:c r="AA149" s="28" t="str">
        <x:v>High</x:v>
      </x:c>
      <x:c r="AB149" s="28" t="str">
        <x:v>Pass</x:v>
      </x:c>
      <x:c r="AC149" s="28" t="str">
        <x:v>Pending human review</x:v>
      </x:c>
      <x:c r="AD149" s="28" t="str"/>
      <x:c r="AE149" s="28" t="n">
        <x:v>46238.87231481481</x:v>
      </x:c>
    </x:row>
    <x:row r="150" ht="60" customHeight="1">
      <x:c r="A150" s="28" t="str">
        <x:v>ANC-SLE-027-01</x:v>
      </x:c>
      <x:c r="B150" s="28" t="str">
        <x:v>SLE-027</x:v>
      </x:c>
      <x:c r="C150" s="28" t="str">
        <x:v>DOC-SLE-WC-2026</x:v>
      </x:c>
      <x:c r="D150" s="28" t="str">
        <x:v>Primary Evidence</x:v>
      </x:c>
      <x:c r="E150" s="28" t="str">
        <x:v>Text Span</x:v>
      </x:c>
      <x:c r="F150" s="28" t="str"/>
      <x:c r="G150" s="28" t="str">
        <x:v>PDF p. 16, Appendix 1</x:v>
      </x:c>
      <x:c r="H150" s="28" t="n">
        <x:v>16</x:v>
      </x:c>
      <x:c r="I150" s="28" t="n">
        <x:v>16</x:v>
      </x:c>
      <x:c r="J150" s="28" t="n">
        <x:v>16</x:v>
      </x:c>
      <x:c r="K150" s="28" t="str">
        <x:v>16</x:v>
      </x:c>
      <x:c r="L150" s="28" t="str">
        <x:v>Programmatic outlook</x:v>
      </x:c>
      <x:c r="M150" s="28" t="str">
        <x:v>(iv)Develop a strategic policy framework for rainwater harvesting</x:v>
      </x:c>
      <x:c r="N150" s="28" t="str">
        <x:v>iv develop a strategic policy framework for rainwater harvest</x:v>
      </x:c>
      <x:c r="O150" s="28" t="str">
        <x:v>20412b5c3fbe77359d0500ecd0ff534a0c5152b3fa1d816d637ea10a749598ff</x:v>
      </x:c>
      <x:c r="P150" s="28" t="n">
        <x:v>573</x:v>
      </x:c>
      <x:c r="Q150" s="28" t="n">
        <x:v>638</x:v>
      </x:c>
      <x:c r="R150" s="28" t="str">
        <x:v>[[573,638]]</x:v>
      </x:c>
      <x:c r="S150" s="28" t="str">
        <x:v>Fuzzy spatial line-cluster match</x:v>
      </x:c>
      <x:c r="T150" s="28" t="str">
        <x:v>Standardized Candidate</x:v>
      </x:c>
      <x:c r="U150" s="28" t="str">
        <x:v>Adopt a strategic policy framework for rainwater harvesting</x:v>
      </x:c>
      <x:c r="V150" s="28" t="n">
        <x:v>0.953339</x:v>
      </x:c>
      <x:c r="W150" s="28" t="n">
        <x:v>0.964169</x:v>
      </x:c>
      <x:c r="X150" s="28" t="n">
        <x:v>0.930818</x:v>
      </x:c>
      <x:c r="Y150" s="28" t="n">
        <x:v>1</x:v>
      </x:c>
      <x:c r="Z150" s="28" t="n">
        <x:v>0.931034</x:v>
      </x:c>
      <x:c r="AA150" s="28" t="str">
        <x:v>High</x:v>
      </x:c>
      <x:c r="AB150" s="28" t="str">
        <x:v>Pass</x:v>
      </x:c>
      <x:c r="AC150" s="28" t="str">
        <x:v>Pending human review</x:v>
      </x:c>
      <x:c r="AD150" s="28" t="str"/>
      <x:c r="AE150" s="28" t="n">
        <x:v>46238.87231481481</x:v>
      </x:c>
    </x:row>
    <x:row r="151" ht="60" customHeight="1">
      <x:c r="A151" s="28" t="str">
        <x:v>ANC-SLE-028-01</x:v>
      </x:c>
      <x:c r="B151" s="28" t="str">
        <x:v>SLE-028</x:v>
      </x:c>
      <x:c r="C151" s="28" t="str">
        <x:v>DOC-SLE-WC-2026</x:v>
      </x:c>
      <x:c r="D151" s="28" t="str">
        <x:v>Primary Evidence</x:v>
      </x:c>
      <x:c r="E151" s="28" t="str">
        <x:v>Text Span</x:v>
      </x:c>
      <x:c r="F151" s="28" t="str"/>
      <x:c r="G151" s="28" t="str">
        <x:v>PDF p. 16, Appendix 1</x:v>
      </x:c>
      <x:c r="H151" s="28" t="n">
        <x:v>16</x:v>
      </x:c>
      <x:c r="I151" s="28" t="n">
        <x:v>16</x:v>
      </x:c>
      <x:c r="J151" s="28" t="n">
        <x:v>16</x:v>
      </x:c>
      <x:c r="K151" s="28" t="str">
        <x:v>16</x:v>
      </x:c>
      <x:c r="L151" s="28" t="str">
        <x:v>Programmatic outlook</x:v>
      </x:c>
      <x:c r="M151" s="28" t="str">
        <x:v>on buffer zone policy 0.20 0.20 0.00 0.10 0.10 0.00 0.00 0.00 (iv)Develop a strategic policy framework for rainwater harvesting 0.20 0.20 0.00 0.20 0.00 0.00 0.00 0.00 (vi)Develop a water conservation, irrigation, and flood reduction strategy 0.40 0.40 0.00 0.20 0.20 0.00 0.00 0.00 to strengthen the link between IWRM and Climate Change Adaptation (vii) Protect water catchment areas 1.00 1.00 0.00 0.20 0.20 0.20 0.20 0.20 (3 Improve hydrological (i) Support the setup,</x:v>
      </x:c>
      <x:c r="N151" s="28" t="str">
        <x:v>on buffer zone policy 0 20 0 20 0 00 0 10 0 10 0 00 0 00 0 00 iv develop a strategic policy framework for rainwater harvest 0 20 0 20 0 00 0 20 0 00 0 00 0 00 0 00 vi develop a water conservation irrigation and flood reduction strategy 0 40 0 40 0 00 0 20 0 20 0 00 0 00 0 00 to strengthen the link between iwrm and climate change adaptation vii protect water catchment area 1 00 1 00 0 00 0 20 0 20 0 20 0 20 0 20 3 improve hydrological i support the setup</x:v>
      </x:c>
      <x:c r="O151" s="28" t="str">
        <x:v>6779b67a2e537a1958bfa5e24571f7ac84abf24aaa115de8453a3f0e5aa1d1a9</x:v>
      </x:c>
      <x:c r="P151" s="28" t="str"/>
      <x:c r="Q151" s="28" t="str"/>
      <x:c r="R151" s="28" t="str">
        <x:v>[[511,532],[533,537],[538,542],[543,547],[548,552],[553,557],[558,562],[563,567],[568,572],[573,638],[639,643],[644,648],[649,653],[654,658],[659,663],[664,668],[669,673],[674,678],[679,753],[820,824],[825,829],[830,834],[835,839],[840,844],[845,849],[850,854],[855,859],[754,819],[860,895],[896,900],[901,905],[906,910],[911,915],[916,920],[921,925],[926,930],[931,935],[936,959],[960,982]]</x:v>
      </x:c>
      <x:c r="S151" s="28" t="str">
        <x:v>Fuzzy token-window match</x:v>
      </x:c>
      <x:c r="T151" s="28" t="str">
        <x:v>Original Compact Text</x:v>
      </x:c>
      <x:c r="U151" s="28" t="str">
        <x:v>Water conservation and flood strategy</x:v>
      </x:c>
      <x:c r="V151" s="28" t="n">
        <x:v>0.919431</x:v>
      </x:c>
      <x:c r="W151" s="28" t="n">
        <x:v>0.892368</x:v>
      </x:c>
      <x:c r="X151" s="28" t="n">
        <x:v>0.805654</x:v>
      </x:c>
      <x:c r="Y151" s="28" t="n">
        <x:v>1</x:v>
      </x:c>
      <x:c r="Z151" s="28" t="n">
        <x:v>0.778947</x:v>
      </x:c>
      <x:c r="AA151" s="28" t="str">
        <x:v>High</x:v>
      </x:c>
      <x:c r="AB151" s="28" t="str">
        <x:v>Pass</x:v>
      </x:c>
      <x:c r="AC151" s="28" t="str">
        <x:v>Pending human review</x:v>
      </x:c>
      <x:c r="AD151" s="28" t="str"/>
      <x:c r="AE151" s="28" t="n">
        <x:v>46238.87231481481</x:v>
      </x:c>
    </x:row>
    <x:row r="152" ht="60" customHeight="1">
      <x:c r="A152" s="28" t="str">
        <x:v>ANC-SLE-029-01</x:v>
      </x:c>
      <x:c r="B152" s="28" t="str">
        <x:v>SLE-029</x:v>
      </x:c>
      <x:c r="C152" s="28" t="str">
        <x:v>DOC-SLE-WC-2026</x:v>
      </x:c>
      <x:c r="D152" s="28" t="str">
        <x:v>Primary Evidence</x:v>
      </x:c>
      <x:c r="E152" s="28" t="str">
        <x:v>Text Span</x:v>
      </x:c>
      <x:c r="F152" s="28" t="str"/>
      <x:c r="G152" s="28" t="str">
        <x:v>PDF p. 16, Appendix 1</x:v>
      </x:c>
      <x:c r="H152" s="28" t="n">
        <x:v>16</x:v>
      </x:c>
      <x:c r="I152" s="28" t="n">
        <x:v>16</x:v>
      </x:c>
      <x:c r="J152" s="28" t="n">
        <x:v>16</x:v>
      </x:c>
      <x:c r="K152" s="28" t="str">
        <x:v>16</x:v>
      </x:c>
      <x:c r="L152" s="28" t="str">
        <x:v>Programmatic outlook</x:v>
      </x:c>
      <x:c r="M152" s="28" t="str">
        <x:v>0.00 0.00 0.00 (iv)Develop a strategic policy framework for rainwater harvesting 0.20 0.20 0.00 0.20 0.00 0.00 0.00 0.00 (vi)Develop a water conservation, irrigation, and flood reduction strategy 0.40 0.40 0.00 0.20 0.20 0.00 0.00 0.00 to strengthen the link between IWRM and Climate Change Adaptation (vii) Protect water catchment areas 1.00 1.00 0.00 0.20 0.20 0.20 0.20 0.20 (3 Improve hydrological (i) Support the setup, rehabilitation, and upgrade of hydrometric and and meteorological data</x:v>
      </x:c>
      <x:c r="N152" s="28" t="str">
        <x:v>0 00 0 00 0 00 iv develop a strategic policy framework for rainwater harvest 0 20 0 20 0 00 0 20 0 00 0 00 0 00 0 00 vi develop a water conservation irrigation and flood reduction strategy 0 40 0 40 0 00 0 20 0 20 0 00 0 00 0 00 to strengthen the link between iwrm and climate change adaptation vii protect water catchment area 1 00 1 00 0 00 0 20 0 20 0 20 0 20 0 20 3 improve hydrological i support the setup rehabilitation and upgrade of hydrometric and and meteorological data</x:v>
      </x:c>
      <x:c r="O152" s="28" t="str">
        <x:v>a5718007cf2584ab36dc2c0fcf2f0a255766ed25435b72c4694785073a8352f7</x:v>
      </x:c>
      <x:c r="P152" s="28" t="str"/>
      <x:c r="Q152" s="28" t="str"/>
      <x:c r="R152" s="28" t="str">
        <x:v>[[558,562],[563,567],[568,572],[573,638],[639,643],[644,648],[649,653],[654,658],[659,663],[664,668],[669,673],[674,678],[679,753],[820,824],[825,829],[830,834],[835,839],[840,844],[845,849],[850,854],[855,859],[754,819],[860,895],[896,900],[901,905],[906,910],[911,915],[916,920],[921,925],[926,930],[931,935],[936,959],[960,1029],[1030,1053]]</x:v>
      </x:c>
      <x:c r="S152" s="28" t="str">
        <x:v>Fuzzy token-window match</x:v>
      </x:c>
      <x:c r="T152" s="28" t="str">
        <x:v>Original Compact Text</x:v>
      </x:c>
      <x:c r="U152" s="28" t="str">
        <x:v>Upgrade hydrometric data system</x:v>
      </x:c>
      <x:c r="V152" s="28" t="n">
        <x:v>0.761339</x:v>
      </x:c>
      <x:c r="W152" s="28" t="n">
        <x:v>0.824338</x:v>
      </x:c>
      <x:c r="X152" s="28" t="n">
        <x:v>0.884211</x:v>
      </x:c>
      <x:c r="Y152" s="28" t="n">
        <x:v>0.772059</x:v>
      </x:c>
      <x:c r="Z152" s="28" t="n">
        <x:v>0.592593</x:v>
      </x:c>
      <x:c r="AA152" s="28" t="str">
        <x:v>High</x:v>
      </x:c>
      <x:c r="AB152" s="28" t="str">
        <x:v>Pass</x:v>
      </x:c>
      <x:c r="AC152" s="28" t="str">
        <x:v>Pending human review</x:v>
      </x:c>
      <x:c r="AD152" s="28" t="str"/>
      <x:c r="AE152" s="28" t="n">
        <x:v>46238.87231481481</x:v>
      </x:c>
    </x:row>
    <x:row r="153" ht="60" customHeight="1">
      <x:c r="A153" s="28" t="str">
        <x:v>ANC-SLE-030-01</x:v>
      </x:c>
      <x:c r="B153" s="28" t="str">
        <x:v>SLE-030</x:v>
      </x:c>
      <x:c r="C153" s="28" t="str">
        <x:v>DOC-SLE-WC-2026</x:v>
      </x:c>
      <x:c r="D153" s="28" t="str">
        <x:v>Primary Evidence</x:v>
      </x:c>
      <x:c r="E153" s="28" t="str">
        <x:v>Text Span</x:v>
      </x:c>
      <x:c r="F153" s="28" t="str"/>
      <x:c r="G153" s="28" t="str">
        <x:v>PDF p. 16, Appendix 1</x:v>
      </x:c>
      <x:c r="H153" s="28" t="n">
        <x:v>16</x:v>
      </x:c>
      <x:c r="I153" s="28" t="n">
        <x:v>16</x:v>
      </x:c>
      <x:c r="J153" s="28" t="n">
        <x:v>16</x:v>
      </x:c>
      <x:c r="K153" s="28" t="str">
        <x:v>16</x:v>
      </x:c>
      <x:c r="L153" s="28" t="str">
        <x:v>Programmatic outlook</x:v>
      </x:c>
      <x:c r="M153" s="28" t="str">
        <x:v>1.00 0.00 0.20 0.20 0.20 0.20 0.20 (3 Improve hydrological (i) Support the setup, rehabilitation, and upgrade of hydrometric and and meteorological data hydrogeological networks, as well as introduce new technologies for data 6.75 5.25 1.50 2.50 2.00 1.25 1.00 0.00 collection and analysis and information management (ii) Strengthen human and technical capacities for data analysis and 0.50 0.50 0.00 0.10 0.10 0.10 0.10 0.10 archiving (4) Strengthen water (iii) Initiate nationwide monitoring of groundwater</x:v>
      </x:c>
      <x:c r="N153" s="28" t="str">
        <x:v>1 00 0 00 0 20 0 20 0 20 0 20 0 20 3 improve hydrological i support the setup rehabilitation and upgrade of hydrometric and and meteorological data hydrogeological network as well as introduce new technology for data 6 75 5 25 1 50 2 50 2 00 1 25 1 00 0 00 collection and analysi and information management ii strengthen human and technical capacity for data analysi and 0 50 0 50 0 00 0 10 0 10 0 10 0 10 0 10 archiv 4 strengthen water iii initiate nationwide monitor of groundwater</x:v>
      </x:c>
      <x:c r="O153" s="28" t="str">
        <x:v>0237462965788d359b3d19527c5f2268c94eaf5ac65114576f51a08143c5925f</x:v>
      </x:c>
      <x:c r="P153" s="28" t="str"/>
      <x:c r="Q153" s="28" t="str"/>
      <x:c r="R153" s="28" t="str">
        <x:v>[[901,905],[906,910],[911,915],[916,920],[921,925],[926,930],[931,935],[936,959],[960,1029],[1030,1053],[1054,1126],[1127,1131],[1132,1136],[1137,1141],[1142,1146],[1147,1151],[1152,1156],[1157,1161],[1162,1166],[1183,1206],[1167,1182],[1207,1217],[1218,1286],[1297,1301],[1302,1306],[1307,1311],[1312,1316],[1317,1321],[1322,1326],[1327,1331],[1332,1336],[1287,1296],[1337,1357],[1358,1409]]</x:v>
      </x:c>
      <x:c r="S153" s="28" t="str">
        <x:v>Fuzzy token-window match</x:v>
      </x:c>
      <x:c r="T153" s="28" t="str">
        <x:v>Original Compact Text</x:v>
      </x:c>
      <x:c r="U153" s="28" t="str">
        <x:v>Nationwide groundwater monitoring</x:v>
      </x:c>
      <x:c r="V153" s="28" t="n">
        <x:v>0.969841</x:v>
      </x:c>
      <x:c r="W153" s="28" t="n">
        <x:v>1</x:v>
      </x:c>
      <x:c r="X153" s="28" t="n">
        <x:v>1</x:v>
      </x:c>
      <x:c r="Y153" s="28" t="n">
        <x:v>1</x:v>
      </x:c>
      <x:c r="Z153" s="28" t="n">
        <x:v>0.698413</x:v>
      </x:c>
      <x:c r="AA153" s="28" t="str">
        <x:v>High</x:v>
      </x:c>
      <x:c r="AB153" s="28" t="str">
        <x:v>Pass</x:v>
      </x:c>
      <x:c r="AC153" s="28" t="str">
        <x:v>Pending human review</x:v>
      </x:c>
      <x:c r="AD153" s="28" t="str"/>
      <x:c r="AE153" s="28" t="n">
        <x:v>46238.87231481481</x:v>
      </x:c>
    </x:row>
    <x:row r="154" ht="60" customHeight="1">
      <x:c r="A154" s="28" t="str">
        <x:v>ANC-SLE-031-01</x:v>
      </x:c>
      <x:c r="B154" s="28" t="str">
        <x:v>SLE-031</x:v>
      </x:c>
      <x:c r="C154" s="28" t="str">
        <x:v>DOC-SLE-WC-2026</x:v>
      </x:c>
      <x:c r="D154" s="28" t="str">
        <x:v>Primary Evidence</x:v>
      </x:c>
      <x:c r="E154" s="28" t="str">
        <x:v>Text Span</x:v>
      </x:c>
      <x:c r="F154" s="28" t="str"/>
      <x:c r="G154" s="28" t="str">
        <x:v>PDF p. 16, Appendix 1</x:v>
      </x:c>
      <x:c r="H154" s="28" t="n">
        <x:v>16</x:v>
      </x:c>
      <x:c r="I154" s="28" t="n">
        <x:v>16</x:v>
      </x:c>
      <x:c r="J154" s="28" t="n">
        <x:v>16</x:v>
      </x:c>
      <x:c r="K154" s="28" t="str">
        <x:v>16</x:v>
      </x:c>
      <x:c r="L154" s="28" t="str">
        <x:v>Programmatic outlook</x:v>
      </x:c>
      <x:c r="M154" s="28" t="str">
        <x:v>Billing, Project Management) and development of a strategic plan for SALWACO, review of policies and strategies</x:v>
      </x:c>
      <x:c r="N154" s="28" t="str">
        <x:v>bill project management and development of a strategic plan for salwaco review of policy and strategy</x:v>
      </x:c>
      <x:c r="O154" s="28" t="str">
        <x:v>c9624d6caf1f9ad26cf9757403622dce611ad845e4b6efeb37a9d87e5198f652</x:v>
      </x:c>
      <x:c r="P154" s="28" t="str"/>
      <x:c r="Q154" s="28" t="str"/>
      <x:c r="R154" s="28" t="str">
        <x:v>[[1849,1917],[1981,2023]]</x:v>
      </x:c>
      <x:c r="S154" s="28" t="str">
        <x:v>Fuzzy spatial line-cluster match</x:v>
      </x:c>
      <x:c r="T154" s="28" t="str">
        <x:v>Original Compact Text</x:v>
      </x:c>
      <x:c r="U154" s="28" t="str">
        <x:v>SALWACO strategic plan and policy review</x:v>
      </x:c>
      <x:c r="V154" s="28" t="n">
        <x:v>0.796716</x:v>
      </x:c>
      <x:c r="W154" s="28" t="n">
        <x:v>0.824056</x:v>
      </x:c>
      <x:c r="X154" s="28" t="n">
        <x:v>0.700762</x:v>
      </x:c>
      <x:c r="Y154" s="28" t="n">
        <x:v>1</x:v>
      </x:c>
      <x:c r="Z154" s="28" t="n">
        <x:v>0.425532</x:v>
      </x:c>
      <x:c r="AA154" s="28" t="str">
        <x:v>High</x:v>
      </x:c>
      <x:c r="AB154" s="28" t="str">
        <x:v>Pass</x:v>
      </x:c>
      <x:c r="AC154" s="28" t="str">
        <x:v>Pending human review</x:v>
      </x:c>
      <x:c r="AD154" s="28" t="str"/>
      <x:c r="AE154" s="28" t="n">
        <x:v>46238.87231481481</x:v>
      </x:c>
    </x:row>
    <x:row r="155" ht="60" customHeight="1">
      <x:c r="A155" s="28" t="str">
        <x:v>ANC-SLE-032-01</x:v>
      </x:c>
      <x:c r="B155" s="28" t="str">
        <x:v>SLE-032</x:v>
      </x:c>
      <x:c r="C155" s="28" t="str">
        <x:v>DOC-SLE-WC-2026</x:v>
      </x:c>
      <x:c r="D155" s="28" t="str">
        <x:v>Primary Evidence</x:v>
      </x:c>
      <x:c r="E155" s="28" t="str">
        <x:v>Text Span</x:v>
      </x:c>
      <x:c r="F155" s="28" t="str"/>
      <x:c r="G155" s="28" t="str">
        <x:v>PDF p. 16, Appendix 1</x:v>
      </x:c>
      <x:c r="H155" s="28" t="n">
        <x:v>16</x:v>
      </x:c>
      <x:c r="I155" s="28" t="n">
        <x:v>16</x:v>
      </x:c>
      <x:c r="J155" s="28" t="n">
        <x:v>16</x:v>
      </x:c>
      <x:c r="K155" s="28" t="str">
        <x:v>16</x:v>
      </x:c>
      <x:c r="L155" s="28" t="str">
        <x:v>Programmatic outlook</x:v>
      </x:c>
      <x:c r="M155" s="28" t="str">
        <x:v>(i) Operationalization of the transfer of the WASH mandate from the MoH to the MWRS</x:v>
      </x:c>
      <x:c r="N155" s="28" t="str">
        <x:v>i operationalization of the transfer of the wash mandate from the moh to the mwrs</x:v>
      </x:c>
      <x:c r="O155" s="28" t="str">
        <x:v>56722195f7643d9a9d55a33b6352f1b81e398148428fd427af6a2a2834948a57</x:v>
      </x:c>
      <x:c r="P155" s="28" t="str"/>
      <x:c r="Q155" s="28" t="str"/>
      <x:c r="R155" s="28" t="str">
        <x:v>[[3359,3426],[3494,3509]]</x:v>
      </x:c>
      <x:c r="S155" s="28" t="str">
        <x:v>Fuzzy spatial line-cluster match</x:v>
      </x:c>
      <x:c r="T155" s="28" t="str">
        <x:v>Original Compact Text</x:v>
      </x:c>
      <x:c r="U155" s="28" t="str">
        <x:v>Transfer WASH mandate to MWRS</x:v>
      </x:c>
      <x:c r="V155" s="28" t="n">
        <x:v>0.850222</x:v>
      </x:c>
      <x:c r="W155" s="28" t="n">
        <x:v>0.897959</x:v>
      </x:c>
      <x:c r="X155" s="28" t="n">
        <x:v>0.814815</x:v>
      </x:c>
      <x:c r="Y155" s="28" t="n">
        <x:v>1</x:v>
      </x:c>
      <x:c r="Z155" s="28" t="n">
        <x:v>0.527273</x:v>
      </x:c>
      <x:c r="AA155" s="28" t="str">
        <x:v>High</x:v>
      </x:c>
      <x:c r="AB155" s="28" t="str">
        <x:v>Pass</x:v>
      </x:c>
      <x:c r="AC155" s="28" t="str">
        <x:v>Pending human review</x:v>
      </x:c>
      <x:c r="AD155" s="28" t="str"/>
      <x:c r="AE155" s="28" t="n">
        <x:v>46238.87231481481</x:v>
      </x:c>
    </x:row>
    <x:row r="156" ht="60" customHeight="1">
      <x:c r="A156" s="28" t="str">
        <x:v>ANC-SLE-033-01</x:v>
      </x:c>
      <x:c r="B156" s="28" t="str">
        <x:v>SLE-033</x:v>
      </x:c>
      <x:c r="C156" s="28" t="str">
        <x:v>DOC-SLE-WC-2026</x:v>
      </x:c>
      <x:c r="D156" s="28" t="str">
        <x:v>Primary Evidence</x:v>
      </x:c>
      <x:c r="E156" s="28" t="str">
        <x:v>Text Span</x:v>
      </x:c>
      <x:c r="F156" s="28" t="str"/>
      <x:c r="G156" s="28" t="str">
        <x:v>PDF pp. 16–17, Appendix 1</x:v>
      </x:c>
      <x:c r="H156" s="28" t="n">
        <x:v>16</x:v>
      </x:c>
      <x:c r="I156" s="28" t="n">
        <x:v>17</x:v>
      </x:c>
      <x:c r="J156" s="28" t="n">
        <x:v>16</x:v>
      </x:c>
      <x:c r="K156" s="28" t="str">
        <x:v>16</x:v>
      </x:c>
      <x:c r="L156" s="28" t="str">
        <x:v>Programmatic outlook</x:v>
      </x:c>
      <x:c r="M156" s="28" t="str">
        <x:v>(3) Strengthen sector (i) Operationalization of the transfer of the WASH mandate from the 0.20 0.20 0.00 0.10 0.05 0.05 0.00 0.00 institutional coordination MoH to the MWRS (ii) Establish a development partners coordination platform to know who is 0.10 0.10 0.00 0.05 0.05 0.00 0.00 0.00 doing what, where and when.</x:v>
      </x:c>
      <x:c r="N156" s="28" t="str">
        <x:v>3 strengthen sector i operationalization of the transfer of the wash mandate from the 0 20 0 20 0 00 0 10 0 05 0 05 0 00 0 00 institutional coordination moh to the mwrs ii establish a development partner coordination platform to know who is 0 10 0 10 0 00 0 05 0 05 0 00 0 00 0 00 doing what where and when</x:v>
      </x:c>
      <x:c r="O156" s="28" t="str">
        <x:v>d12341b308bbfe6d7e0c8a15a2b3e2e95048ab10572f5e9d0935eb4a9c794a31</x:v>
      </x:c>
      <x:c r="P156" s="28" t="str"/>
      <x:c r="Q156" s="28" t="str"/>
      <x:c r="R156" s="28" t="str">
        <x:v>[[3337,3358],[3359,3426],[3427,3431],[3432,3436],[3437,3441],[3442,3446],[3447,3451],[3452,3456],[3457,3461],[3462,3466],[3467,3493],[3494,3509],[3510,3584],[3585,3589],[3590,3594],[3595,3599],[3600,3604],[3605,3609],[3610,3614],[3615,3619],[3620,3624],[3625,3652]]</x:v>
      </x:c>
      <x:c r="S156" s="28" t="str">
        <x:v>Fuzzy token-window match</x:v>
      </x:c>
      <x:c r="T156" s="28" t="str">
        <x:v>Original Compact Text</x:v>
      </x:c>
      <x:c r="U156" s="28" t="str">
        <x:v>Development-partner coordination platform</x:v>
      </x:c>
      <x:c r="V156" s="28" t="n">
        <x:v>0.726731</x:v>
      </x:c>
      <x:c r="W156" s="28" t="n">
        <x:v>0.69285</x:v>
      </x:c>
      <x:c r="X156" s="28" t="n">
        <x:v>0.862155</x:v>
      </x:c>
      <x:c r="Y156" s="28" t="n">
        <x:v>0.579125</x:v>
      </x:c>
      <x:c r="Z156" s="28" t="n">
        <x:v>0.84058</x:v>
      </x:c>
      <x:c r="AA156" s="28" t="str">
        <x:v>Medium</x:v>
      </x:c>
      <x:c r="AB156" s="28" t="str">
        <x:v>Pass</x:v>
      </x:c>
      <x:c r="AC156" s="28" t="str">
        <x:v>Pending human review</x:v>
      </x:c>
      <x:c r="AD156" s="28" t="str"/>
      <x:c r="AE156" s="28" t="n">
        <x:v>46238.87231481481</x:v>
      </x:c>
    </x:row>
    <x:row r="157" ht="60" customHeight="1">
      <x:c r="A157" s="28" t="str">
        <x:v>ANC-SLE-034-01</x:v>
      </x:c>
      <x:c r="B157" s="28" t="str">
        <x:v>SLE-034</x:v>
      </x:c>
      <x:c r="C157" s="28" t="str">
        <x:v>DOC-SLE-WC-2026</x:v>
      </x:c>
      <x:c r="D157" s="28" t="str">
        <x:v>Primary Evidence</x:v>
      </x:c>
      <x:c r="E157" s="28" t="str">
        <x:v>Text Span</x:v>
      </x:c>
      <x:c r="F157" s="28" t="str"/>
      <x:c r="G157" s="28" t="str">
        <x:v>PDF p. 17, Appendix 1</x:v>
      </x:c>
      <x:c r="H157" s="28" t="n">
        <x:v>17</x:v>
      </x:c>
      <x:c r="I157" s="28" t="n">
        <x:v>17</x:v>
      </x:c>
      <x:c r="J157" s="28" t="n">
        <x:v>17</x:v>
      </x:c>
      <x:c r="K157" s="28" t="str">
        <x:v>17</x:v>
      </x:c>
      <x:c r="L157" s="28" t="str">
        <x:v>Programmatic outlook</x:v>
      </x:c>
      <x:c r="M157" s="28" t="str">
        <x:v>service-level agreement (SLA) for all implementing development partners.</x:v>
      </x:c>
      <x:c r="N157" s="28" t="str">
        <x:v>servicelevel agreement sla for all implement development partner</x:v>
      </x:c>
      <x:c r="O157" s="28" t="str">
        <x:v>8d5a30e706e51ca9c7c1af179c95e20eb913c81e9bf1156466f872e0d2f946c1</x:v>
      </x:c>
      <x:c r="P157" s="28" t="n">
        <x:v>207</x:v>
      </x:c>
      <x:c r="Q157" s="28" t="n">
        <x:v>279</x:v>
      </x:c>
      <x:c r="R157" s="28" t="str">
        <x:v>[[207,279]]</x:v>
      </x:c>
      <x:c r="S157" s="28" t="str">
        <x:v>Fuzzy spatial line-cluster match</x:v>
      </x:c>
      <x:c r="T157" s="28" t="str">
        <x:v>Standardized Candidate</x:v>
      </x:c>
      <x:c r="U157" s="28" t="str">
        <x:v>Enforce government service-level agreements for development partners</x:v>
      </x:c>
      <x:c r="V157" s="28" t="n">
        <x:v>0.788404</x:v>
      </x:c>
      <x:c r="W157" s="28" t="n">
        <x:v>0.846058</x:v>
      </x:c>
      <x:c r="X157" s="28" t="n">
        <x:v>0.860051</x:v>
      </x:c>
      <x:c r="Y157" s="28" t="n">
        <x:v>0.832512</x:v>
      </x:c>
      <x:c r="Z157" s="28" t="n">
        <x:v>0.713178</x:v>
      </x:c>
      <x:c r="AA157" s="28" t="str">
        <x:v>High</x:v>
      </x:c>
      <x:c r="AB157" s="28" t="str">
        <x:v>Pass</x:v>
      </x:c>
      <x:c r="AC157" s="28" t="str">
        <x:v>Pending human review</x:v>
      </x:c>
      <x:c r="AD157" s="28" t="str"/>
      <x:c r="AE157" s="28" t="n">
        <x:v>46238.87231481481</x:v>
      </x:c>
    </x:row>
    <x:row r="158" ht="60" customHeight="1">
      <x:c r="A158" s="28" t="str">
        <x:v>ANC-SLE-035-01</x:v>
      </x:c>
      <x:c r="B158" s="28" t="str">
        <x:v>SLE-035</x:v>
      </x:c>
      <x:c r="C158" s="28" t="str">
        <x:v>DOC-SLE-WC-2026</x:v>
      </x:c>
      <x:c r="D158" s="28" t="str">
        <x:v>Primary Evidence</x:v>
      </x:c>
      <x:c r="E158" s="28" t="str">
        <x:v>Text Span</x:v>
      </x:c>
      <x:c r="F158" s="28" t="str"/>
      <x:c r="G158" s="28" t="str">
        <x:v>PDF p. 17, Appendix 1</x:v>
      </x:c>
      <x:c r="H158" s="28" t="n">
        <x:v>17</x:v>
      </x:c>
      <x:c r="I158" s="28" t="n">
        <x:v>17</x:v>
      </x:c>
      <x:c r="J158" s="28" t="n">
        <x:v>17</x:v>
      </x:c>
      <x:c r="K158" s="28" t="str">
        <x:v>17</x:v>
      </x:c>
      <x:c r="L158" s="28" t="str">
        <x:v>Programmatic outlook</x:v>
      </x:c>
      <x:c r="M158" s="28" t="str">
        <x:v>0.10 0.10 0.00 0.05 0.05 0.00 0.00 0.00 (iv) Ensure a functioning inter-ministerial platform for water sector 0.10 0.10 0.00 0.020 0.020 0.020 0.020 0.020 planning and development.</x:v>
      </x:c>
      <x:c r="N158" s="28" t="str">
        <x:v>0 10 0 10 0 00 0 05 0 05 0 00 0 00 0 00 iv ensure a function interministerial platform for water sector 0 10 0 10 0 00 0 020 0 020 0 020 0 020 0 020 plann and development</x:v>
      </x:c>
      <x:c r="O158" s="28" t="str">
        <x:v>fa3d2f84de933dc9bf461bd56638cd4ccb88f0091b978f5670eb2fb36cb263af</x:v>
      </x:c>
      <x:c r="P158" s="28" t="str"/>
      <x:c r="Q158" s="28" t="str"/>
      <x:c r="R158" s="28" t="str">
        <x:v>[[280,284],[285,289],[290,294],[295,299],[300,304],[305,309],[310,314],[315,319],[320,389],[390,394],[395,399],[400,404],[405,410],[411,416],[417,422],[423,428],[429,434],[435,460]]</x:v>
      </x:c>
      <x:c r="S158" s="28" t="str">
        <x:v>Fuzzy token-window match</x:v>
      </x:c>
      <x:c r="T158" s="28" t="str">
        <x:v>Original Compact Text</x:v>
      </x:c>
      <x:c r="U158" s="28" t="str">
        <x:v>Inter-ministerial water platform</x:v>
      </x:c>
      <x:c r="V158" s="28" t="n">
        <x:v>0.999</x:v>
      </x:c>
      <x:c r="W158" s="28" t="n">
        <x:v>1</x:v>
      </x:c>
      <x:c r="X158" s="28" t="n">
        <x:v>1</x:v>
      </x:c>
      <x:c r="Y158" s="28" t="n">
        <x:v>1</x:v>
      </x:c>
      <x:c r="Z158" s="28" t="n">
        <x:v>0.892857</x:v>
      </x:c>
      <x:c r="AA158" s="28" t="str">
        <x:v>High</x:v>
      </x:c>
      <x:c r="AB158" s="28" t="str">
        <x:v>Pass</x:v>
      </x:c>
      <x:c r="AC158" s="28" t="str">
        <x:v>Pending human review</x:v>
      </x:c>
      <x:c r="AD158" s="28" t="str"/>
      <x:c r="AE158" s="28" t="n">
        <x:v>46238.87231481481</x:v>
      </x:c>
    </x:row>
    <x:row r="159" ht="60" customHeight="1">
      <x:c r="A159" s="28" t="str">
        <x:v>ANC-SLE-036-01</x:v>
      </x:c>
      <x:c r="B159" s="28" t="str">
        <x:v>SLE-036</x:v>
      </x:c>
      <x:c r="C159" s="28" t="str">
        <x:v>DOC-SLE-WC-2026</x:v>
      </x:c>
      <x:c r="D159" s="28" t="str">
        <x:v>Duplicate/Sub-action Evidence</x:v>
      </x:c>
      <x:c r="E159" s="28" t="str">
        <x:v>Text Span</x:v>
      </x:c>
      <x:c r="F159" s="28" t="str"/>
      <x:c r="G159" s="28" t="str">
        <x:v>PDF p. 17, Appendix 1</x:v>
      </x:c>
      <x:c r="H159" s="28" t="n">
        <x:v>17</x:v>
      </x:c>
      <x:c r="I159" s="28" t="n">
        <x:v>17</x:v>
      </x:c>
      <x:c r="J159" s="28" t="n">
        <x:v>17</x:v>
      </x:c>
      <x:c r="K159" s="28" t="str">
        <x:v>17</x:v>
      </x:c>
      <x:c r="L159" s="28" t="str">
        <x:v>Programmatic outlook</x:v>
      </x:c>
      <x:c r="M159" s="28" t="str">
        <x:v>(v) Institutionalize monthly sector working group meetings</x:v>
      </x:c>
      <x:c r="N159" s="28" t="str">
        <x:v>v institutionalize monthly sector work group meeting</x:v>
      </x:c>
      <x:c r="O159" s="28" t="str">
        <x:v>657dc8ad2874d4193d048bb29508dbed64867b189f4721b01fc56324a7203b2d</x:v>
      </x:c>
      <x:c r="P159" s="28" t="n">
        <x:v>461</x:v>
      </x:c>
      <x:c r="Q159" s="28" t="n">
        <x:v>519</x:v>
      </x:c>
      <x:c r="R159" s="28" t="str">
        <x:v>[[461,519]]</x:v>
      </x:c>
      <x:c r="S159" s="28" t="str">
        <x:v>Exact spatial line-cluster phrase</x:v>
      </x:c>
      <x:c r="T159" s="28" t="str">
        <x:v>Verified PDF locator hint</x:v>
      </x:c>
      <x:c r="U159" s="28" t="str">
        <x:v>Institutionalize monthly sector working group meetings</x:v>
      </x:c>
      <x:c r="V159" s="28" t="n">
        <x:v>0.999</x:v>
      </x:c>
      <x:c r="W159" s="28" t="n">
        <x:v>1</x:v>
      </x:c>
      <x:c r="X159" s="28" t="n">
        <x:v>1</x:v>
      </x:c>
      <x:c r="Y159" s="28" t="n">
        <x:v>1</x:v>
      </x:c>
      <x:c r="Z159" s="28" t="n">
        <x:v>0.980392</x:v>
      </x:c>
      <x:c r="AA159" s="28" t="str">
        <x:v>High</x:v>
      </x:c>
      <x:c r="AB159" s="28" t="str">
        <x:v>Pass</x:v>
      </x:c>
      <x:c r="AC159" s="28" t="str">
        <x:v>Pending human review</x:v>
      </x:c>
      <x:c r="AD159" s="28" t="str"/>
      <x:c r="AE159" s="28" t="n">
        <x:v>46238.87231481481</x:v>
      </x:c>
    </x:row>
    <x:row r="160" ht="60" customHeight="1">
      <x:c r="A160" s="28" t="str">
        <x:v>ANC-SLE-037-01</x:v>
      </x:c>
      <x:c r="B160" s="28" t="str">
        <x:v>SLE-037</x:v>
      </x:c>
      <x:c r="C160" s="28" t="str">
        <x:v>DOC-SLE-WC-2026</x:v>
      </x:c>
      <x:c r="D160" s="28" t="str">
        <x:v>Primary Evidence</x:v>
      </x:c>
      <x:c r="E160" s="28" t="str">
        <x:v>Text Span</x:v>
      </x:c>
      <x:c r="F160" s="28" t="str"/>
      <x:c r="G160" s="28" t="str">
        <x:v>PDF p. 17, Appendix 1</x:v>
      </x:c>
      <x:c r="H160" s="28" t="n">
        <x:v>17</x:v>
      </x:c>
      <x:c r="I160" s="28" t="n">
        <x:v>17</x:v>
      </x:c>
      <x:c r="J160" s="28" t="n">
        <x:v>17</x:v>
      </x:c>
      <x:c r="K160" s="28" t="str">
        <x:v>17</x:v>
      </x:c>
      <x:c r="L160" s="28" t="str">
        <x:v>Programmatic outlook</x:v>
      </x:c>
      <x:c r="M160" s="28" t="str">
        <x:v>(v) Address overlapping regulatory functions that blur clarity in</x:v>
      </x:c>
      <x:c r="N160" s="28" t="str">
        <x:v>v address overlapp regulatory function that blur clarity in</x:v>
      </x:c>
      <x:c r="O160" s="28" t="str">
        <x:v>14c39cd3a939be402bc233659dedcfc4389df7e015f22f0b39e90c3b2450f01c</x:v>
      </x:c>
      <x:c r="P160" s="28" t="n">
        <x:v>560</x:v>
      </x:c>
      <x:c r="Q160" s="28" t="n">
        <x:v>625</x:v>
      </x:c>
      <x:c r="R160" s="28" t="str">
        <x:v>[[560,625]]</x:v>
      </x:c>
      <x:c r="S160" s="28" t="str">
        <x:v>Exact spatial line-cluster phrase</x:v>
      </x:c>
      <x:c r="T160" s="28" t="str">
        <x:v>Original Compact Text</x:v>
      </x:c>
      <x:c r="U160" s="28" t="str">
        <x:v>Address overlapping regulatory functions</x:v>
      </x:c>
      <x:c r="V160" s="28" t="n">
        <x:v>0.999</x:v>
      </x:c>
      <x:c r="W160" s="28" t="n">
        <x:v>0.91654</x:v>
      </x:c>
      <x:c r="X160" s="28" t="n">
        <x:v>0.845938</x:v>
      </x:c>
      <x:c r="Y160" s="28" t="n">
        <x:v>1</x:v>
      </x:c>
      <x:c r="Z160" s="28" t="n">
        <x:v>0.757895</x:v>
      </x:c>
      <x:c r="AA160" s="28" t="str">
        <x:v>High</x:v>
      </x:c>
      <x:c r="AB160" s="28" t="str">
        <x:v>Pass</x:v>
      </x:c>
      <x:c r="AC160" s="28" t="str">
        <x:v>Pending human review</x:v>
      </x:c>
      <x:c r="AD160" s="28" t="str"/>
      <x:c r="AE160" s="28" t="n">
        <x:v>46238.87231481481</x:v>
      </x:c>
    </x:row>
    <x:row r="161" ht="60" customHeight="1">
      <x:c r="A161" s="28" t="str">
        <x:v>ANC-SLE-038-01</x:v>
      </x:c>
      <x:c r="B161" s="28" t="str">
        <x:v>SLE-038</x:v>
      </x:c>
      <x:c r="C161" s="28" t="str">
        <x:v>DOC-SLE-WC-2026</x:v>
      </x:c>
      <x:c r="D161" s="28" t="str">
        <x:v>Primary Evidence</x:v>
      </x:c>
      <x:c r="E161" s="28" t="str">
        <x:v>Text Span</x:v>
      </x:c>
      <x:c r="F161" s="28" t="str"/>
      <x:c r="G161" s="28" t="str">
        <x:v>PDF p. 17, Appendix 1</x:v>
      </x:c>
      <x:c r="H161" s="28" t="n">
        <x:v>17</x:v>
      </x:c>
      <x:c r="I161" s="28" t="n">
        <x:v>17</x:v>
      </x:c>
      <x:c r="J161" s="28" t="n">
        <x:v>17</x:v>
      </x:c>
      <x:c r="K161" s="28" t="str">
        <x:v>17</x:v>
      </x:c>
      <x:c r="L161" s="28" t="str">
        <x:v>Programmatic outlook</x:v>
      </x:c>
      <x:c r="M161" s="28" t="str">
        <x:v>(i) Streamlining Ministerial mandates and oversight at the sub-national level</x:v>
      </x:c>
      <x:c r="N161" s="28" t="str">
        <x:v>i streamlin ministerial mandate and oversight at the subnational level</x:v>
      </x:c>
      <x:c r="O161" s="28" t="str">
        <x:v>787e002917573cf0220c1b044112efc81b75e7ccd116d3d58a536addd64021d6</x:v>
      </x:c>
      <x:c r="P161" s="28" t="str"/>
      <x:c r="Q161" s="28" t="str"/>
      <x:c r="R161" s="28" t="str">
        <x:v>[[717,788],[851,856]]</x:v>
      </x:c>
      <x:c r="S161" s="28" t="str">
        <x:v>Fuzzy spatial line-cluster match</x:v>
      </x:c>
      <x:c r="T161" s="28" t="str">
        <x:v>Standardized Candidate</x:v>
      </x:c>
      <x:c r="U161" s="28" t="str">
        <x:v>Streamline ministerial mandates and oversight at subnational level</x:v>
      </x:c>
      <x:c r="V161" s="28" t="n">
        <x:v>0.830211</x:v>
      </x:c>
      <x:c r="W161" s="28" t="n">
        <x:v>0.8724</x:v>
      </x:c>
      <x:c r="X161" s="28" t="n">
        <x:v>0.933815</x:v>
      </x:c>
      <x:c r="Y161" s="28" t="n">
        <x:v>0.818565</x:v>
      </x:c>
      <x:c r="Z161" s="28" t="n">
        <x:v>0.948148</x:v>
      </x:c>
      <x:c r="AA161" s="28" t="str">
        <x:v>High</x:v>
      </x:c>
      <x:c r="AB161" s="28" t="str">
        <x:v>Pass</x:v>
      </x:c>
      <x:c r="AC161" s="28" t="str">
        <x:v>Pending human review</x:v>
      </x:c>
      <x:c r="AD161" s="28" t="str"/>
      <x:c r="AE161" s="28" t="n">
        <x:v>46238.87231481481</x:v>
      </x:c>
    </x:row>
    <x:row r="162" ht="60" customHeight="1">
      <x:c r="A162" s="28" t="str">
        <x:v>ANC-SLE-039-01</x:v>
      </x:c>
      <x:c r="B162" s="28" t="str">
        <x:v>SLE-039</x:v>
      </x:c>
      <x:c r="C162" s="28" t="str">
        <x:v>DOC-SLE-WC-2026</x:v>
      </x:c>
      <x:c r="D162" s="28" t="str">
        <x:v>Primary Evidence</x:v>
      </x:c>
      <x:c r="E162" s="28" t="str">
        <x:v>Text Span</x:v>
      </x:c>
      <x:c r="F162" s="28" t="str"/>
      <x:c r="G162" s="28" t="str">
        <x:v>PDF p. 17, Appendix 1</x:v>
      </x:c>
      <x:c r="H162" s="28" t="n">
        <x:v>17</x:v>
      </x:c>
      <x:c r="I162" s="28" t="n">
        <x:v>17</x:v>
      </x:c>
      <x:c r="J162" s="28" t="n">
        <x:v>17</x:v>
      </x:c>
      <x:c r="K162" s="28" t="str">
        <x:v>17</x:v>
      </x:c>
      <x:c r="L162" s="28" t="str">
        <x:v>Programmatic outlook</x:v>
      </x:c>
      <x:c r="M162" s="28" t="str">
        <x:v>(ii) Advocate and acquire a dedicated budget disbursement line for WASH at the sub-national level</x:v>
      </x:c>
      <x:c r="N162" s="28" t="str">
        <x:v>ii advocate and acquire a dedicat budget disbursement line for wash at the subnational level</x:v>
      </x:c>
      <x:c r="O162" s="28" t="str">
        <x:v>0633031e1a57b9d590b581a873a3fbb0d4d1bf4e82a2f666b78c1283df98be9b</x:v>
      </x:c>
      <x:c r="P162" s="28" t="str"/>
      <x:c r="Q162" s="28" t="str"/>
      <x:c r="R162" s="28" t="str">
        <x:v>[[874,940],[1006,1036]]</x:v>
      </x:c>
      <x:c r="S162" s="28" t="str">
        <x:v>Fuzzy spatial line-cluster match</x:v>
      </x:c>
      <x:c r="T162" s="28" t="str">
        <x:v>Original Compact Text</x:v>
      </x:c>
      <x:c r="U162" s="28" t="str">
        <x:v>Dedicated subnational WASH budget line</x:v>
      </x:c>
      <x:c r="V162" s="28" t="n">
        <x:v>0.796824</x:v>
      </x:c>
      <x:c r="W162" s="28" t="n">
        <x:v>0.854111</x:v>
      </x:c>
      <x:c r="X162" s="28" t="n">
        <x:v>0.74537</x:v>
      </x:c>
      <x:c r="Y162" s="28" t="n">
        <x:v>1</x:v>
      </x:c>
      <x:c r="Z162" s="28" t="n">
        <x:v>0.34375</x:v>
      </x:c>
      <x:c r="AA162" s="28" t="str">
        <x:v>High</x:v>
      </x:c>
      <x:c r="AB162" s="28" t="str">
        <x:v>Pass</x:v>
      </x:c>
      <x:c r="AC162" s="28" t="str">
        <x:v>Pending human review</x:v>
      </x:c>
      <x:c r="AD162" s="28" t="str"/>
      <x:c r="AE162" s="28" t="n">
        <x:v>46238.87231481481</x:v>
      </x:c>
    </x:row>
    <x:row r="163" ht="60" customHeight="1">
      <x:c r="A163" s="28" t="str">
        <x:v>ANC-SLE-040-01</x:v>
      </x:c>
      <x:c r="B163" s="28" t="str">
        <x:v>SLE-040</x:v>
      </x:c>
      <x:c r="C163" s="28" t="str">
        <x:v>DOC-SLE-WC-2026</x:v>
      </x:c>
      <x:c r="D163" s="28" t="str">
        <x:v>Primary Evidence</x:v>
      </x:c>
      <x:c r="E163" s="28" t="str">
        <x:v>Text Span</x:v>
      </x:c>
      <x:c r="F163" s="28" t="str"/>
      <x:c r="G163" s="28" t="str">
        <x:v>PDF p. 17, Appendix 1</x:v>
      </x:c>
      <x:c r="H163" s="28" t="n">
        <x:v>17</x:v>
      </x:c>
      <x:c r="I163" s="28" t="n">
        <x:v>17</x:v>
      </x:c>
      <x:c r="J163" s="28" t="n">
        <x:v>17</x:v>
      </x:c>
      <x:c r="K163" s="28" t="str">
        <x:v>17</x:v>
      </x:c>
      <x:c r="L163" s="28" t="str">
        <x:v>Programmatic outlook</x:v>
      </x:c>
      <x:c r="M163" s="28" t="str">
        <x:v>that blur clarity in 0.10 0.10 0.00 0.05 0.05 0.00 0.00 0.00 responsibilities and accountability (4) Strengthen (i) Streamlining Ministerial mandates and oversight at the sub-national 0.30 0.30 0.00 0.150 0.150 0.00 0.00 0.00 decentralization of level WASH governance, (ii) Advocate and acquire a dedicated budget disbursement line for 0.10 0.10 0.00 0.05 0.05 0.00 0.00 0.00 policies and legislation WASH at the sub-national level (iii) Finalize the update of the National Water Sector Policy</x:v>
      </x:c>
      <x:c r="N163" s="28" t="str">
        <x:v>that blur clarity in 0 10 0 10 0 00 0 05 0 05 0 00 0 00 0 00 responsibility and accountability 4 strengthen i streamlin ministerial mandate and oversight at the subnational 0 30 0 30 0 00 0 150 0 150 0 00 0 00 0 00 decentralization of level wash governance ii advocate and acquire a dedicat budget disbursement line for 0 10 0 10 0 00 0 05 0 05 0 00 0 00 0 00 policy and legislation wash at the subnational level iii finalize the update of the national water sector policy</x:v>
      </x:c>
      <x:c r="O163" s="28" t="str">
        <x:v>68ca3916bb7b955b54db217cbcc5cb8f77733f20bda9d1fd0fafa28a0a3b003d</x:v>
      </x:c>
      <x:c r="P163" s="28" t="str"/>
      <x:c r="Q163" s="28" t="str"/>
      <x:c r="R163" s="28" t="str">
        <x:v>[[605,625],[662,666],[667,671],[672,676],[677,681],[682,686],[687,691],[692,696],[697,701],[626,661],[702,716],[717,788],[789,793],[794,798],[799,803],[804,809],[810,815],[816,820],[821,825],[826,830],[831,850],[851,856],[857,873],[874,940],[941,945],[946,950],[951,955],[956,960],[961,965],[966,970],[971,975],[976,980],[981,1005],[1006,1036],[1037,1098]]</x:v>
      </x:c>
      <x:c r="S163" s="28" t="str">
        <x:v>Fuzzy token-window match</x:v>
      </x:c>
      <x:c r="T163" s="28" t="str">
        <x:v>Original Compact Text</x:v>
      </x:c>
      <x:c r="U163" s="28" t="str">
        <x:v>Update National Water Sector Policy</x:v>
      </x:c>
      <x:c r="V163" s="28" t="n">
        <x:v>0.999</x:v>
      </x:c>
      <x:c r="W163" s="28" t="n">
        <x:v>1</x:v>
      </x:c>
      <x:c r="X163" s="28" t="n">
        <x:v>1</x:v>
      </x:c>
      <x:c r="Y163" s="28" t="n">
        <x:v>1</x:v>
      </x:c>
      <x:c r="Z163" s="28" t="n">
        <x:v>0.909091</x:v>
      </x:c>
      <x:c r="AA163" s="28" t="str">
        <x:v>High</x:v>
      </x:c>
      <x:c r="AB163" s="28" t="str">
        <x:v>Pass</x:v>
      </x:c>
      <x:c r="AC163" s="28" t="str">
        <x:v>Pending human review</x:v>
      </x:c>
      <x:c r="AD163" s="28" t="str"/>
      <x:c r="AE163" s="28" t="n">
        <x:v>46238.87231481481</x:v>
      </x:c>
    </x:row>
    <x:row r="164" ht="60" customHeight="1">
      <x:c r="A164" s="28" t="str">
        <x:v>ANC-SLE-041-01</x:v>
      </x:c>
      <x:c r="B164" s="28" t="str">
        <x:v>SLE-041</x:v>
      </x:c>
      <x:c r="C164" s="28" t="str">
        <x:v>DOC-SLE-WC-2026</x:v>
      </x:c>
      <x:c r="D164" s="28" t="str">
        <x:v>Primary Evidence</x:v>
      </x:c>
      <x:c r="E164" s="28" t="str">
        <x:v>Text Span</x:v>
      </x:c>
      <x:c r="F164" s="28" t="str"/>
      <x:c r="G164" s="28" t="str">
        <x:v>PDF p. 17, Appendix 1</x:v>
      </x:c>
      <x:c r="H164" s="28" t="n">
        <x:v>17</x:v>
      </x:c>
      <x:c r="I164" s="28" t="n">
        <x:v>17</x:v>
      </x:c>
      <x:c r="J164" s="28" t="n">
        <x:v>17</x:v>
      </x:c>
      <x:c r="K164" s="28" t="str">
        <x:v>17</x:v>
      </x:c>
      <x:c r="L164" s="28" t="str">
        <x:v>Programmatic outlook</x:v>
      </x:c>
      <x:c r="M164" s="28" t="str">
        <x:v>(iv) Improve and enhance the enforcement of the Water sector legislation and standards</x:v>
      </x:c>
      <x:c r="N164" s="28" t="str">
        <x:v>iv improve and enhance the enforcement of the water sector legislation and standard</x:v>
      </x:c>
      <x:c r="O164" s="28" t="str">
        <x:v>c7effc2a7aeef6dffb04b935d7bcb5671011f2ec6b7fb980804c26f54bb63a9b</x:v>
      </x:c>
      <x:c r="P164" s="28" t="str"/>
      <x:c r="Q164" s="28" t="str"/>
      <x:c r="R164" s="28" t="str">
        <x:v>[[1139,1211],[1253,1266]]</x:v>
      </x:c>
      <x:c r="S164" s="28" t="str">
        <x:v>Fuzzy spatial line-cluster match</x:v>
      </x:c>
      <x:c r="T164" s="28" t="str">
        <x:v>Original Compact Text</x:v>
      </x:c>
      <x:c r="U164" s="28" t="str">
        <x:v>Enhance legislation and standards enforcement</x:v>
      </x:c>
      <x:c r="V164" s="28" t="n">
        <x:v>0.91348</x:v>
      </x:c>
      <x:c r="W164" s="28" t="n">
        <x:v>1</x:v>
      </x:c>
      <x:c r="X164" s="28" t="n">
        <x:v>1</x:v>
      </x:c>
      <x:c r="Y164" s="28" t="n">
        <x:v>1</x:v>
      </x:c>
      <x:c r="Z164" s="28" t="n">
        <x:v>0.503937</x:v>
      </x:c>
      <x:c r="AA164" s="28" t="str">
        <x:v>High</x:v>
      </x:c>
      <x:c r="AB164" s="28" t="str">
        <x:v>Pass</x:v>
      </x:c>
      <x:c r="AC164" s="28" t="str">
        <x:v>Pending human review</x:v>
      </x:c>
      <x:c r="AD164" s="28" t="str"/>
      <x:c r="AE164" s="28" t="n">
        <x:v>46238.87231481481</x:v>
      </x:c>
    </x:row>
    <x:row r="165" ht="60" customHeight="1">
      <x:c r="A165" s="28" t="str">
        <x:v>ANC-SLE-042-01</x:v>
      </x:c>
      <x:c r="B165" s="28" t="str">
        <x:v>SLE-042</x:v>
      </x:c>
      <x:c r="C165" s="28" t="str">
        <x:v>DOC-SLE-WC-2026</x:v>
      </x:c>
      <x:c r="D165" s="28" t="str">
        <x:v>Primary Evidence</x:v>
      </x:c>
      <x:c r="E165" s="28" t="str">
        <x:v>Text Span</x:v>
      </x:c>
      <x:c r="F165" s="28" t="str"/>
      <x:c r="G165" s="28" t="str">
        <x:v>PDF p. 17, Appendix 1</x:v>
      </x:c>
      <x:c r="H165" s="28" t="n">
        <x:v>17</x:v>
      </x:c>
      <x:c r="I165" s="28" t="n">
        <x:v>17</x:v>
      </x:c>
      <x:c r="J165" s="28" t="n">
        <x:v>17</x:v>
      </x:c>
      <x:c r="K165" s="28" t="str">
        <x:v>17</x:v>
      </x:c>
      <x:c r="L165" s="28" t="str">
        <x:v>Programmatic outlook</x:v>
      </x:c>
      <x:c r="M165" s="28" t="str">
        <x:v>acquire a dedicated budget disbursement line for 0.10 0.10 0.00 0.05 0.05 0.00 0.00 0.00 policies and legislation WASH at the sub-national level (iii) Finalize the update of the National Water Sector Policy 0.20 0.20 0.00 0.10 0.10 0.00 0.00 0.00 (iv) Improve and enhance the enforcement of the Water sector legislation 0.04 0.04 0.00 0.00 0.00 0.00 0.00 0.040 and standards Finance (1) Periodic review of (i) Carry out quarterly review of water tariffs</x:v>
      </x:c>
      <x:c r="N165" s="28" t="str">
        <x:v>acquire a dedicat budget disbursement line for 0 10 0 10 0 00 0 05 0 05 0 00 0 00 0 00 policy and legislation wash at the subnational level iii finalize the update of the national water sector policy 0 20 0 20 0 00 0 10 0 10 0 00 0 00 0 00 iv improve and enhance the enforcement of the water sector legislation 0 04 0 04 0 00 0 00 0 00 0 00 0 00 0 040 and standard finance 1 periodic review of i carry out quarterly review of water tariff</x:v>
      </x:c>
      <x:c r="O165" s="28" t="str">
        <x:v>eecb65be0783cbcfe1062806f27ca43f336086bb024efc247b5d06c16d97d80e</x:v>
      </x:c>
      <x:c r="P165" s="28" t="str"/>
      <x:c r="Q165" s="28" t="str"/>
      <x:c r="R165" s="28" t="str">
        <x:v>[[892,940],[941,945],[946,950],[951,955],[956,960],[961,965],[966,970],[971,975],[976,980],[981,1005],[1006,1036],[1037,1098],[1099,1103],[1104,1108],[1109,1113],[1114,1118],[1119,1123],[1124,1128],[1129,1133],[1134,1138],[1139,1211],[1212,1216],[1217,1221],[1222,1226],[1227,1231],[1232,1236],[1237,1241],[1242,1246],[1247,1252],[1253,1266],[1267,1274],[1275,1297],[1298,1345]]</x:v>
      </x:c>
      <x:c r="S165" s="28" t="str">
        <x:v>Fuzzy token-window match</x:v>
      </x:c>
      <x:c r="T165" s="28" t="str">
        <x:v>Original Compact Text</x:v>
      </x:c>
      <x:c r="U165" s="28" t="str">
        <x:v>Quarterly automatic tariff review</x:v>
      </x:c>
      <x:c r="V165" s="28" t="n">
        <x:v>0.782987</x:v>
      </x:c>
      <x:c r="W165" s="28" t="n">
        <x:v>0.836066</x:v>
      </x:c>
      <x:c r="X165" s="28" t="n">
        <x:v>1</x:v>
      </x:c>
      <x:c r="Y165" s="28" t="n">
        <x:v>0.71831</x:v>
      </x:c>
      <x:c r="Z165" s="28" t="n">
        <x:v>0.615385</x:v>
      </x:c>
      <x:c r="AA165" s="28" t="str">
        <x:v>High</x:v>
      </x:c>
      <x:c r="AB165" s="28" t="str">
        <x:v>Pass</x:v>
      </x:c>
      <x:c r="AC165" s="28" t="str">
        <x:v>Pending human review</x:v>
      </x:c>
      <x:c r="AD165" s="28" t="str"/>
      <x:c r="AE165" s="28" t="n">
        <x:v>46238.87231481481</x:v>
      </x:c>
    </x:row>
    <x:row r="166" ht="60" customHeight="1">
      <x:c r="A166" s="28" t="str">
        <x:v>ANC-SLE-043-01</x:v>
      </x:c>
      <x:c r="B166" s="28" t="str">
        <x:v>SLE-043</x:v>
      </x:c>
      <x:c r="C166" s="28" t="str">
        <x:v>DOC-SLE-WC-2026</x:v>
      </x:c>
      <x:c r="D166" s="28" t="str">
        <x:v>Primary Evidence</x:v>
      </x:c>
      <x:c r="E166" s="28" t="str">
        <x:v>Text Span</x:v>
      </x:c>
      <x:c r="F166" s="28" t="str"/>
      <x:c r="G166" s="28" t="str">
        <x:v>PDF p. 17, Appendix 1</x:v>
      </x:c>
      <x:c r="H166" s="28" t="n">
        <x:v>17</x:v>
      </x:c>
      <x:c r="I166" s="28" t="n">
        <x:v>17</x:v>
      </x:c>
      <x:c r="J166" s="28" t="n">
        <x:v>17</x:v>
      </x:c>
      <x:c r="K166" s="28" t="str">
        <x:v>17</x:v>
      </x:c>
      <x:c r="L166" s="28" t="str">
        <x:v>Programmatic outlook</x:v>
      </x:c>
      <x:c r="M166" s="28" t="str">
        <x:v>(ii) Implement a framework on private sector participation in the water sector, including financing (BOO, BOT, etc.)</x:v>
      </x:c>
      <x:c r="N166" s="28" t="str">
        <x:v>ii implement a framework on private sector participation in the water sector includ financ boo bot etc</x:v>
      </x:c>
      <x:c r="O166" s="28" t="str">
        <x:v>824a3f7628da1696e5d3bcce4de71db9c1cc0a57ab9dcac12f915a0132109334</x:v>
      </x:c>
      <x:c r="P166" s="28" t="str"/>
      <x:c r="Q166" s="28" t="str"/>
      <x:c r="R166" s="28" t="str">
        <x:v>[[1558,1629],[1655,1699]]</x:v>
      </x:c>
      <x:c r="S166" s="28" t="str">
        <x:v>Exact spatial line-cluster phrase</x:v>
      </x:c>
      <x:c r="T166" s="28" t="str">
        <x:v>Verified PDF locator hint</x:v>
      </x:c>
      <x:c r="U166" s="28" t="str">
        <x:v>Implement a framework on private sector participation in the water sector, including financing</x:v>
      </x:c>
      <x:c r="V166" s="28" t="n">
        <x:v>0.999</x:v>
      </x:c>
      <x:c r="W166" s="28" t="n">
        <x:v>0.901138</x:v>
      </x:c>
      <x:c r="X166" s="28" t="n">
        <x:v>0.820065</x:v>
      </x:c>
      <x:c r="Y166" s="28" t="n">
        <x:v>1</x:v>
      </x:c>
      <x:c r="Z166" s="28" t="n">
        <x:v>0.920635</x:v>
      </x:c>
      <x:c r="AA166" s="28" t="str">
        <x:v>High</x:v>
      </x:c>
      <x:c r="AB166" s="28" t="str">
        <x:v>Pass</x:v>
      </x:c>
      <x:c r="AC166" s="28" t="str">
        <x:v>Pending human review</x:v>
      </x:c>
      <x:c r="AD166" s="28" t="str"/>
      <x:c r="AE166" s="28" t="n">
        <x:v>46238.87231481481</x:v>
      </x:c>
    </x:row>
    <x:row r="167" ht="60" customHeight="1">
      <x:c r="A167" s="28" t="str">
        <x:v>ANC-SLE-044-01</x:v>
      </x:c>
      <x:c r="B167" s="28" t="str">
        <x:v>SLE-044</x:v>
      </x:c>
      <x:c r="C167" s="28" t="str">
        <x:v>DOC-SLE-WC-2026</x:v>
      </x:c>
      <x:c r="D167" s="28" t="str">
        <x:v>Primary Evidence</x:v>
      </x:c>
      <x:c r="E167" s="28" t="str">
        <x:v>Text Span</x:v>
      </x:c>
      <x:c r="F167" s="28" t="str"/>
      <x:c r="G167" s="28" t="str">
        <x:v>PDF p. 17, Appendix 1</x:v>
      </x:c>
      <x:c r="H167" s="28" t="n">
        <x:v>17</x:v>
      </x:c>
      <x:c r="I167" s="28" t="n">
        <x:v>17</x:v>
      </x:c>
      <x:c r="J167" s="28" t="n">
        <x:v>17</x:v>
      </x:c>
      <x:c r="K167" s="28" t="str">
        <x:v>17</x:v>
      </x:c>
      <x:c r="L167" s="28" t="str">
        <x:v>Programmatic outlook</x:v>
      </x:c>
      <x:c r="M167" s="28" t="str">
        <x:v>(iii) Appraisal and adoption of a financing mechanism for capital maintenance</x:v>
      </x:c>
      <x:c r="N167" s="28" t="str">
        <x:v>iii appraisal and adoption of a financ mechanism for capital maintenance</x:v>
      </x:c>
      <x:c r="O167" s="28" t="str">
        <x:v>26cec172e13555273b5ccd6fd561355ec33045d7462584f38bf3a8421e72cdb5</x:v>
      </x:c>
      <x:c r="P167" s="28" t="str"/>
      <x:c r="Q167" s="28" t="str"/>
      <x:c r="R167" s="28" t="str">
        <x:v>[[1812,1877],[1900,1911]]</x:v>
      </x:c>
      <x:c r="S167" s="28" t="str">
        <x:v>Exact spatial line-cluster phrase</x:v>
      </x:c>
      <x:c r="T167" s="28" t="str">
        <x:v>Verified PDF locator hint</x:v>
      </x:c>
      <x:c r="U167" s="28" t="str">
        <x:v>Appraisal and adoption of a financing mechanism for capital maintenance</x:v>
      </x:c>
      <x:c r="V167" s="28" t="n">
        <x:v>0.999</x:v>
      </x:c>
      <x:c r="W167" s="28" t="n">
        <x:v>0.970729</x:v>
      </x:c>
      <x:c r="X167" s="28" t="n">
        <x:v>0.943123</x:v>
      </x:c>
      <x:c r="Y167" s="28" t="n">
        <x:v>1</x:v>
      </x:c>
      <x:c r="Z167" s="28" t="n">
        <x:v>0.971429</x:v>
      </x:c>
      <x:c r="AA167" s="28" t="str">
        <x:v>High</x:v>
      </x:c>
      <x:c r="AB167" s="28" t="str">
        <x:v>Pass</x:v>
      </x:c>
      <x:c r="AC167" s="28" t="str">
        <x:v>Pending human review</x:v>
      </x:c>
      <x:c r="AD167" s="28" t="str"/>
      <x:c r="AE167" s="28" t="n">
        <x:v>46238.87231481481</x:v>
      </x:c>
    </x:row>
    <x:row r="168" ht="60" customHeight="1">
      <x:c r="A168" s="28" t="str">
        <x:v>ANC-SLE-045-01</x:v>
      </x:c>
      <x:c r="B168" s="28" t="str">
        <x:v>SLE-045</x:v>
      </x:c>
      <x:c r="C168" s="28" t="str">
        <x:v>DOC-SLE-WC-2026</x:v>
      </x:c>
      <x:c r="D168" s="28" t="str">
        <x:v>Duplicate/Sub-action Evidence</x:v>
      </x:c>
      <x:c r="E168" s="28" t="str">
        <x:v>Text Span</x:v>
      </x:c>
      <x:c r="F168" s="28" t="str"/>
      <x:c r="G168" s="28" t="str">
        <x:v>PDF pp. 17–18, Appendix 1</x:v>
      </x:c>
      <x:c r="H168" s="28" t="n">
        <x:v>17</x:v>
      </x:c>
      <x:c r="I168" s="28" t="n">
        <x:v>18</x:v>
      </x:c>
      <x:c r="J168" s="28" t="n">
        <x:v>17</x:v>
      </x:c>
      <x:c r="K168" s="28" t="str">
        <x:v>17</x:v>
      </x:c>
      <x:c r="L168" s="28" t="str">
        <x:v>Programmatic outlook</x:v>
      </x:c>
      <x:c r="M168" s="28" t="str">
        <x:v>discussion of research (ii)Provide support for research on sector issues results on key issues 1.00 1 0.00 0.20 0.20 0.20 0.20 0.20 affecting water and sanitation service delivery (2)develop and (i)Set up a national M&amp;E coordination group for the sector with clear 0.30 0.30 0.00 0.10 0.10 0.10 0.00 0.00 operationalize a national terms of reference M&amp;E system to track (ii) Technical Assistance to PPMED-MSWR to develop a sector M&amp;E plan, sector progress and contribute</x:v>
      </x:c>
      <x:c r="N168" s="28" t="str">
        <x:v>discussion of research ii provide support for research on sector issue result on key issue 1 00 1 0 00 0 20 0 20 0 20 0 20 0 20 affect water and sanitation service delivery 2 develop and i set up a national m e coordination group for the sector with clear 0 30 0 30 0 00 0 10 0 10 0 10 0 00 0 00 operationalize a national term of reference m e system to track ii technical assistance to ppmedmswr to develop a sector m e plan sector progress and contribute</x:v>
      </x:c>
      <x:c r="O168" s="28" t="str">
        <x:v>0c0ba179437682654f8f5733e3d9bbd4b95a1a6afa7d5dc987fdb5662e0afe4a</x:v>
      </x:c>
      <x:c r="P168" s="28" t="str"/>
      <x:c r="Q168" s="28" t="str"/>
      <x:c r="R168" s="28" t="str">
        <x:v>[[2242,2264],[2265,2314],[2315,2336],[2357,2361],[2362,2363],[2364,2368],[2369,2373],[2374,2378],[2379,2383],[2384,2388],[2389,2393],[2337,2356],[2394,2421],[2422,2436],[2437,2506],[2552,2556],[2557,2561],[2562,2566],[2567,2571],[2572,2576],[2577,2581],[2582,2586],[2587,2591],[2507,2532],[2533,2551],[2592,2611],[2612,2681],[2682,2701],[2702,2712]]</x:v>
      </x:c>
      <x:c r="S168" s="28" t="str">
        <x:v>Fuzzy token-window match</x:v>
      </x:c>
      <x:c r="T168" s="28" t="str">
        <x:v>Original Compact Text</x:v>
      </x:c>
      <x:c r="U168" s="28" t="str">
        <x:v>National M&amp;E coordination group</x:v>
      </x:c>
      <x:c r="V168" s="28" t="n">
        <x:v>0.999</x:v>
      </x:c>
      <x:c r="W168" s="28" t="n">
        <x:v>1</x:v>
      </x:c>
      <x:c r="X168" s="28" t="n">
        <x:v>1</x:v>
      </x:c>
      <x:c r="Y168" s="28" t="n">
        <x:v>1</x:v>
      </x:c>
      <x:c r="Z168" s="28" t="n">
        <x:v>0.983607</x:v>
      </x:c>
      <x:c r="AA168" s="28" t="str">
        <x:v>High</x:v>
      </x:c>
      <x:c r="AB168" s="28" t="str">
        <x:v>Pass</x:v>
      </x:c>
      <x:c r="AC168" s="28" t="str">
        <x:v>Pending human review</x:v>
      </x:c>
      <x:c r="AD168" s="28" t="str"/>
      <x:c r="AE168" s="28" t="n">
        <x:v>46238.87231481481</x:v>
      </x:c>
    </x:row>
    <x:row r="169" ht="60" customHeight="1">
      <x:c r="A169" s="28" t="str">
        <x:v>ANC-SLE-046-01</x:v>
      </x:c>
      <x:c r="B169" s="28" t="str">
        <x:v>SLE-046</x:v>
      </x:c>
      <x:c r="C169" s="28" t="str">
        <x:v>DOC-SLE-WC-2026</x:v>
      </x:c>
      <x:c r="D169" s="28" t="str">
        <x:v>Primary Evidence</x:v>
      </x:c>
      <x:c r="E169" s="28" t="str">
        <x:v>Text Span</x:v>
      </x:c>
      <x:c r="F169" s="28" t="str"/>
      <x:c r="G169" s="28" t="str">
        <x:v>PDF pp. 17–18, Appendix 1</x:v>
      </x:c>
      <x:c r="H169" s="28" t="n">
        <x:v>17</x:v>
      </x:c>
      <x:c r="I169" s="28" t="n">
        <x:v>18</x:v>
      </x:c>
      <x:c r="J169" s="28" t="n">
        <x:v>18</x:v>
      </x:c>
      <x:c r="K169" s="28" t="str">
        <x:v>18</x:v>
      </x:c>
      <x:c r="L169" s="28" t="str">
        <x:v>Programmatic outlook</x:v>
      </x:c>
      <x:c r="M169" s="28" t="str">
        <x:v>0.30 0.30 0.00 0.10 0.10 0.10 0.00 0.00 (iv) Monitor the implementation of the activities outlined in the 0.50 0.50 0.00 0.10 0.10 0.10 0.10 0.10 NWASHSDP to inform policy (v)Design and implementation of framework for collaborating with 0.10 0.10 0.00 0.02 0.02 0,02 0.02 0.00 MLGCA in WASH delivery (vi)Rolling out an M&amp;E system for all local councils 1.30 1.30 0.00 0.50 0.20 0.20 0.20 0.20 Gender, Equity (3) empower both sexes (i) Carry</x:v>
      </x:c>
      <x:c r="N169" s="28" t="str">
        <x:v>0 30 0 30 0 00 0 10 0 10 0 10 0 00 0 00 iv monitor the implementation of the activity outlin in the 0 50 0 50 0 00 0 10 0 10 0 10 0 10 0 10 nwashsdp to inform policy v design and implementation of framework for collaborat with 0 10 0 10 0 00 0 02 0 02 0 02 0 02 0 00 mlgca in wash delivery vi roll out an m e system for all local council 1 30 1 30 0 00 0 50 0 20 0 20 0 20 0 20 gender equity 3 empower both sexe i carry</x:v>
      </x:c>
      <x:c r="O169" s="28" t="str">
        <x:v>727861730dcac496150fb609aa7c320ad0c0ec555fbc63235a806bbb79b09556</x:v>
      </x:c>
      <x:c r="P169" s="28" t="str"/>
      <x:c r="Q169" s="28" t="str"/>
      <x:c r="R169" s="28" t="str">
        <x:v>[[276,280],[281,285],[286,290],[291,295],[296,300],[301,305],[306,310],[311,315],[316,381],[408,412],[413,417],[418,422],[423,427],[428,432],[433,437],[438,442],[443,447],[382,407],[448,512],[536,540],[541,545],[546,550],[551,555],[556,560],[561,565],[566,570],[571,575],[513,535],[576,628],[629,633],[634,638],[639,643],[644,648],[649,653],[654,658],[659,663],[664,668],[669,683],[684,706],[707,716]]</x:v>
      </x:c>
      <x:c r="S169" s="28" t="str">
        <x:v>Fuzzy token-window match</x:v>
      </x:c>
      <x:c r="T169" s="28" t="str">
        <x:v>Tier 2 Label</x:v>
      </x:c>
      <x:c r="U169" s="28" t="str">
        <x:v>National sector M&amp;E system</x:v>
      </x:c>
      <x:c r="V169" s="28" t="n">
        <x:v>0.730186</x:v>
      </x:c>
      <x:c r="W169" s="28" t="n">
        <x:v>1</x:v>
      </x:c>
      <x:c r="X169" s="28" t="n">
        <x:v>1</x:v>
      </x:c>
      <x:c r="Y169" s="28" t="n">
        <x:v>1</x:v>
      </x:c>
      <x:c r="Z169" s="28" t="n">
        <x:v>0.52381</x:v>
      </x:c>
      <x:c r="AA169" s="28" t="str">
        <x:v>Medium</x:v>
      </x:c>
      <x:c r="AB169" s="28" t="str">
        <x:v>Pass</x:v>
      </x:c>
      <x:c r="AC169" s="28" t="str">
        <x:v>Pending human review</x:v>
      </x:c>
      <x:c r="AD169" s="28" t="str"/>
      <x:c r="AE169" s="28" t="n">
        <x:v>46238.87231481481</x:v>
      </x:c>
    </x:row>
    <x:row r="170" ht="60" customHeight="1">
      <x:c r="A170" s="28" t="str">
        <x:v>ANC-SLE-047-01</x:v>
      </x:c>
      <x:c r="B170" s="28" t="str">
        <x:v>SLE-047</x:v>
      </x:c>
      <x:c r="C170" s="28" t="str">
        <x:v>DOC-SLE-WC-2026</x:v>
      </x:c>
      <x:c r="D170" s="28" t="str">
        <x:v>Duplicate/Sub-action Evidence</x:v>
      </x:c>
      <x:c r="E170" s="28" t="str">
        <x:v>Text Span</x:v>
      </x:c>
      <x:c r="F170" s="28" t="str"/>
      <x:c r="G170" s="28" t="str">
        <x:v>PDF p. 18, Appendix 1</x:v>
      </x:c>
      <x:c r="H170" s="28" t="n">
        <x:v>18</x:v>
      </x:c>
      <x:c r="I170" s="28" t="n">
        <x:v>18</x:v>
      </x:c>
      <x:c r="J170" s="28" t="n">
        <x:v>18</x:v>
      </x:c>
      <x:c r="K170" s="28" t="str">
        <x:v>18</x:v>
      </x:c>
      <x:c r="L170" s="28" t="str">
        <x:v>Programmatic outlook</x:v>
      </x:c>
      <x:c r="M170" s="28" t="str">
        <x:v>Thematic Area Proposed strategy Indicative Activities Total Cost Recurrent Capital Year (US$m) (US$m) (US$m) 2026 2027 2028 2029 2030 GSGDA update (iii)Set up and adequately resource M&amp;E units at GVWC, SALWACO and NRRMA to provide regular updates on agreed sector indicators.</x:v>
      </x:c>
      <x:c r="N170" s="28" t="str">
        <x:v>thematic area propos strategy indicative activity total cost recurrent capital year us m us m us m 2026 2027 2028 2029 2030 gsgda update iii set up and adequately resource m e unit at gvwc salwaco and nrrma to provide regular update on agre sector indicator</x:v>
      </x:c>
      <x:c r="O170" s="28" t="str">
        <x:v>e20068ab0684dcc384aa0d77c798550e7623f7f451bee85cfad267ad776fc06a</x:v>
      </x:c>
      <x:c r="P170" s="28" t="str"/>
      <x:c r="Q170" s="28" t="str"/>
      <x:c r="R170" s="28" t="str">
        <x:v>[[0,13],[14,31],[32,53],[54,64],[65,74],[75,82],[83,87],[88,94],[95,101],[102,108],[109,113],[114,118],[119,123],[124,128],[129,133],[134,146],[147,213],[214,275]]</x:v>
      </x:c>
      <x:c r="S170" s="28" t="str">
        <x:v>Fuzzy token-window match</x:v>
      </x:c>
      <x:c r="T170" s="28" t="str">
        <x:v>Verified PDF locator hint</x:v>
      </x:c>
      <x:c r="U170" s="28" t="str">
        <x:v>Set up and adequately resource M&amp;E units at GVWC, SALWACO and NRRMA</x:v>
      </x:c>
      <x:c r="V170" s="28" t="n">
        <x:v>0.930849</x:v>
      </x:c>
      <x:c r="W170" s="28" t="n">
        <x:v>0.938875</x:v>
      </x:c>
      <x:c r="X170" s="28" t="n">
        <x:v>1</x:v>
      </x:c>
      <x:c r="Y170" s="28" t="n">
        <x:v>0.884793</x:v>
      </x:c>
      <x:c r="Z170" s="28" t="n">
        <x:v>0.9375</x:v>
      </x:c>
      <x:c r="AA170" s="28" t="str">
        <x:v>High</x:v>
      </x:c>
      <x:c r="AB170" s="28" t="str">
        <x:v>Pass</x:v>
      </x:c>
      <x:c r="AC170" s="28" t="str">
        <x:v>Pending human review</x:v>
      </x:c>
      <x:c r="AD170" s="28" t="str"/>
      <x:c r="AE170" s="28" t="n">
        <x:v>46238.87231481481</x:v>
      </x:c>
    </x:row>
    <x:row r="171" ht="60" customHeight="1">
      <x:c r="A171" s="28" t="str">
        <x:v>ANC-SLE-048-01</x:v>
      </x:c>
      <x:c r="B171" s="28" t="str">
        <x:v>SLE-048</x:v>
      </x:c>
      <x:c r="C171" s="28" t="str">
        <x:v>DOC-SLE-WC-2026</x:v>
      </x:c>
      <x:c r="D171" s="28" t="str">
        <x:v>Primary Evidence</x:v>
      </x:c>
      <x:c r="E171" s="28" t="str">
        <x:v>Text Span</x:v>
      </x:c>
      <x:c r="F171" s="28" t="str"/>
      <x:c r="G171" s="28" t="str">
        <x:v>PDF p. 18, Appendix 1</x:v>
      </x:c>
      <x:c r="H171" s="28" t="n">
        <x:v>18</x:v>
      </x:c>
      <x:c r="I171" s="28" t="n">
        <x:v>18</x:v>
      </x:c>
      <x:c r="J171" s="28" t="n">
        <x:v>18</x:v>
      </x:c>
      <x:c r="K171" s="28" t="str">
        <x:v>18</x:v>
      </x:c>
      <x:c r="L171" s="28" t="str">
        <x:v>Programmatic outlook</x:v>
      </x:c>
      <x:c r="M171" s="28" t="str">
        <x:v>0.30 0.30 0.00 0.10 0.10 0.10 0.00 0.00 (iv) Monitor the implementation of the activities outlined in the 0.50 0.50 0.00 0.10 0.10 0.10 0.10 0.10 NWASHSDP to inform policy (v)Design and implementation of framework for collaborating with 0.10 0.10 0.00 0.02 0.02 0,02 0.02 0.00 MLGCA in WASH delivery (vi)Rolling out an M&amp;E system for all local councils 1.30 1.30 0.00 0.50 0.20 0.20 0.20 0.20 Gender, Equity (3) empower both sexes (i) Carry</x:v>
      </x:c>
      <x:c r="N171" s="28" t="str">
        <x:v>0 30 0 30 0 00 0 10 0 10 0 10 0 00 0 00 iv monitor the implementation of the activity outlin in the 0 50 0 50 0 00 0 10 0 10 0 10 0 10 0 10 nwashsdp to inform policy v design and implementation of framework for collaborat with 0 10 0 10 0 00 0 02 0 02 0 02 0 02 0 00 mlgca in wash delivery vi roll out an m e system for all local council 1 30 1 30 0 00 0 50 0 20 0 20 0 20 0 20 gender equity 3 empower both sexe i carry</x:v>
      </x:c>
      <x:c r="O171" s="28" t="str">
        <x:v>727861730dcac496150fb609aa7c320ad0c0ec555fbc63235a806bbb79b09556</x:v>
      </x:c>
      <x:c r="P171" s="28" t="str"/>
      <x:c r="Q171" s="28" t="str"/>
      <x:c r="R171" s="28" t="str">
        <x:v>[[276,280],[281,285],[286,290],[291,295],[296,300],[301,305],[306,310],[311,315],[316,381],[408,412],[413,417],[418,422],[423,427],[428,432],[433,437],[438,442],[443,447],[382,407],[448,512],[536,540],[541,545],[546,550],[551,555],[556,560],[561,565],[566,570],[571,575],[513,535],[576,628],[629,633],[634,638],[639,643],[644,648],[649,653],[654,658],[659,663],[664,668],[669,683],[684,706],[707,716]]</x:v>
      </x:c>
      <x:c r="S171" s="28" t="str">
        <x:v>Fuzzy token-window match</x:v>
      </x:c>
      <x:c r="T171" s="28" t="str">
        <x:v>Standardized Candidate</x:v>
      </x:c>
      <x:c r="U171" s="28" t="str">
        <x:v>Adopt a collaboration framework with MLGCA for WASH delivery</x:v>
      </x:c>
      <x:c r="V171" s="28" t="n">
        <x:v>0.747502</x:v>
      </x:c>
      <x:c r="W171" s="28" t="n">
        <x:v>0.798158</x:v>
      </x:c>
      <x:c r="X171" s="28" t="n">
        <x:v>0.904348</x:v>
      </x:c>
      <x:c r="Y171" s="28" t="n">
        <x:v>0.714286</x:v>
      </x:c>
      <x:c r="Z171" s="28" t="n">
        <x:v>0.695652</x:v>
      </x:c>
      <x:c r="AA171" s="28" t="str">
        <x:v>Medium</x:v>
      </x:c>
      <x:c r="AB171" s="28" t="str">
        <x:v>Pass</x:v>
      </x:c>
      <x:c r="AC171" s="28" t="str">
        <x:v>Pending human review</x:v>
      </x:c>
      <x:c r="AD171" s="28" t="str"/>
      <x:c r="AE171" s="28" t="n">
        <x:v>46238.87231481481</x:v>
      </x:c>
    </x:row>
    <x:row r="172" ht="60" customHeight="1">
      <x:c r="A172" s="28" t="str">
        <x:v>ANC-SLE-049-01</x:v>
      </x:c>
      <x:c r="B172" s="28" t="str">
        <x:v>SLE-049</x:v>
      </x:c>
      <x:c r="C172" s="28" t="str">
        <x:v>DOC-SLE-WC-2026</x:v>
      </x:c>
      <x:c r="D172" s="28" t="str">
        <x:v>Duplicate/Sub-action Evidence</x:v>
      </x:c>
      <x:c r="E172" s="28" t="str">
        <x:v>Text Span</x:v>
      </x:c>
      <x:c r="F172" s="28" t="str"/>
      <x:c r="G172" s="28" t="str">
        <x:v>PDF p. 18, Appendix 1</x:v>
      </x:c>
      <x:c r="H172" s="28" t="n">
        <x:v>18</x:v>
      </x:c>
      <x:c r="I172" s="28" t="n">
        <x:v>18</x:v>
      </x:c>
      <x:c r="J172" s="28" t="n">
        <x:v>18</x:v>
      </x:c>
      <x:c r="K172" s="28" t="str">
        <x:v>18</x:v>
      </x:c>
      <x:c r="L172" s="28" t="str">
        <x:v>Programmatic outlook</x:v>
      </x:c>
      <x:c r="M172" s="28" t="str">
        <x:v>(vi)Rolling out an M&amp;E system for all local councils</x:v>
      </x:c>
      <x:c r="N172" s="28" t="str">
        <x:v>vi roll out an m e system for all local council</x:v>
      </x:c>
      <x:c r="O172" s="28" t="str">
        <x:v>942c5509d204cf73850d30bfe1c73ebb6b7463acebd2762df0d1c9bd2e5b225a</x:v>
      </x:c>
      <x:c r="P172" s="28" t="n">
        <x:v>576</x:v>
      </x:c>
      <x:c r="Q172" s="28" t="n">
        <x:v>628</x:v>
      </x:c>
      <x:c r="R172" s="28" t="str">
        <x:v>[[576,628]]</x:v>
      </x:c>
      <x:c r="S172" s="28" t="str">
        <x:v>Fuzzy spatial line-cluster match</x:v>
      </x:c>
      <x:c r="T172" s="28" t="str">
        <x:v>Standardized Candidate</x:v>
      </x:c>
      <x:c r="U172" s="28" t="str">
        <x:v>Roll out the sector M&amp;E system to all local councils</x:v>
      </x:c>
      <x:c r="V172" s="28" t="n">
        <x:v>0.823653</x:v>
      </x:c>
      <x:c r="W172" s="28" t="n">
        <x:v>0.880677</x:v>
      </x:c>
      <x:c r="X172" s="28" t="n">
        <x:v>0.912281</x:v>
      </x:c>
      <x:c r="Y172" s="28" t="n">
        <x:v>0.85119</x:v>
      </x:c>
      <x:c r="Z172" s="28" t="n">
        <x:v>0.8125</x:v>
      </x:c>
      <x:c r="AA172" s="28" t="str">
        <x:v>High</x:v>
      </x:c>
      <x:c r="AB172" s="28" t="str">
        <x:v>Pass</x:v>
      </x:c>
      <x:c r="AC172" s="28" t="str">
        <x:v>Pending human review</x:v>
      </x:c>
      <x:c r="AD172" s="28" t="str"/>
      <x:c r="AE172" s="28" t="n">
        <x:v>46238.87231481481</x:v>
      </x:c>
    </x:row>
    <x:row r="173" ht="60" customHeight="1">
      <x:c r="A173" s="28" t="str">
        <x:v>ANC-SLE-050-01</x:v>
      </x:c>
      <x:c r="B173" s="28" t="str">
        <x:v>SLE-050</x:v>
      </x:c>
      <x:c r="C173" s="28" t="str">
        <x:v>DOC-SLE-WC-2026</x:v>
      </x:c>
      <x:c r="D173" s="28" t="str">
        <x:v>Primary Evidence</x:v>
      </x:c>
      <x:c r="E173" s="28" t="str">
        <x:v>Text Span</x:v>
      </x:c>
      <x:c r="F173" s="28" t="str"/>
      <x:c r="G173" s="28" t="str">
        <x:v>PDF p. 18, Appendix 1</x:v>
      </x:c>
      <x:c r="H173" s="28" t="n">
        <x:v>18</x:v>
      </x:c>
      <x:c r="I173" s="28" t="n">
        <x:v>18</x:v>
      </x:c>
      <x:c r="J173" s="28" t="n">
        <x:v>18</x:v>
      </x:c>
      <x:c r="K173" s="28" t="str">
        <x:v>18</x:v>
      </x:c>
      <x:c r="L173" s="28" t="str">
        <x:v>Programmatic outlook</x:v>
      </x:c>
      <x:c r="M173" s="28" t="str">
        <x:v>0.20 0.20 0.00 0.100 0.10 0.00 0.00 0.00 (v) Include gender-specific indicators in data collection and analysis to track progress and identify gaps.</x:v>
      </x:c>
      <x:c r="N173" s="28" t="str">
        <x:v>0 20 0 20 0 00 0 100 0 10 0 00 0 00 0 00 v include genderspecific indicator in data collection and analysi to track progress and identify gaps</x:v>
      </x:c>
      <x:c r="O173" s="28" t="str">
        <x:v>8af26b61dccf552d7b6307de6440f143350749b09c25774ec3567775738bda55</x:v>
      </x:c>
      <x:c r="P173" s="28" t="str"/>
      <x:c r="Q173" s="28" t="str"/>
      <x:c r="R173" s="28" t="str">
        <x:v>[[1281,1285],[1286,1290],[1291,1295],[1296,1301],[1302,1306],[1307,1311],[1312,1316],[1317,1321],[1322,1395],[1396,1429]]</x:v>
      </x:c>
      <x:c r="S173" s="28" t="str">
        <x:v>Fuzzy token-window match</x:v>
      </x:c>
      <x:c r="T173" s="28" t="str">
        <x:v>Original Compact Text</x:v>
      </x:c>
      <x:c r="U173" s="28" t="str">
        <x:v>Gender-specific sector indicators</x:v>
      </x:c>
      <x:c r="V173" s="28" t="n">
        <x:v>0.999</x:v>
      </x:c>
      <x:c r="W173" s="28" t="n">
        <x:v>1</x:v>
      </x:c>
      <x:c r="X173" s="28" t="n">
        <x:v>1</x:v>
      </x:c>
      <x:c r="Y173" s="28" t="n">
        <x:v>1</x:v>
      </x:c>
      <x:c r="Z173" s="28" t="n">
        <x:v>0.827586</x:v>
      </x:c>
      <x:c r="AA173" s="28" t="str">
        <x:v>High</x:v>
      </x:c>
      <x:c r="AB173" s="28" t="str">
        <x:v>Pass</x:v>
      </x:c>
      <x:c r="AC173" s="28" t="str">
        <x:v>Pending human review</x:v>
      </x:c>
      <x:c r="AD173" s="28" t="str"/>
      <x:c r="AE173" s="28" t="n">
        <x:v>46238.87231481481</x:v>
      </x:c>
    </x:row>
    <x:row r="174" ht="60" customHeight="1">
      <x:c r="A174" s="28" t="str">
        <x:v>ANC-SLE-051-01</x:v>
      </x:c>
      <x:c r="B174" s="28" t="str">
        <x:v>SLE-051</x:v>
      </x:c>
      <x:c r="C174" s="28" t="str">
        <x:v>DOC-SLE-WC-2026</x:v>
      </x:c>
      <x:c r="D174" s="28" t="str">
        <x:v>Primary Evidence</x:v>
      </x:c>
      <x:c r="E174" s="28" t="str">
        <x:v>Text Span</x:v>
      </x:c>
      <x:c r="F174" s="28" t="str"/>
      <x:c r="G174" s="28" t="str">
        <x:v>PDF p. 18, Appendix 1</x:v>
      </x:c>
      <x:c r="H174" s="28" t="n">
        <x:v>18</x:v>
      </x:c>
      <x:c r="I174" s="28" t="n">
        <x:v>18</x:v>
      </x:c>
      <x:c r="J174" s="28" t="n">
        <x:v>18</x:v>
      </x:c>
      <x:c r="K174" s="28" t="str">
        <x:v>18</x:v>
      </x:c>
      <x:c r="L174" s="28" t="str">
        <x:v>Programmatic outlook</x:v>
      </x:c>
      <x:c r="M174" s="28" t="str">
        <x:v>(iv) Establish mentorship programs to support women's career advancement in the WASH sector.</x:v>
      </x:c>
      <x:c r="N174" s="28" t="str">
        <x:v>iv establish mentorship program to support women career advancement in the wash sector</x:v>
      </x:c>
      <x:c r="O174" s="28" t="str">
        <x:v>81a1b9ffe247f33757a3d32650df2f31976972e22454a084d4207801aa5ae34b</x:v>
      </x:c>
      <x:c r="P174" s="28" t="str"/>
      <x:c r="Q174" s="28" t="str"/>
      <x:c r="R174" s="28" t="str">
        <x:v>[[1188,1248],[1249,1280]]</x:v>
      </x:c>
      <x:c r="S174" s="28" t="str">
        <x:v>Fuzzy spatial line-cluster match</x:v>
      </x:c>
      <x:c r="T174" s="28" t="str">
        <x:v>Original Compact Text</x:v>
      </x:c>
      <x:c r="U174" s="28" t="str">
        <x:v>Women’s WASH mentorship programs</x:v>
      </x:c>
      <x:c r="V174" s="28" t="n">
        <x:v>0.807132</x:v>
      </x:c>
      <x:c r="W174" s="28" t="n">
        <x:v>0.863071</x:v>
      </x:c>
      <x:c r="X174" s="28" t="n">
        <x:v>0.759124</x:v>
      </x:c>
      <x:c r="Y174" s="28" t="n">
        <x:v>1</x:v>
      </x:c>
      <x:c r="Z174" s="28" t="n">
        <x:v>0.4</x:v>
      </x:c>
      <x:c r="AA174" s="28" t="str">
        <x:v>High</x:v>
      </x:c>
      <x:c r="AB174" s="28" t="str">
        <x:v>Pass</x:v>
      </x:c>
      <x:c r="AC174" s="28" t="str">
        <x:v>Pending human review</x:v>
      </x:c>
      <x:c r="AD174" s="28" t="str"/>
      <x:c r="AE174" s="28" t="n">
        <x:v>46238.87231481481</x:v>
      </x:c>
    </x:row>
    <x:row r="175" ht="60" customHeight="1">
      <x:c r="A175" s="28" t="str">
        <x:v>ANC-SLE-052-01</x:v>
      </x:c>
      <x:c r="B175" s="28" t="str">
        <x:v>SLE-052</x:v>
      </x:c>
      <x:c r="C175" s="28" t="str">
        <x:v>DOC-SLE-WC-2026</x:v>
      </x:c>
      <x:c r="D175" s="28" t="str">
        <x:v>Primary Evidence</x:v>
      </x:c>
      <x:c r="E175" s="28" t="str">
        <x:v>Text Span</x:v>
      </x:c>
      <x:c r="F175" s="28" t="str"/>
      <x:c r="G175" s="28" t="str">
        <x:v>PDF p. 8, goals</x:v>
      </x:c>
      <x:c r="H175" s="28" t="n">
        <x:v>8</x:v>
      </x:c>
      <x:c r="I175" s="28" t="n">
        <x:v>8</x:v>
      </x:c>
      <x:c r="J175" s="28" t="n">
        <x:v>8</x:v>
      </x:c>
      <x:c r="K175" s="28" t="str">
        <x:v>8</x:v>
      </x:c>
      <x:c r="L175" s="28" t="str">
        <x:v>Reform aspiration</x:v>
      </x:c>
      <x:c r="M175" s="28" t="str">
        <x:v>Institutional strengthening and capacity building for all water sector institutions.</x:v>
      </x:c>
      <x:c r="N175" s="28" t="str">
        <x:v>institutional strengthen and capacity build for all water sector institution</x:v>
      </x:c>
      <x:c r="O175" s="28" t="str">
        <x:v>2a3e54856c3c5dc76ef426899455bb9a3457ce5a1eb73d082718c72f0d69dbd4</x:v>
      </x:c>
      <x:c r="P175" s="28" t="n">
        <x:v>2427</x:v>
      </x:c>
      <x:c r="Q175" s="28" t="n">
        <x:v>2511</x:v>
      </x:c>
      <x:c r="R175" s="28" t="str">
        <x:v>[[2427,2511]]</x:v>
      </x:c>
      <x:c r="S175" s="28" t="str">
        <x:v>Fuzzy token-window match</x:v>
      </x:c>
      <x:c r="T175" s="28" t="str">
        <x:v>Original Compact Text</x:v>
      </x:c>
      <x:c r="U175" s="28" t="str">
        <x:v>Strengthen all sector institutions</x:v>
      </x:c>
      <x:c r="V175" s="28" t="n">
        <x:v>0.99041</x:v>
      </x:c>
      <x:c r="W175" s="28" t="n">
        <x:v>1</x:v>
      </x:c>
      <x:c r="X175" s="28" t="n">
        <x:v>1</x:v>
      </x:c>
      <x:c r="Y175" s="28" t="n">
        <x:v>1</x:v>
      </x:c>
      <x:c r="Z175" s="28" t="n">
        <x:v>0.721311</x:v>
      </x:c>
      <x:c r="AA175" s="28" t="str">
        <x:v>High</x:v>
      </x:c>
      <x:c r="AB175" s="28" t="str">
        <x:v>Pass</x:v>
      </x:c>
      <x:c r="AC175" s="28" t="str">
        <x:v>Pending human review</x:v>
      </x:c>
      <x:c r="AD175" s="28" t="str"/>
      <x:c r="AE175" s="28" t="n">
        <x:v>46238.87231481481</x:v>
      </x:c>
    </x:row>
    <x:row r="176" ht="60" customHeight="1">
      <x:c r="A176" s="28" t="str">
        <x:v>ANC-SLE-053-01</x:v>
      </x:c>
      <x:c r="B176" s="28" t="str">
        <x:v>SLE-053</x:v>
      </x:c>
      <x:c r="C176" s="28" t="str">
        <x:v>DOC-SLE-WC-2026</x:v>
      </x:c>
      <x:c r="D176" s="28" t="str">
        <x:v>Primary Evidence</x:v>
      </x:c>
      <x:c r="E176" s="28" t="str">
        <x:v>Text Span</x:v>
      </x:c>
      <x:c r="F176" s="28" t="str"/>
      <x:c r="G176" s="28" t="str">
        <x:v>PDF p. 8, goals</x:v>
      </x:c>
      <x:c r="H176" s="28" t="n">
        <x:v>8</x:v>
      </x:c>
      <x:c r="I176" s="28" t="n">
        <x:v>8</x:v>
      </x:c>
      <x:c r="J176" s="28" t="n">
        <x:v>8</x:v>
      </x:c>
      <x:c r="K176" s="28" t="str">
        <x:v>8</x:v>
      </x:c>
      <x:c r="L176" s="28" t="str">
        <x:v>Reform aspiration</x:v>
      </x:c>
      <x:c r="M176" s="28" t="str">
        <x:v>Improving water, sanitation, and hygiene sector financing.</x:v>
      </x:c>
      <x:c r="N176" s="28" t="str">
        <x:v>improv water sanitation and hygiene sector financ</x:v>
      </x:c>
      <x:c r="O176" s="28" t="str">
        <x:v>2e48f30b727bfc715b4798cc114d444695bd39321342503c20858d8ef5a59dd8</x:v>
      </x:c>
      <x:c r="P176" s="28" t="n">
        <x:v>2515</x:v>
      </x:c>
      <x:c r="Q176" s="28" t="n">
        <x:v>2573</x:v>
      </x:c>
      <x:c r="R176" s="28" t="str">
        <x:v>[[2515,2573]]</x:v>
      </x:c>
      <x:c r="S176" s="28" t="str">
        <x:v>Fuzzy token-window match</x:v>
      </x:c>
      <x:c r="T176" s="28" t="str">
        <x:v>Original Compact Text</x:v>
      </x:c>
      <x:c r="U176" s="28" t="str">
        <x:v>Improve WASH sector financing</x:v>
      </x:c>
      <x:c r="V176" s="28" t="n">
        <x:v>0.681136</x:v>
      </x:c>
      <x:c r="W176" s="28" t="n">
        <x:v>0.712644</x:v>
      </x:c>
      <x:c r="X176" s="28" t="n">
        <x:v>1</x:v>
      </x:c>
      <x:c r="Y176" s="28" t="n">
        <x:v>0.553571</x:v>
      </x:c>
      <x:c r="Z176" s="28" t="n">
        <x:v>0.666667</x:v>
      </x:c>
      <x:c r="AA176" s="28" t="str">
        <x:v>Medium</x:v>
      </x:c>
      <x:c r="AB176" s="28" t="str">
        <x:v>Pass</x:v>
      </x:c>
      <x:c r="AC176" s="28" t="str">
        <x:v>Pending human review</x:v>
      </x:c>
      <x:c r="AD176" s="28" t="str"/>
      <x:c r="AE176" s="28" t="n">
        <x:v>46238.87231481481</x:v>
      </x:c>
    </x:row>
    <x:row r="177" ht="60" customHeight="1">
      <x:c r="A177" s="28" t="str">
        <x:v>ANC-SLE-054-01</x:v>
      </x:c>
      <x:c r="B177" s="28" t="str">
        <x:v>SLE-054</x:v>
      </x:c>
      <x:c r="C177" s="28" t="str">
        <x:v>DOC-SLE-WC-2026</x:v>
      </x:c>
      <x:c r="D177" s="28" t="str">
        <x:v>Primary Evidence</x:v>
      </x:c>
      <x:c r="E177" s="28" t="str">
        <x:v>Text Span</x:v>
      </x:c>
      <x:c r="F177" s="28" t="str"/>
      <x:c r="G177" s="28" t="str">
        <x:v>PDF p. 10, Priority Action 1</x:v>
      </x:c>
      <x:c r="H177" s="28" t="n">
        <x:v>10</x:v>
      </x:c>
      <x:c r="I177" s="28" t="n">
        <x:v>10</x:v>
      </x:c>
      <x:c r="J177" s="28" t="n">
        <x:v>10</x:v>
      </x:c>
      <x:c r="K177" s="28" t="str">
        <x:v>10</x:v>
      </x:c>
      <x:c r="L177" s="28" t="str">
        <x:v>Reform aspiration</x:v>
      </x:c>
      <x:c r="M177" s="28" t="str">
        <x:v>This priority will improve service delivery performance, customer engagement, and promote cost- recovery.</x:v>
      </x:c>
      <x:c r="N177" s="28" t="str">
        <x:v>this priority will improve service delivery performance customer engagement and promote cost recovery</x:v>
      </x:c>
      <x:c r="O177" s="28" t="str">
        <x:v>45b8d5f90b6119104b1a3d0d6abf5fbb56126acaefadb134bfb7692d555e4a49</x:v>
      </x:c>
      <x:c r="P177" s="28" t="str"/>
      <x:c r="Q177" s="28" t="str"/>
      <x:c r="R177" s="28" t="str">
        <x:v>[[1762,1857],[1858,1867]]</x:v>
      </x:c>
      <x:c r="S177" s="28" t="str">
        <x:v>Fuzzy token-window match</x:v>
      </x:c>
      <x:c r="T177" s="28" t="str">
        <x:v>Original Compact Text</x:v>
      </x:c>
      <x:c r="U177" s="28" t="str">
        <x:v>Improve customer engagement and cost recovery</x:v>
      </x:c>
      <x:c r="V177" s="28" t="n">
        <x:v>0.980695</x:v>
      </x:c>
      <x:c r="W177" s="28" t="n">
        <x:v>0.95382</x:v>
      </x:c>
      <x:c r="X177" s="28" t="n">
        <x:v>0.911717</x:v>
      </x:c>
      <x:c r="Y177" s="28" t="n">
        <x:v>1</x:v>
      </x:c>
      <x:c r="Z177" s="28" t="n">
        <x:v>0.822222</x:v>
      </x:c>
      <x:c r="AA177" s="28" t="str">
        <x:v>High</x:v>
      </x:c>
      <x:c r="AB177" s="28" t="str">
        <x:v>Pass</x:v>
      </x:c>
      <x:c r="AC177" s="28" t="str">
        <x:v>Pending human review</x:v>
      </x:c>
      <x:c r="AD177" s="28" t="str"/>
      <x:c r="AE177" s="28" t="n">
        <x:v>46238.87231481481</x:v>
      </x:c>
    </x:row>
    <x:row r="178" ht="60" customHeight="1">
      <x:c r="A178" s="28" t="str">
        <x:v>ANC-SLE-055-01</x:v>
      </x:c>
      <x:c r="B178" s="28" t="str">
        <x:v>SLE-055</x:v>
      </x:c>
      <x:c r="C178" s="28" t="str">
        <x:v>DOC-SLE-WC-2026</x:v>
      </x:c>
      <x:c r="D178" s="28" t="str">
        <x:v>Primary Evidence</x:v>
      </x:c>
      <x:c r="E178" s="28" t="str">
        <x:v>Text Span</x:v>
      </x:c>
      <x:c r="F178" s="28" t="str"/>
      <x:c r="G178" s="28" t="str">
        <x:v>PDF p. 11, Priority Action 3</x:v>
      </x:c>
      <x:c r="H178" s="28" t="n">
        <x:v>11</x:v>
      </x:c>
      <x:c r="I178" s="28" t="n">
        <x:v>11</x:v>
      </x:c>
      <x:c r="J178" s="28" t="n">
        <x:v>11</x:v>
      </x:c>
      <x:c r="K178" s="28" t="str">
        <x:v>11</x:v>
      </x:c>
      <x:c r="L178" s="28" t="str">
        <x:v>Reform aspiration</x:v>
      </x:c>
      <x:c r="M178" s="28" t="str">
        <x:v>Priority Action 3: Invest in Inclusive Sanitation and Hygiene Services with a Gender-responsive</x:v>
      </x:c>
      <x:c r="N178" s="28" t="str">
        <x:v>priority action 3 invest in inclusive sanitation and hygiene service with a genderresponsive</x:v>
      </x:c>
      <x:c r="O178" s="28" t="str">
        <x:v>1ce4684f46b731ff5bf804fa2dd234dc3382524781ca35efafd445ede758ce96</x:v>
      </x:c>
      <x:c r="P178" s="28" t="n">
        <x:v>0</x:v>
      </x:c>
      <x:c r="Q178" s="28" t="n">
        <x:v>95</x:v>
      </x:c>
      <x:c r="R178" s="28" t="str">
        <x:v>[[0,95]]</x:v>
      </x:c>
      <x:c r="S178" s="28" t="str">
        <x:v>Fuzzy spatial line-cluster match</x:v>
      </x:c>
      <x:c r="T178" s="28" t="str">
        <x:v>Original Compact Text</x:v>
      </x:c>
      <x:c r="U178" s="28" t="str">
        <x:v>Gender-responsive inclusive sanitation</x:v>
      </x:c>
      <x:c r="V178" s="28" t="n">
        <x:v>0.744319</x:v>
      </x:c>
      <x:c r="W178" s="28" t="n">
        <x:v>0.777328</x:v>
      </x:c>
      <x:c r="X178" s="28" t="n">
        <x:v>0.635762</x:v>
      </x:c>
      <x:c r="Y178" s="28" t="n">
        <x:v>1</x:v>
      </x:c>
      <x:c r="Z178" s="28" t="n">
        <x:v>0.387597</x:v>
      </x:c>
      <x:c r="AA178" s="28" t="str">
        <x:v>Medium</x:v>
      </x:c>
      <x:c r="AB178" s="28" t="str">
        <x:v>Pass</x:v>
      </x:c>
      <x:c r="AC178" s="28" t="str">
        <x:v>Pending human review</x:v>
      </x:c>
      <x:c r="AD178" s="28" t="str"/>
      <x:c r="AE178" s="28" t="n">
        <x:v>46238.87231481481</x:v>
      </x:c>
    </x:row>
    <x:row r="179" ht="60" customHeight="1">
      <x:c r="A179" s="28" t="str">
        <x:v>ANC-SLE-056-01</x:v>
      </x:c>
      <x:c r="B179" s="28" t="str">
        <x:v>SLE-056</x:v>
      </x:c>
      <x:c r="C179" s="28" t="str">
        <x:v>DOC-SLE-WC-2026</x:v>
      </x:c>
      <x:c r="D179" s="28" t="str">
        <x:v>Exclusion Evidence</x:v>
      </x:c>
      <x:c r="E179" s="28" t="str">
        <x:v>Table Cell/Row</x:v>
      </x:c>
      <x:c r="F179" s="28" t="str"/>
      <x:c r="G179" s="28" t="str">
        <x:v>PDF p. 9, Table 1</x:v>
      </x:c>
      <x:c r="H179" s="28" t="n">
        <x:v>9</x:v>
      </x:c>
      <x:c r="I179" s="28" t="n">
        <x:v>9</x:v>
      </x:c>
      <x:c r="J179" s="28" t="n">
        <x:v>9</x:v>
      </x:c>
      <x:c r="K179" s="28" t="str">
        <x:v>9</x:v>
      </x:c>
      <x:c r="L179" s="28" t="str">
        <x:v>Target table</x:v>
      </x:c>
      <x:c r="M179" s="28" t="str">
        <x:v>Achieve 90% access to at least basic water services</x:v>
      </x:c>
      <x:c r="N179" s="28" t="str">
        <x:v>achieve 90 access to at least basic water service</x:v>
      </x:c>
      <x:c r="O179" s="28" t="str">
        <x:v>d09fefba583d1543e8715c79d7e753f107dc00c4e08154096cc805480a444097</x:v>
      </x:c>
      <x:c r="P179" s="28" t="n">
        <x:v>1437</x:v>
      </x:c>
      <x:c r="Q179" s="28" t="n">
        <x:v>1488</x:v>
      </x:c>
      <x:c r="R179" s="28" t="str">
        <x:v>[[1437,1488]]</x:v>
      </x:c>
      <x:c r="S179" s="28" t="str">
        <x:v>Fuzzy spatial line-cluster match</x:v>
      </x:c>
      <x:c r="T179" s="28" t="str">
        <x:v>Original Compact Text</x:v>
      </x:c>
      <x:c r="U179" s="28" t="str">
        <x:v>90% basic water access</x:v>
      </x:c>
      <x:c r="V179" s="28" t="n">
        <x:v>0.801497</x:v>
      </x:c>
      <x:c r="W179" s="28" t="n">
        <x:v>0.802867</x:v>
      </x:c>
      <x:c r="X179" s="28" t="n">
        <x:v>0.670659</x:v>
      </x:c>
      <x:c r="Y179" s="28" t="n">
        <x:v>1</x:v>
      </x:c>
      <x:c r="Z179" s="28" t="n">
        <x:v>0.485714</x:v>
      </x:c>
      <x:c r="AA179" s="28" t="str">
        <x:v>High</x:v>
      </x:c>
      <x:c r="AB179" s="28" t="str">
        <x:v>Pass</x:v>
      </x:c>
      <x:c r="AC179" s="28" t="str">
        <x:v>Pending human review</x:v>
      </x:c>
      <x:c r="AD179" s="28" t="str"/>
      <x:c r="AE179" s="28" t="n">
        <x:v>46238.87231481481</x:v>
      </x:c>
    </x:row>
    <x:row r="180" ht="60" customHeight="1">
      <x:c r="A180" s="28" t="str">
        <x:v>ANC-SLE-057-01</x:v>
      </x:c>
      <x:c r="B180" s="28" t="str">
        <x:v>SLE-057</x:v>
      </x:c>
      <x:c r="C180" s="28" t="str">
        <x:v>DOC-SLE-WC-2026</x:v>
      </x:c>
      <x:c r="D180" s="28" t="str">
        <x:v>Exclusion Evidence</x:v>
      </x:c>
      <x:c r="E180" s="28" t="str">
        <x:v>Table Cell/Row</x:v>
      </x:c>
      <x:c r="F180" s="28" t="str"/>
      <x:c r="G180" s="28" t="str">
        <x:v>PDF p. 9, Table 1</x:v>
      </x:c>
      <x:c r="H180" s="28" t="n">
        <x:v>9</x:v>
      </x:c>
      <x:c r="I180" s="28" t="n">
        <x:v>9</x:v>
      </x:c>
      <x:c r="J180" s="28" t="n">
        <x:v>9</x:v>
      </x:c>
      <x:c r="K180" s="28" t="str">
        <x:v>9</x:v>
      </x:c>
      <x:c r="L180" s="28" t="str">
        <x:v>Target table</x:v>
      </x:c>
      <x:c r="M180" s="28" t="str">
        <x:v>Sanitation access</x:v>
      </x:c>
      <x:c r="N180" s="28" t="str">
        <x:v>sanitation access</x:v>
      </x:c>
      <x:c r="O180" s="28" t="str">
        <x:v>08f564f0a154dff457abf8a8497f8d39fba02545c5336bc68ba0ae891abb174c</x:v>
      </x:c>
      <x:c r="P180" s="28" t="n">
        <x:v>1538</x:v>
      </x:c>
      <x:c r="Q180" s="28" t="n">
        <x:v>1555</x:v>
      </x:c>
      <x:c r="R180" s="28" t="str">
        <x:v>[[1538,1555]]</x:v>
      </x:c>
      <x:c r="S180" s="28" t="str">
        <x:v>Fuzzy spatial line-cluster match</x:v>
      </x:c>
      <x:c r="T180" s="28" t="str">
        <x:v>Original Compact Text</x:v>
      </x:c>
      <x:c r="U180" s="28" t="str">
        <x:v>76% sanitation access</x:v>
      </x:c>
      <x:c r="V180" s="28" t="n">
        <x:v>0.843599</x:v>
      </x:c>
      <x:c r="W180" s="28" t="n">
        <x:v>0.855491</x:v>
      </x:c>
      <x:c r="X180" s="28" t="n">
        <x:v>1</x:v>
      </x:c>
      <x:c r="Y180" s="28" t="n">
        <x:v>0.747475</x:v>
      </x:c>
      <x:c r="Z180" s="28" t="n">
        <x:v>0.918919</x:v>
      </x:c>
      <x:c r="AA180" s="28" t="str">
        <x:v>High</x:v>
      </x:c>
      <x:c r="AB180" s="28" t="str">
        <x:v>Pass</x:v>
      </x:c>
      <x:c r="AC180" s="28" t="str">
        <x:v>Pending human review</x:v>
      </x:c>
      <x:c r="AD180" s="28" t="str"/>
      <x:c r="AE180" s="28" t="n">
        <x:v>46238.87231481481</x:v>
      </x:c>
    </x:row>
    <x:row r="181" ht="60" customHeight="1">
      <x:c r="A181" s="28" t="str">
        <x:v>ANC-SLE-058-01</x:v>
      </x:c>
      <x:c r="B181" s="28" t="str">
        <x:v>SLE-058</x:v>
      </x:c>
      <x:c r="C181" s="28" t="str">
        <x:v>DOC-SLE-WC-2026</x:v>
      </x:c>
      <x:c r="D181" s="28" t="str">
        <x:v>Exclusion Evidence</x:v>
      </x:c>
      <x:c r="E181" s="28" t="str">
        <x:v>Table Cell/Row</x:v>
      </x:c>
      <x:c r="F181" s="28" t="str"/>
      <x:c r="G181" s="28" t="str">
        <x:v>PDF pp. 9–10, Table 1</x:v>
      </x:c>
      <x:c r="H181" s="28" t="n">
        <x:v>9</x:v>
      </x:c>
      <x:c r="I181" s="28" t="n">
        <x:v>10</x:v>
      </x:c>
      <x:c r="J181" s="28" t="n">
        <x:v>9</x:v>
      </x:c>
      <x:c r="K181" s="28" t="str">
        <x:v>9</x:v>
      </x:c>
      <x:c r="L181" s="28" t="str">
        <x:v>Target table</x:v>
      </x:c>
      <x:c r="M181" s="28" t="str">
        <x:v>Provide at least basic water services to 60% of schools</x:v>
      </x:c>
      <x:c r="N181" s="28" t="str">
        <x:v>provide at least basic water service to 60 of school</x:v>
      </x:c>
      <x:c r="O181" s="28" t="str">
        <x:v>015facf08b839b28e55dbd7d9d4da3c784f0b2fdea33bcf2e077af297650a045</x:v>
      </x:c>
      <x:c r="P181" s="28" t="n">
        <x:v>2471</x:v>
      </x:c>
      <x:c r="Q181" s="28" t="n">
        <x:v>2526</x:v>
      </x:c>
      <x:c r="R181" s="28" t="str">
        <x:v>[[2471,2526]]</x:v>
      </x:c>
      <x:c r="S181" s="28" t="str">
        <x:v>Exact spatial line-cluster phrase</x:v>
      </x:c>
      <x:c r="T181" s="28" t="str">
        <x:v>Verified PDF locator hint</x:v>
      </x:c>
      <x:c r="U181" s="28" t="str">
        <x:v>Provide at least basic water services to 60% of schools</x:v>
      </x:c>
      <x:c r="V181" s="28" t="n">
        <x:v>0.999</x:v>
      </x:c>
      <x:c r="W181" s="28" t="n">
        <x:v>1</x:v>
      </x:c>
      <x:c r="X181" s="28" t="n">
        <x:v>1</x:v>
      </x:c>
      <x:c r="Y181" s="28" t="n">
        <x:v>1</x:v>
      </x:c>
      <x:c r="Z181" s="28" t="n">
        <x:v>1</x:v>
      </x:c>
      <x:c r="AA181" s="28" t="str">
        <x:v>High</x:v>
      </x:c>
      <x:c r="AB181" s="28" t="str">
        <x:v>Pass</x:v>
      </x:c>
      <x:c r="AC181" s="28" t="str">
        <x:v>Pending human review</x:v>
      </x:c>
      <x:c r="AD181" s="28" t="str"/>
      <x:c r="AE181" s="28" t="n">
        <x:v>46238.87231481481</x:v>
      </x:c>
    </x:row>
    <x:row r="182" ht="60" customHeight="1">
      <x:c r="A182" s="28" t="str">
        <x:v>ANC-SLE-059-01</x:v>
      </x:c>
      <x:c r="B182" s="28" t="str">
        <x:v>SLE-059</x:v>
      </x:c>
      <x:c r="C182" s="28" t="str">
        <x:v>DOC-SLE-WC-2026</x:v>
      </x:c>
      <x:c r="D182" s="28" t="str">
        <x:v>Exclusion Evidence</x:v>
      </x:c>
      <x:c r="E182" s="28" t="str">
        <x:v>Table Cell/Row</x:v>
      </x:c>
      <x:c r="F182" s="28" t="str"/>
      <x:c r="G182" s="28" t="str">
        <x:v>PDF p. 9, Table 1</x:v>
      </x:c>
      <x:c r="H182" s="28" t="n">
        <x:v>9</x:v>
      </x:c>
      <x:c r="I182" s="28" t="n">
        <x:v>9</x:v>
      </x:c>
      <x:c r="J182" s="28" t="n">
        <x:v>9</x:v>
      </x:c>
      <x:c r="K182" s="28" t="str">
        <x:v>9</x:v>
      </x:c>
      <x:c r="L182" s="28" t="str">
        <x:v>Target table</x:v>
      </x:c>
      <x:c r="M182" s="28" t="str">
        <x:v>River basin restoration</x:v>
      </x:c>
      <x:c r="N182" s="28" t="str">
        <x:v>river basin restoration</x:v>
      </x:c>
      <x:c r="O182" s="28" t="str">
        <x:v>259a116747614214a0f600a667557d8d68bd5e0296c4b9fd62b2c73296c70d79</x:v>
      </x:c>
      <x:c r="P182" s="28" t="str"/>
      <x:c r="Q182" s="28" t="str"/>
      <x:c r="R182" s="28" t="str">
        <x:v>[[2008,2019],[2102,2113]]</x:v>
      </x:c>
      <x:c r="S182" s="28" t="str">
        <x:v>Exact spatial line-cluster phrase</x:v>
      </x:c>
      <x:c r="T182" s="28" t="str">
        <x:v>Tier 2 Label</x:v>
      </x:c>
      <x:c r="U182" s="28" t="str">
        <x:v>Basin restoration</x:v>
      </x:c>
      <x:c r="V182" s="28" t="n">
        <x:v>0.78925</x:v>
      </x:c>
      <x:c r="W182" s="28" t="n">
        <x:v>0.914992</x:v>
      </x:c>
      <x:c r="X182" s="28" t="n">
        <x:v>0.843305</x:v>
      </x:c>
      <x:c r="Y182" s="28" t="n">
        <x:v>1</x:v>
      </x:c>
      <x:c r="Z182" s="28" t="n">
        <x:v>0.85</x:v>
      </x:c>
      <x:c r="AA182" s="28" t="str">
        <x:v>High</x:v>
      </x:c>
      <x:c r="AB182" s="28" t="str">
        <x:v>Pass</x:v>
      </x:c>
      <x:c r="AC182" s="28" t="str">
        <x:v>Pending human review</x:v>
      </x:c>
      <x:c r="AD182" s="28" t="str"/>
      <x:c r="AE182" s="28" t="n">
        <x:v>46238.87231481481</x:v>
      </x:c>
    </x:row>
    <x:row r="183" ht="60" customHeight="1">
      <x:c r="A183" s="28" t="str">
        <x:v>ANC-SLE-060-01</x:v>
      </x:c>
      <x:c r="B183" s="28" t="str">
        <x:v>SLE-060</x:v>
      </x:c>
      <x:c r="C183" s="28" t="str">
        <x:v>DOC-SLE-WC-2026</x:v>
      </x:c>
      <x:c r="D183" s="28" t="str">
        <x:v>Exclusion Evidence</x:v>
      </x:c>
      <x:c r="E183" s="28" t="str">
        <x:v>Text Span</x:v>
      </x:c>
      <x:c r="F183" s="28" t="str"/>
      <x:c r="G183" s="28" t="str">
        <x:v>PDF p. 14, Appendix 1</x:v>
      </x:c>
      <x:c r="H183" s="28" t="n">
        <x:v>14</x:v>
      </x:c>
      <x:c r="I183" s="28" t="n">
        <x:v>14</x:v>
      </x:c>
      <x:c r="J183" s="28" t="n">
        <x:v>14</x:v>
      </x:c>
      <x:c r="K183" s="28" t="str">
        <x:v>14</x:v>
      </x:c>
      <x:c r="L183" s="28" t="str">
        <x:v>Programmatic outlook</x:v>
      </x:c>
      <x:c r="M183" s="28" t="str">
        <x:v>(i) Construction of water treatment plants for Freetown &amp; Western Areas.</x:v>
      </x:c>
      <x:c r="N183" s="28" t="str">
        <x:v>i construction of water treatment plant for freetown western area</x:v>
      </x:c>
      <x:c r="O183" s="28" t="str">
        <x:v>d2bb48445f9eb0562ceba9d4dd656f1dee01146a2279f128afe78a63f825279c</x:v>
      </x:c>
      <x:c r="P183" s="28" t="n">
        <x:v>582</x:v>
      </x:c>
      <x:c r="Q183" s="28" t="n">
        <x:v>654</x:v>
      </x:c>
      <x:c r="R183" s="28" t="str">
        <x:v>[[582,654]]</x:v>
      </x:c>
      <x:c r="S183" s="28" t="str">
        <x:v>Exact spatial line-cluster phrase</x:v>
      </x:c>
      <x:c r="T183" s="28" t="str">
        <x:v>Verified PDF locator hint</x:v>
      </x:c>
      <x:c r="U183" s="28" t="str">
        <x:v>Construction of water treatment plants for Freetown &amp; Western Areas.</x:v>
      </x:c>
      <x:c r="V183" s="28" t="n">
        <x:v>0.999</x:v>
      </x:c>
      <x:c r="W183" s="28" t="n">
        <x:v>1</x:v>
      </x:c>
      <x:c r="X183" s="28" t="n">
        <x:v>1</x:v>
      </x:c>
      <x:c r="Y183" s="28" t="n">
        <x:v>1</x:v>
      </x:c>
      <x:c r="Z183" s="28" t="n">
        <x:v>0.984375</x:v>
      </x:c>
      <x:c r="AA183" s="28" t="str">
        <x:v>High</x:v>
      </x:c>
      <x:c r="AB183" s="28" t="str">
        <x:v>Pass</x:v>
      </x:c>
      <x:c r="AC183" s="28" t="str">
        <x:v>Pending human review</x:v>
      </x:c>
      <x:c r="AD183" s="28" t="str"/>
      <x:c r="AE183" s="28" t="n">
        <x:v>46238.87231481481</x:v>
      </x:c>
    </x:row>
    <x:row r="184" ht="60" customHeight="1">
      <x:c r="A184" s="28" t="str">
        <x:v>ANC-SLE-061-01</x:v>
      </x:c>
      <x:c r="B184" s="28" t="str">
        <x:v>SLE-061</x:v>
      </x:c>
      <x:c r="C184" s="28" t="str">
        <x:v>DOC-SLE-WC-2026</x:v>
      </x:c>
      <x:c r="D184" s="28" t="str">
        <x:v>Exclusion Evidence</x:v>
      </x:c>
      <x:c r="E184" s="28" t="str">
        <x:v>Text Span</x:v>
      </x:c>
      <x:c r="F184" s="28" t="str"/>
      <x:c r="G184" s="28" t="str">
        <x:v>PDF p. 14, Appendix 1</x:v>
      </x:c>
      <x:c r="H184" s="28" t="n">
        <x:v>14</x:v>
      </x:c>
      <x:c r="I184" s="28" t="n">
        <x:v>14</x:v>
      </x:c>
      <x:c r="J184" s="28" t="n">
        <x:v>14</x:v>
      </x:c>
      <x:c r="K184" s="28" t="str">
        <x:v>14</x:v>
      </x:c>
      <x:c r="L184" s="28" t="str">
        <x:v>Programmatic outlook</x:v>
      </x:c>
      <x:c r="M184" s="28" t="str">
        <x:v>(i) Installation of bulk meters on all urban water systems</x:v>
      </x:c>
      <x:c r="N184" s="28" t="str">
        <x:v>i installation of bulk meter on all urban water system</x:v>
      </x:c>
      <x:c r="O184" s="28" t="str">
        <x:v>391fd7b9cbc015f8f02aefdb836b7a7cd949a924a4d5e8c2a618c7d6be7f1b03</x:v>
      </x:c>
      <x:c r="P184" s="28" t="n">
        <x:v>1022</x:v>
      </x:c>
      <x:c r="Q184" s="28" t="n">
        <x:v>1080</x:v>
      </x:c>
      <x:c r="R184" s="28" t="str">
        <x:v>[[1022,1080]]</x:v>
      </x:c>
      <x:c r="S184" s="28" t="str">
        <x:v>Exact spatial line-cluster phrase</x:v>
      </x:c>
      <x:c r="T184" s="28" t="str">
        <x:v>Verified PDF locator hint</x:v>
      </x:c>
      <x:c r="U184" s="28" t="str">
        <x:v>Installation of bulk meters on all urban water systems</x:v>
      </x:c>
      <x:c r="V184" s="28" t="n">
        <x:v>0.999</x:v>
      </x:c>
      <x:c r="W184" s="28" t="n">
        <x:v>1</x:v>
      </x:c>
      <x:c r="X184" s="28" t="n">
        <x:v>1</x:v>
      </x:c>
      <x:c r="Y184" s="28" t="n">
        <x:v>1</x:v>
      </x:c>
      <x:c r="Z184" s="28" t="n">
        <x:v>0.981132</x:v>
      </x:c>
      <x:c r="AA184" s="28" t="str">
        <x:v>High</x:v>
      </x:c>
      <x:c r="AB184" s="28" t="str">
        <x:v>Pass</x:v>
      </x:c>
      <x:c r="AC184" s="28" t="str">
        <x:v>Pending human review</x:v>
      </x:c>
      <x:c r="AD184" s="28" t="str"/>
      <x:c r="AE184" s="28" t="n">
        <x:v>46238.87231481481</x:v>
      </x:c>
    </x:row>
    <x:row r="185" ht="60" customHeight="1">
      <x:c r="A185" s="28" t="str">
        <x:v>ANC-SLE-062-01</x:v>
      </x:c>
      <x:c r="B185" s="28" t="str">
        <x:v>SLE-062</x:v>
      </x:c>
      <x:c r="C185" s="28" t="str">
        <x:v>DOC-SLE-WC-2026</x:v>
      </x:c>
      <x:c r="D185" s="28" t="str">
        <x:v>Exclusion Evidence</x:v>
      </x:c>
      <x:c r="E185" s="28" t="str">
        <x:v>Text Span</x:v>
      </x:c>
      <x:c r="F185" s="28" t="str"/>
      <x:c r="G185" s="28" t="str">
        <x:v>PDF p. 15, Appendix 1</x:v>
      </x:c>
      <x:c r="H185" s="28" t="n">
        <x:v>15</x:v>
      </x:c>
      <x:c r="I185" s="28" t="n">
        <x:v>15</x:v>
      </x:c>
      <x:c r="J185" s="28" t="n">
        <x:v>15</x:v>
      </x:c>
      <x:c r="K185" s="28" t="str">
        <x:v>15</x:v>
      </x:c>
      <x:c r="L185" s="28" t="str">
        <x:v>Programmatic outlook</x:v>
      </x:c>
      <x:c r="M185" s="28" t="str">
        <x:v>(ii) Implementation of WWTP/Faecal Sludge treatment facilities</x:v>
      </x:c>
      <x:c r="N185" s="28" t="str">
        <x:v>ii implementation of wwtpfaecal sludge treatment facility</x:v>
      </x:c>
      <x:c r="O185" s="28" t="str">
        <x:v>511b37489f77b8bc77861746bf87577da8c93139cb6c6c106f951e37823b1544</x:v>
      </x:c>
      <x:c r="P185" s="28" t="n">
        <x:v>1619</x:v>
      </x:c>
      <x:c r="Q185" s="28" t="n">
        <x:v>1681</x:v>
      </x:c>
      <x:c r="R185" s="28" t="str">
        <x:v>[[1619,1681]]</x:v>
      </x:c>
      <x:c r="S185" s="28" t="str">
        <x:v>Exact spatial line-cluster phrase</x:v>
      </x:c>
      <x:c r="T185" s="28" t="str">
        <x:v>Verified PDF locator hint</x:v>
      </x:c>
      <x:c r="U185" s="28" t="str">
        <x:v>Implementation of WWTP/Faecal Sludge treatment facilities</x:v>
      </x:c>
      <x:c r="V185" s="28" t="n">
        <x:v>0.999</x:v>
      </x:c>
      <x:c r="W185" s="28" t="n">
        <x:v>1</x:v>
      </x:c>
      <x:c r="X185" s="28" t="n">
        <x:v>1</x:v>
      </x:c>
      <x:c r="Y185" s="28" t="n">
        <x:v>1</x:v>
      </x:c>
      <x:c r="Z185" s="28" t="n">
        <x:v>0.972973</x:v>
      </x:c>
      <x:c r="AA185" s="28" t="str">
        <x:v>High</x:v>
      </x:c>
      <x:c r="AB185" s="28" t="str">
        <x:v>Pass</x:v>
      </x:c>
      <x:c r="AC185" s="28" t="str">
        <x:v>Pending human review</x:v>
      </x:c>
      <x:c r="AD185" s="28" t="str"/>
      <x:c r="AE185" s="28" t="n">
        <x:v>46238.87231481481</x:v>
      </x:c>
    </x:row>
    <x:row r="186" ht="60" customHeight="1">
      <x:c r="A186" s="28" t="str">
        <x:v>ANC-SLE-063-01</x:v>
      </x:c>
      <x:c r="B186" s="28" t="str">
        <x:v>SLE-063</x:v>
      </x:c>
      <x:c r="C186" s="28" t="str">
        <x:v>DOC-SLE-WC-2026</x:v>
      </x:c>
      <x:c r="D186" s="28" t="str">
        <x:v>Exclusion Evidence</x:v>
      </x:c>
      <x:c r="E186" s="28" t="str">
        <x:v>Text Span</x:v>
      </x:c>
      <x:c r="F186" s="28" t="str"/>
      <x:c r="G186" s="28" t="str">
        <x:v>PDF p. 15, Appendix 1</x:v>
      </x:c>
      <x:c r="H186" s="28" t="n">
        <x:v>15</x:v>
      </x:c>
      <x:c r="I186" s="28" t="n">
        <x:v>15</x:v>
      </x:c>
      <x:c r="J186" s="28" t="n">
        <x:v>15</x:v>
      </x:c>
      <x:c r="K186" s="28" t="str">
        <x:v>15</x:v>
      </x:c>
      <x:c r="L186" s="28" t="str">
        <x:v>Programmatic outlook</x:v>
      </x:c>
      <x:c r="M186" s="28" t="str">
        <x:v>(ii) Construction of Hastings Landfill Site (2500tons/day)</x:v>
      </x:c>
      <x:c r="N186" s="28" t="str">
        <x:v>ii construction of hasting landfill site 2500tonsday</x:v>
      </x:c>
      <x:c r="O186" s="28" t="str">
        <x:v>f24f35fea24534232b295cb82ba3316930b2339a553293accfd629a8185c01f8</x:v>
      </x:c>
      <x:c r="P186" s="28" t="n">
        <x:v>1892</x:v>
      </x:c>
      <x:c r="Q186" s="28" t="n">
        <x:v>1950</x:v>
      </x:c>
      <x:c r="R186" s="28" t="str">
        <x:v>[[1892,1950]]</x:v>
      </x:c>
      <x:c r="S186" s="28" t="str">
        <x:v>Exact spatial line-cluster phrase</x:v>
      </x:c>
      <x:c r="T186" s="28" t="str">
        <x:v>Verified PDF locator hint</x:v>
      </x:c>
      <x:c r="U186" s="28" t="str">
        <x:v>Construction of Hastings Landfill Site</x:v>
      </x:c>
      <x:c r="V186" s="28" t="n">
        <x:v>0.999</x:v>
      </x:c>
      <x:c r="W186" s="28" t="n">
        <x:v>0.954733</x:v>
      </x:c>
      <x:c r="X186" s="28" t="n">
        <x:v>0.913386</x:v>
      </x:c>
      <x:c r="Y186" s="28" t="n">
        <x:v>1</x:v>
      </x:c>
      <x:c r="Z186" s="28" t="n">
        <x:v>0.831461</x:v>
      </x:c>
      <x:c r="AA186" s="28" t="str">
        <x:v>High</x:v>
      </x:c>
      <x:c r="AB186" s="28" t="str">
        <x:v>Pass</x:v>
      </x:c>
      <x:c r="AC186" s="28" t="str">
        <x:v>Pending human review</x:v>
      </x:c>
      <x:c r="AD186" s="28" t="str"/>
      <x:c r="AE186" s="28" t="n">
        <x:v>46238.87231481481</x:v>
      </x:c>
    </x:row>
    <x:row r="187" ht="60" customHeight="1">
      <x:c r="A187" s="28" t="str">
        <x:v>ANC-SLE-064-01</x:v>
      </x:c>
      <x:c r="B187" s="28" t="str">
        <x:v>SLE-064</x:v>
      </x:c>
      <x:c r="C187" s="28" t="str">
        <x:v>DOC-SLE-WC-2026</x:v>
      </x:c>
      <x:c r="D187" s="28" t="str">
        <x:v>Exclusion Evidence</x:v>
      </x:c>
      <x:c r="E187" s="28" t="str">
        <x:v>Text Span</x:v>
      </x:c>
      <x:c r="F187" s="28" t="str"/>
      <x:c r="G187" s="28" t="str">
        <x:v>PDF p. 16, Appendix 1</x:v>
      </x:c>
      <x:c r="H187" s="28" t="n">
        <x:v>16</x:v>
      </x:c>
      <x:c r="I187" s="28" t="n">
        <x:v>16</x:v>
      </x:c>
      <x:c r="J187" s="28" t="n">
        <x:v>16</x:v>
      </x:c>
      <x:c r="K187" s="28" t="str">
        <x:v>16</x:v>
      </x:c>
      <x:c r="L187" s="28" t="str">
        <x:v>Programmatic outlook</x:v>
      </x:c>
      <x:c r="M187" s="28" t="str">
        <x:v>(i) Institutional capacity assessment of MWRS, SLEWRC, GVWC,</x:v>
      </x:c>
      <x:c r="N187" s="28" t="str">
        <x:v>i institutional capacity assessment of mwrs slewrc gvwc</x:v>
      </x:c>
      <x:c r="O187" s="28" t="str">
        <x:v>c2fed2a89f1777c744086b0c983ad52d4d3f995190c2aeb89b906ed24c83c450</x:v>
      </x:c>
      <x:c r="P187" s="28" t="n">
        <x:v>1562</x:v>
      </x:c>
      <x:c r="Q187" s="28" t="n">
        <x:v>1622</x:v>
      </x:c>
      <x:c r="R187" s="28" t="str">
        <x:v>[[1562,1622]]</x:v>
      </x:c>
      <x:c r="S187" s="28" t="str">
        <x:v>Exact spatial line-cluster phrase</x:v>
      </x:c>
      <x:c r="T187" s="28" t="str">
        <x:v>Original Compact Text</x:v>
      </x:c>
      <x:c r="U187" s="28" t="str">
        <x:v>Institutional capacity assessment</x:v>
      </x:c>
      <x:c r="V187" s="28" t="n">
        <x:v>0.999</x:v>
      </x:c>
      <x:c r="W187" s="28" t="n">
        <x:v>0.864865</x:v>
      </x:c>
      <x:c r="X187" s="28" t="n">
        <x:v>0.761905</x:v>
      </x:c>
      <x:c r="Y187" s="28" t="n">
        <x:v>1</x:v>
      </x:c>
      <x:c r="Z187" s="28" t="n">
        <x:v>0.75</x:v>
      </x:c>
      <x:c r="AA187" s="28" t="str">
        <x:v>High</x:v>
      </x:c>
      <x:c r="AB187" s="28" t="str">
        <x:v>Pass</x:v>
      </x:c>
      <x:c r="AC187" s="28" t="str">
        <x:v>Pending human review</x:v>
      </x:c>
      <x:c r="AD187" s="28" t="str"/>
      <x:c r="AE187" s="28" t="n">
        <x:v>46238.87231481481</x:v>
      </x:c>
    </x:row>
    <x:row r="188" ht="60" customHeight="1">
      <x:c r="A188" s="28" t="str">
        <x:v>ANC-SLE-065-01</x:v>
      </x:c>
      <x:c r="B188" s="28" t="str">
        <x:v>SLE-065</x:v>
      </x:c>
      <x:c r="C188" s="28" t="str">
        <x:v>DOC-SLE-WC-2026</x:v>
      </x:c>
      <x:c r="D188" s="28" t="str">
        <x:v>Exclusion Evidence</x:v>
      </x:c>
      <x:c r="E188" s="28" t="str">
        <x:v>Text Span</x:v>
      </x:c>
      <x:c r="F188" s="28" t="str"/>
      <x:c r="G188" s="28" t="str">
        <x:v>PDF p. 16, Appendix 1</x:v>
      </x:c>
      <x:c r="H188" s="28" t="n">
        <x:v>16</x:v>
      </x:c>
      <x:c r="I188" s="28" t="n">
        <x:v>16</x:v>
      </x:c>
      <x:c r="J188" s="28" t="n">
        <x:v>16</x:v>
      </x:c>
      <x:c r="K188" s="28" t="str">
        <x:v>16</x:v>
      </x:c>
      <x:c r="L188" s="28" t="str">
        <x:v>Programmatic outlook</x:v>
      </x:c>
      <x:c r="M188" s="28" t="str">
        <x:v>(iv) Build an office unit to house the water sector Ministry and related institutions (Water House)</x:v>
      </x:c>
      <x:c r="N188" s="28" t="str">
        <x:v>iv build an office unit to house the water sector ministry and relat institution water house</x:v>
      </x:c>
      <x:c r="O188" s="28" t="str">
        <x:v>e95a918736b3895845ac784dbff8249de1a8c2cba920aa4e2d8bcdf8a456fdb3</x:v>
      </x:c>
      <x:c r="P188" s="28" t="str"/>
      <x:c r="Q188" s="28" t="str"/>
      <x:c r="R188" s="28" t="str">
        <x:v>[[2230,2302],[2312,2338]]</x:v>
      </x:c>
      <x:c r="S188" s="28" t="str">
        <x:v>Fuzzy spatial line-cluster match</x:v>
      </x:c>
      <x:c r="T188" s="28" t="str">
        <x:v>Standardized Candidate</x:v>
      </x:c>
      <x:c r="U188" s="28" t="str">
        <x:v>Build an office for the water ministry and institutions</x:v>
      </x:c>
      <x:c r="V188" s="28" t="n">
        <x:v>0.824655</x:v>
      </x:c>
      <x:c r="W188" s="28" t="n">
        <x:v>0.837758</x:v>
      </x:c>
      <x:c r="X188" s="28" t="n">
        <x:v>0.720812</x:v>
      </x:c>
      <x:c r="Y188" s="28" t="n">
        <x:v>1</x:v>
      </x:c>
      <x:c r="Z188" s="28" t="n">
        <x:v>0.712329</x:v>
      </x:c>
      <x:c r="AA188" s="28" t="str">
        <x:v>High</x:v>
      </x:c>
      <x:c r="AB188" s="28" t="str">
        <x:v>Pass</x:v>
      </x:c>
      <x:c r="AC188" s="28" t="str">
        <x:v>Pending human review</x:v>
      </x:c>
      <x:c r="AD188" s="28" t="str"/>
      <x:c r="AE188" s="28" t="n">
        <x:v>46238.87231481481</x:v>
      </x:c>
    </x:row>
    <x:row r="189" ht="60" customHeight="1">
      <x:c r="A189" s="28" t="str">
        <x:v>ANC-SLE-066-01</x:v>
      </x:c>
      <x:c r="B189" s="28" t="str">
        <x:v>SLE-066</x:v>
      </x:c>
      <x:c r="C189" s="28" t="str">
        <x:v>DOC-SLE-WC-2026</x:v>
      </x:c>
      <x:c r="D189" s="28" t="str">
        <x:v>Exclusion Evidence</x:v>
      </x:c>
      <x:c r="E189" s="28" t="str">
        <x:v>Text Span</x:v>
      </x:c>
      <x:c r="F189" s="28" t="str"/>
      <x:c r="G189" s="28" t="str">
        <x:v>PDF p. 16, Appendix 1</x:v>
      </x:c>
      <x:c r="H189" s="28" t="n">
        <x:v>16</x:v>
      </x:c>
      <x:c r="I189" s="28" t="n">
        <x:v>16</x:v>
      </x:c>
      <x:c r="J189" s="28" t="n">
        <x:v>16</x:v>
      </x:c>
      <x:c r="K189" s="28" t="str">
        <x:v>16</x:v>
      </x:c>
      <x:c r="L189" s="28" t="str">
        <x:v>Programmatic outlook</x:v>
      </x:c>
      <x:c r="M189" s="28" t="str">
        <x:v>(i) Undertake a staffing audit for a comprehensive understanding of</x:v>
      </x:c>
      <x:c r="N189" s="28" t="str">
        <x:v>i undertake a staff audit for a comprehensive understand of</x:v>
      </x:c>
      <x:c r="O189" s="28" t="str">
        <x:v>61b0b8f6777499e4fd832c47a227f20f1008235deba707002e30217639899832</x:v>
      </x:c>
      <x:c r="P189" s="28" t="n">
        <x:v>2399</x:v>
      </x:c>
      <x:c r="Q189" s="28" t="n">
        <x:v>2466</x:v>
      </x:c>
      <x:c r="R189" s="28" t="str">
        <x:v>[[2399,2466]]</x:v>
      </x:c>
      <x:c r="S189" s="28" t="str">
        <x:v>Exact spatial line-cluster phrase</x:v>
      </x:c>
      <x:c r="T189" s="28" t="str">
        <x:v>Original Compact Text</x:v>
      </x:c>
      <x:c r="U189" s="28" t="str">
        <x:v>Staffing audit</x:v>
      </x:c>
      <x:c r="V189" s="28" t="n">
        <x:v>0.999</x:v>
      </x:c>
      <x:c r="W189" s="28" t="n">
        <x:v>0.730832</x:v>
      </x:c>
      <x:c r="X189" s="28" t="n">
        <x:v>0.575835</x:v>
      </x:c>
      <x:c r="Y189" s="28" t="n">
        <x:v>1</x:v>
      </x:c>
      <x:c r="Z189" s="28" t="n">
        <x:v>0.314286</x:v>
      </x:c>
      <x:c r="AA189" s="28" t="str">
        <x:v>High</x:v>
      </x:c>
      <x:c r="AB189" s="28" t="str">
        <x:v>Pass</x:v>
      </x:c>
      <x:c r="AC189" s="28" t="str">
        <x:v>Pending human review</x:v>
      </x:c>
      <x:c r="AD189" s="28" t="str"/>
      <x:c r="AE189" s="28" t="n">
        <x:v>46238.87231481481</x:v>
      </x:c>
    </x:row>
    <x:row r="190" ht="60" customHeight="1">
      <x:c r="A190" s="28" t="str">
        <x:v>ANC-SLE-067-01</x:v>
      </x:c>
      <x:c r="B190" s="28" t="str">
        <x:v>SLE-067</x:v>
      </x:c>
      <x:c r="C190" s="28" t="str">
        <x:v>DOC-SLE-WC-2026</x:v>
      </x:c>
      <x:c r="D190" s="28" t="str">
        <x:v>Exclusion Evidence</x:v>
      </x:c>
      <x:c r="E190" s="28" t="str">
        <x:v>Text Span</x:v>
      </x:c>
      <x:c r="F190" s="28" t="str"/>
      <x:c r="G190" s="28" t="str">
        <x:v>PDF p. 16, Appendix 1</x:v>
      </x:c>
      <x:c r="H190" s="28" t="n">
        <x:v>16</x:v>
      </x:c>
      <x:c r="I190" s="28" t="n">
        <x:v>16</x:v>
      </x:c>
      <x:c r="J190" s="28" t="n">
        <x:v>16</x:v>
      </x:c>
      <x:c r="K190" s="28" t="str">
        <x:v>16</x:v>
      </x:c>
      <x:c r="L190" s="28" t="str">
        <x:v>Programmatic outlook</x:v>
      </x:c>
      <x:c r="M190" s="28" t="str">
        <x:v>(ii) Institutional strengthening programs - trainings (on Utility Management, Billing, Project Management) and development of a strategic plan for</x:v>
      </x:c>
      <x:c r="N190" s="28" t="str">
        <x:v>ii institutional strengthen program training on utility management bill project management and development of a strategic plan for</x:v>
      </x:c>
      <x:c r="O190" s="28" t="str">
        <x:v>db5887c33f8b94a4766ab0155d9aba10fa24d2fbd2d078c98ad8396a8413d2df</x:v>
      </x:c>
      <x:c r="P190" s="28" t="str"/>
      <x:c r="Q190" s="28" t="str"/>
      <x:c r="R190" s="28" t="str">
        <x:v>[[1750,1827],[1849,1917]]</x:v>
      </x:c>
      <x:c r="S190" s="28" t="str">
        <x:v>Exact spatial line-cluster phrase</x:v>
      </x:c>
      <x:c r="T190" s="28" t="str">
        <x:v>Verified PDF locator hint</x:v>
      </x:c>
      <x:c r="U190" s="28" t="str">
        <x:v>Institutional strengthening programs - trainings (on Utility Management, Billing, Project Management)</x:v>
      </x:c>
      <x:c r="V190" s="28" t="n">
        <x:v>0.999</x:v>
      </x:c>
      <x:c r="W190" s="28" t="n">
        <x:v>0.936071</x:v>
      </x:c>
      <x:c r="X190" s="28" t="n">
        <x:v>0.879825</x:v>
      </x:c>
      <x:c r="Y190" s="28" t="n">
        <x:v>1</x:v>
      </x:c>
      <x:c r="Z190" s="28" t="n">
        <x:v>0.801843</x:v>
      </x:c>
      <x:c r="AA190" s="28" t="str">
        <x:v>High</x:v>
      </x:c>
      <x:c r="AB190" s="28" t="str">
        <x:v>Pass</x:v>
      </x:c>
      <x:c r="AC190" s="28" t="str">
        <x:v>Pending human review</x:v>
      </x:c>
      <x:c r="AD190" s="28" t="str"/>
      <x:c r="AE190" s="28" t="n">
        <x:v>46238.87231481481</x:v>
      </x:c>
    </x:row>
    <x:row r="191" ht="60" customHeight="1">
      <x:c r="A191" s="28" t="str">
        <x:v>ANC-SLE-068-01</x:v>
      </x:c>
      <x:c r="B191" s="28" t="str">
        <x:v>SLE-068</x:v>
      </x:c>
      <x:c r="C191" s="28" t="str">
        <x:v>DOC-SLE-WC-2026</x:v>
      </x:c>
      <x:c r="D191" s="28" t="str">
        <x:v>Exclusion Evidence</x:v>
      </x:c>
      <x:c r="E191" s="28" t="str">
        <x:v>Text Span</x:v>
      </x:c>
      <x:c r="F191" s="28" t="str"/>
      <x:c r="G191" s="28" t="str">
        <x:v>PDF p. 16, Appendix 1</x:v>
      </x:c>
      <x:c r="H191" s="28" t="n">
        <x:v>16</x:v>
      </x:c>
      <x:c r="I191" s="28" t="n">
        <x:v>16</x:v>
      </x:c>
      <x:c r="J191" s="28" t="n">
        <x:v>16</x:v>
      </x:c>
      <x:c r="K191" s="28" t="str">
        <x:v>16</x:v>
      </x:c>
      <x:c r="L191" s="28" t="str">
        <x:v>Programmatic outlook</x:v>
      </x:c>
      <x:c r="M191" s="28" t="str">
        <x:v>sanitation and hygiene (iv) Improve the visibility of the MWRS by developing a functional website services for the MWRS and populating it with the requisite sector documents 0.10 0.10 0.00 0.10 0.00 0.00 0.00 0.00 (policies, strategies, legal frameworks) and engagement.</x:v>
      </x:c>
      <x:c r="N191" s="28" t="str">
        <x:v>sanitation and hygiene iv improve the visibility of the mwrs by develop a functional website service for the mwrs and populat it with the requisite sector document 0 10 0 10 0 00 0 10 0 00 0 00 0 00 0 00 policy strategy legal framework and engagement</x:v>
      </x:c>
      <x:c r="O191" s="28" t="str">
        <x:v>d20505a30d79d9d7a809402348917614a4adabbd814b37af4258481a0fd48c95</x:v>
      </x:c>
      <x:c r="P191" s="28" t="str"/>
      <x:c r="Q191" s="28" t="str"/>
      <x:c r="R191" s="28" t="str">
        <x:v>[[3066,3088],[3089,3163],[3164,3172],[3173,3239],[3240,3244],[3245,3249],[3250,3254],[3255,3259],[3260,3264],[3265,3269],[3270,3274],[3275,3279],[3280,3336]]</x:v>
      </x:c>
      <x:c r="S191" s="28" t="str">
        <x:v>Fuzzy token-window match</x:v>
      </x:c>
      <x:c r="T191" s="28" t="str">
        <x:v>Original Compact Text</x:v>
      </x:c>
      <x:c r="U191" s="28" t="str">
        <x:v>Develop MWRS website</x:v>
      </x:c>
      <x:c r="V191" s="28" t="n">
        <x:v>0.86536</x:v>
      </x:c>
      <x:c r="W191" s="28" t="n">
        <x:v>0.895636</x:v>
      </x:c>
      <x:c r="X191" s="28" t="n">
        <x:v>0.810997</x:v>
      </x:c>
      <x:c r="Y191" s="28" t="n">
        <x:v>1</x:v>
      </x:c>
      <x:c r="Z191" s="28" t="n">
        <x:v>0.571429</x:v>
      </x:c>
      <x:c r="AA191" s="28" t="str">
        <x:v>High</x:v>
      </x:c>
      <x:c r="AB191" s="28" t="str">
        <x:v>Pass</x:v>
      </x:c>
      <x:c r="AC191" s="28" t="str">
        <x:v>Pending human review</x:v>
      </x:c>
      <x:c r="AD191" s="28" t="str"/>
      <x:c r="AE191" s="28" t="n">
        <x:v>46238.87231481481</x:v>
      </x:c>
    </x:row>
    <x:row r="192" ht="60" customHeight="1">
      <x:c r="A192" s="28" t="str">
        <x:v>ANC-SLE-069-01</x:v>
      </x:c>
      <x:c r="B192" s="28" t="str">
        <x:v>SLE-069</x:v>
      </x:c>
      <x:c r="C192" s="28" t="str">
        <x:v>DOC-SLE-WC-2026</x:v>
      </x:c>
      <x:c r="D192" s="28" t="str">
        <x:v>Exclusion Evidence</x:v>
      </x:c>
      <x:c r="E192" s="28" t="str">
        <x:v>Text Span</x:v>
      </x:c>
      <x:c r="F192" s="28" t="str"/>
      <x:c r="G192" s="28" t="str">
        <x:v>PDF p. 18, Appendix 1</x:v>
      </x:c>
      <x:c r="H192" s="28" t="n">
        <x:v>18</x:v>
      </x:c>
      <x:c r="I192" s="28" t="n">
        <x:v>18</x:v>
      </x:c>
      <x:c r="J192" s="28" t="n">
        <x:v>18</x:v>
      </x:c>
      <x:c r="K192" s="28" t="str">
        <x:v>18</x:v>
      </x:c>
      <x:c r="L192" s="28" t="str">
        <x:v>Programmatic outlook</x:v>
      </x:c>
      <x:c r="M192" s="28" t="str">
        <x:v>(i) Carry out gender assessment studies across all levels of the water</x:v>
      </x:c>
      <x:c r="N192" s="28" t="str">
        <x:v>i carry out gender assessment study across all level of the water</x:v>
      </x:c>
      <x:c r="O192" s="28" t="str">
        <x:v>8a63e35391a98340a42e4746fc606469944032ce85f04eedde8ed216ebdae031</x:v>
      </x:c>
      <x:c r="P192" s="28" t="n">
        <x:v>707</x:v>
      </x:c>
      <x:c r="Q192" s="28" t="n">
        <x:v>777</x:v>
      </x:c>
      <x:c r="R192" s="28" t="str">
        <x:v>[[707,777]]</x:v>
      </x:c>
      <x:c r="S192" s="28" t="str">
        <x:v>Exact spatial line-cluster phrase</x:v>
      </x:c>
      <x:c r="T192" s="28" t="str">
        <x:v>Original Compact Text</x:v>
      </x:c>
      <x:c r="U192" s="28" t="str">
        <x:v>Gender assessment studies</x:v>
      </x:c>
      <x:c r="V192" s="28" t="n">
        <x:v>0.999</x:v>
      </x:c>
      <x:c r="W192" s="28" t="n">
        <x:v>0.747938</x:v>
      </x:c>
      <x:c r="X192" s="28" t="n">
        <x:v>0.597365</x:v>
      </x:c>
      <x:c r="Y192" s="28" t="n">
        <x:v>1</x:v>
      </x:c>
      <x:c r="Z192" s="28" t="n">
        <x:v>0.522727</x:v>
      </x:c>
      <x:c r="AA192" s="28" t="str">
        <x:v>High</x:v>
      </x:c>
      <x:c r="AB192" s="28" t="str">
        <x:v>Pass</x:v>
      </x:c>
      <x:c r="AC192" s="28" t="str">
        <x:v>Pending human review</x:v>
      </x:c>
      <x:c r="AD192" s="28" t="str"/>
      <x:c r="AE192" s="28" t="n">
        <x:v>46238.87231481481</x:v>
      </x:c>
    </x:row>
    <x:row r="193" ht="60" customHeight="1">
      <x:c r="A193" s="28" t="str">
        <x:v>ANC-SLE-070-01</x:v>
      </x:c>
      <x:c r="B193" s="28" t="str">
        <x:v>SLE-070</x:v>
      </x:c>
      <x:c r="C193" s="28" t="str">
        <x:v>DOC-SLE-WC-2026</x:v>
      </x:c>
      <x:c r="D193" s="28" t="str">
        <x:v>Exclusion Evidence</x:v>
      </x:c>
      <x:c r="E193" s="28" t="str">
        <x:v>Table Cell/Row</x:v>
      </x:c>
      <x:c r="F193" s="28" t="str"/>
      <x:c r="G193" s="28" t="str">
        <x:v>PDF pp. 11–12, financing table</x:v>
      </x:c>
      <x:c r="H193" s="28" t="n">
        <x:v>11</x:v>
      </x:c>
      <x:c r="I193" s="28" t="n">
        <x:v>12</x:v>
      </x:c>
      <x:c r="J193" s="28" t="n">
        <x:v>11</x:v>
      </x:c>
      <x:c r="K193" s="28" t="str">
        <x:v>11</x:v>
      </x:c>
      <x:c r="L193" s="28" t="str">
        <x:v>Financing table</x:v>
      </x:c>
      <x:c r="M193" s="28" t="str">
        <x:v>Overall, approximately $1 billion (approximately $100 million annually) is estimated to be spent on sector interventions to achieve the goals of this Compact (see roadmap). The highest expenditure in the service</x:v>
      </x:c>
      <x:c r="N193" s="28" t="str">
        <x:v>overall approximately 1 billion approximately 100 million annually is estimat to be spent on sector intervention to achieve the goal of this compact see roadmap the highest expenditure in the service</x:v>
      </x:c>
      <x:c r="O193" s="28" t="str">
        <x:v>2314b44857df7311b15e569f1d18863e1dcf0f1682d260d7f1084014f2cc4f64</x:v>
      </x:c>
      <x:c r="P193" s="28" t="str"/>
      <x:c r="Q193" s="28" t="str"/>
      <x:c r="R193" s="28" t="str">
        <x:v>[[1942,2048],[2049,2153]]</x:v>
      </x:c>
      <x:c r="S193" s="28" t="str">
        <x:v>Exact spatial line-cluster phrase</x:v>
      </x:c>
      <x:c r="T193" s="28" t="str">
        <x:v>Verified PDF locator hint</x:v>
      </x:c>
      <x:c r="U193" s="28" t="str">
        <x:v>Overall, approximately $1 billion (approximately $100 million annually) is estimated to be spent on sector interventions to achieve the goals of this Compact (see roadmap).</x:v>
      </x:c>
      <x:c r="V193" s="28" t="n">
        <x:v>0.999</x:v>
      </x:c>
      <x:c r="W193" s="28" t="n">
        <x:v>0.96199</x:v>
      </x:c>
      <x:c r="X193" s="28" t="n">
        <x:v>0.926764</x:v>
      </x:c>
      <x:c r="Y193" s="28" t="n">
        <x:v>1</x:v>
      </x:c>
      <x:c r="Z193" s="28" t="n">
        <x:v>0.891365</x:v>
      </x:c>
      <x:c r="AA193" s="28" t="str">
        <x:v>High</x:v>
      </x:c>
      <x:c r="AB193" s="28" t="str">
        <x:v>Pass</x:v>
      </x:c>
      <x:c r="AC193" s="28" t="str">
        <x:v>Pending human review</x:v>
      </x:c>
      <x:c r="AD193" s="28" t="str"/>
      <x:c r="AE193" s="28" t="n">
        <x:v>46238.87231481481</x:v>
      </x:c>
    </x:row>
    <x:row r="194" ht="60" customHeight="1">
      <x:c r="A194" s="28" t="str">
        <x:v>ANC-JAM-031-CTX-01</x:v>
      </x:c>
      <x:c r="B194" s="28" t="str">
        <x:v>JAM-031</x:v>
      </x:c>
      <x:c r="C194" s="28" t="str">
        <x:v>DOC-JAM-WC-2026</x:v>
      </x:c>
      <x:c r="D194" s="28" t="str">
        <x:v>Context</x:v>
      </x:c>
      <x:c r="E194" s="28" t="str">
        <x:v>Text Span</x:v>
      </x:c>
      <x:c r="F194" s="28" t="str"/>
      <x:c r="G194" s="28" t="str">
        <x:v>PDF p. 5, Section 2.3</x:v>
      </x:c>
      <x:c r="H194" s="28" t="n">
        <x:v>5</x:v>
      </x:c>
      <x:c r="I194" s="28" t="n">
        <x:v>5</x:v>
      </x:c>
      <x:c r="J194" s="28" t="n">
        <x:v>5</x:v>
      </x:c>
      <x:c r="K194" s="28" t="str">
        <x:v>5</x:v>
      </x:c>
      <x:c r="L194" s="28" t="str">
        <x:v>Target table/narrative</x:v>
      </x:c>
      <x:c r="M194" s="28" t="str">
        <x:v>By 2030, to reduce the emissions of greenhouse gases (GHG) by 20% of the i) emission level at 2019, through energy efficiency improvement measures.</x:v>
      </x:c>
      <x:c r="N194" s="28" t="str">
        <x:v>by 2030 to reduce the emission of greenhouse gase ghg by 20 of the i emission level at 2019 through energy efficiency improvement measure</x:v>
      </x:c>
      <x:c r="O194" s="28" t="str">
        <x:v>091668d0bfcea9e2c8b3b9b02b6fd10c885565f7e1435b425807ea4dc190b9df</x:v>
      </x:c>
      <x:c r="P194" s="28" t="str"/>
      <x:c r="Q194" s="28" t="str"/>
      <x:c r="R194" s="28" t="str">
        <x:v>[[789,861],[786,788],[862,933]]</x:v>
      </x:c>
      <x:c r="S194" s="28" t="str">
        <x:v>Verified PDF context locator matched to spatial line cluster</x:v>
      </x:c>
      <x:c r="T194" s="28" t="str">
        <x:v>Verified PDF context locator</x:v>
      </x:c>
      <x:c r="U194" s="28" t="str">
        <x:v>By 2030, to reduce the emissions of greenhouse gases (GHG) by 20% of the emission level at 2019, through energy efficiency improvement measures.</x:v>
      </x:c>
      <x:c r="V194" s="28" t="n">
        <x:v>0.999</x:v>
      </x:c>
      <x:c r="W194" s="28" t="n">
        <x:v>1</x:v>
      </x:c>
      <x:c r="X194" s="28" t="n">
        <x:v>1</x:v>
      </x:c>
      <x:c r="Y194" s="28" t="n">
        <x:v>1</x:v>
      </x:c>
      <x:c r="Z194" s="28" t="n">
        <x:v>0.992647</x:v>
      </x:c>
      <x:c r="AA194" s="28" t="str">
        <x:v>High</x:v>
      </x:c>
      <x:c r="AB194" s="28" t="str">
        <x:v>Pass</x:v>
      </x:c>
      <x:c r="AC194" s="28" t="str">
        <x:v>Pending human review</x:v>
      </x:c>
      <x:c r="AD194" s="28" t="str"/>
      <x:c r="AE194" s="28" t="n">
        <x:v>46238.87231481481</x:v>
      </x:c>
    </x:row>
    <x:row r="195" ht="60" customHeight="1">
      <x:c r="A195" s="28" t="str">
        <x:v>ANC-JAM-031-CTX-02</x:v>
      </x:c>
      <x:c r="B195" s="28" t="str">
        <x:v>JAM-031</x:v>
      </x:c>
      <x:c r="C195" s="28" t="str">
        <x:v>DOC-JAM-WC-2026</x:v>
      </x:c>
      <x:c r="D195" s="28" t="str">
        <x:v>Context</x:v>
      </x:c>
      <x:c r="E195" s="28" t="str">
        <x:v>Text Span</x:v>
      </x:c>
      <x:c r="F195" s="28" t="str"/>
      <x:c r="G195" s="28" t="str">
        <x:v>PDF p. 5, Section 2.3</x:v>
      </x:c>
      <x:c r="H195" s="28" t="n">
        <x:v>5</x:v>
      </x:c>
      <x:c r="I195" s="28" t="n">
        <x:v>5</x:v>
      </x:c>
      <x:c r="J195" s="28" t="n">
        <x:v>5</x:v>
      </x:c>
      <x:c r="K195" s="28" t="str">
        <x:v>5</x:v>
      </x:c>
      <x:c r="L195" s="28" t="str">
        <x:v>Target table/narrative</x:v>
      </x:c>
      <x:c r="M195" s="28" t="str">
        <x:v>Increasing the share of renewable energy generation to 10% of the energy mix by ii) 2030.</x:v>
      </x:c>
      <x:c r="N195" s="28" t="str">
        <x:v>increas the share of renewable energy generation to 10 of the energy mix by ii 2030</x:v>
      </x:c>
      <x:c r="O195" s="28" t="str">
        <x:v>d6d27d0c0d2efbb00d0993caa299734fba4e2911b165811f4c5ea2c4ce1daf4d</x:v>
      </x:c>
      <x:c r="P195" s="28" t="str"/>
      <x:c r="Q195" s="28" t="str"/>
      <x:c r="R195" s="28" t="str">
        <x:v>[[938,1017],[934,937],[1018,1023]]</x:v>
      </x:c>
      <x:c r="S195" s="28" t="str">
        <x:v>Verified PDF context locator matched to spatial line cluster</x:v>
      </x:c>
      <x:c r="T195" s="28" t="str">
        <x:v>Verified PDF context locator</x:v>
      </x:c>
      <x:c r="U195" s="28" t="str">
        <x:v>Increasing the share of renewable energy generation to 10% of the energy mix by 2030.</x:v>
      </x:c>
      <x:c r="V195" s="28" t="n">
        <x:v>0.999</x:v>
      </x:c>
      <x:c r="W195" s="28" t="n">
        <x:v>1</x:v>
      </x:c>
      <x:c r="X195" s="28" t="n">
        <x:v>1</x:v>
      </x:c>
      <x:c r="Y195" s="28" t="n">
        <x:v>1</x:v>
      </x:c>
      <x:c r="Z195" s="28" t="n">
        <x:v>0.981595</x:v>
      </x:c>
      <x:c r="AA195" s="28" t="str">
        <x:v>High</x:v>
      </x:c>
      <x:c r="AB195" s="28" t="str">
        <x:v>Pass</x:v>
      </x:c>
      <x:c r="AC195" s="28" t="str">
        <x:v>Pending human review</x:v>
      </x:c>
      <x:c r="AD195" s="28" t="str"/>
      <x:c r="AE195" s="28" t="n">
        <x:v>46238.87231481481</x:v>
      </x:c>
    </x:row>
    <x:row r="196" ht="60" customHeight="1">
      <x:c r="A196" s="28" t="str">
        <x:v>ANC-JAM-034-CTX-01</x:v>
      </x:c>
      <x:c r="B196" s="28" t="str">
        <x:v>JAM-034</x:v>
      </x:c>
      <x:c r="C196" s="28" t="str">
        <x:v>DOC-JAM-WC-2026</x:v>
      </x:c>
      <x:c r="D196" s="28" t="str">
        <x:v>Context</x:v>
      </x:c>
      <x:c r="E196" s="28" t="str">
        <x:v>Text Span</x:v>
      </x:c>
      <x:c r="F196" s="28" t="str"/>
      <x:c r="G196" s="28" t="str">
        <x:v>PDF p. 6, Section 2.4</x:v>
      </x:c>
      <x:c r="H196" s="28" t="n">
        <x:v>6</x:v>
      </x:c>
      <x:c r="I196" s="28" t="n">
        <x:v>6</x:v>
      </x:c>
      <x:c r="J196" s="28" t="n">
        <x:v>6</x:v>
      </x:c>
      <x:c r="K196" s="28" t="str">
        <x:v>6</x:v>
      </x:c>
      <x:c r="L196" s="28" t="str">
        <x:v>Target narrative</x:v>
      </x:c>
      <x:c r="M196" s="28" t="str">
        <x:v>Implementing Managed Artificial Recharge (MAR) to store excess irrigation ii) water or treated effluent in stressed aquifers, such as the Lower Rio Cobre Alluvium and Rio Minho Limestone, will be pursued to ensure long-term supply.</x:v>
      </x:c>
      <x:c r="N196" s="28" t="str">
        <x:v>implement manag artificial recharge mar to store excess irrigation ii water or treat effluent in stress aquifer such as the lower rio cobre alluvium and rio minho limestone will be pursu to ensure longterm supply</x:v>
      </x:c>
      <x:c r="O196" s="28" t="str">
        <x:v>d1a18b19c71dddaf37e7643f97dde80b70119676a8dc4727deaa8000641cac5f</x:v>
      </x:c>
      <x:c r="P196" s="28" t="str"/>
      <x:c r="Q196" s="28" t="str"/>
      <x:c r="R196" s="28" t="str">
        <x:v>[[269,342],[265,268],[343,418],[419,496]]</x:v>
      </x:c>
      <x:c r="S196" s="28" t="str">
        <x:v>Verified PDF context locator matched to spatial line cluster</x:v>
      </x:c>
      <x:c r="T196" s="28" t="str">
        <x:v>Verified PDF context locator</x:v>
      </x:c>
      <x:c r="U196" s="28" t="str">
        <x:v>Implementing Managed Artificial Recharge (MAR) to store excess irrigation water or treated effluent in stressed aquifers, such as the Lower Rio Cobre Alluvium and Rio Minho Limestone, will be pursued to ensure long-term supply.</x:v>
      </x:c>
      <x:c r="V196" s="28" t="n">
        <x:v>0.999</x:v>
      </x:c>
      <x:c r="W196" s="28" t="n">
        <x:v>1</x:v>
      </x:c>
      <x:c r="X196" s="28" t="n">
        <x:v>1</x:v>
      </x:c>
      <x:c r="Y196" s="28" t="n">
        <x:v>1</x:v>
      </x:c>
      <x:c r="Z196" s="28" t="n">
        <x:v>0.992874</x:v>
      </x:c>
      <x:c r="AA196" s="28" t="str">
        <x:v>High</x:v>
      </x:c>
      <x:c r="AB196" s="28" t="str">
        <x:v>Pass</x:v>
      </x:c>
      <x:c r="AC196" s="28" t="str">
        <x:v>Pending human review</x:v>
      </x:c>
      <x:c r="AD196" s="28" t="str"/>
      <x:c r="AE196" s="28" t="n">
        <x:v>46238.87231481481</x:v>
      </x:c>
    </x:row>
    <x:row r="197" ht="60" customHeight="1">
      <x:c r="A197" s="28" t="str">
        <x:v>ANC-JAM-036-CTX-01</x:v>
      </x:c>
      <x:c r="B197" s="28" t="str">
        <x:v>JAM-036</x:v>
      </x:c>
      <x:c r="C197" s="28" t="str">
        <x:v>DOC-JAM-WC-2026</x:v>
      </x:c>
      <x:c r="D197" s="28" t="str">
        <x:v>Context</x:v>
      </x:c>
      <x:c r="E197" s="28" t="str">
        <x:v>Text Span</x:v>
      </x:c>
      <x:c r="F197" s="28" t="str"/>
      <x:c r="G197" s="28" t="str">
        <x:v>PDF pp. 6–7, Section 3.1</x:v>
      </x:c>
      <x:c r="H197" s="28" t="n">
        <x:v>6</x:v>
      </x:c>
      <x:c r="I197" s="28" t="n">
        <x:v>7</x:v>
      </x:c>
      <x:c r="J197" s="28" t="n">
        <x:v>6</x:v>
      </x:c>
      <x:c r="K197" s="28" t="str">
        <x:v>6</x:v>
      </x:c>
      <x:c r="L197" s="28" t="str">
        <x:v>Infrastructure roadmap</x:v>
      </x:c>
      <x:c r="M197" s="28" t="str">
        <x:v>(b) Energy Efficiency Improvement: Implementing projects that have been developed to improve NWC’s energy efficiency levels and reduce energy cost (now about 30% of</x:v>
      </x:c>
      <x:c r="N197" s="28" t="str">
        <x:v>b energy efficiency improvement implement project that have been develop to improve nwcs energy efficiency level and reduce energy cost now about 30 of</x:v>
      </x:c>
      <x:c r="O197" s="28" t="str">
        <x:v>427ae801bc34562ebad10620b26c88bae1e62e307fcc1d4290d7c3f1fe703e52</x:v>
      </x:c>
      <x:c r="P197" s="28" t="str"/>
      <x:c r="Q197" s="28" t="str"/>
      <x:c r="R197" s="28" t="str">
        <x:v>[[1682,1766],[1767,1846]]</x:v>
      </x:c>
      <x:c r="S197" s="28" t="str">
        <x:v>Verified PDF context locator matched to spatial line cluster</x:v>
      </x:c>
      <x:c r="T197" s="28" t="str">
        <x:v>Verified PDF context locator</x:v>
      </x:c>
      <x:c r="U197" s="28" t="str">
        <x:v>Energy Efficiency Improvement: Implementing projects that have been developed to improve NWC’s energy efficiency levels and reduce energy cost</x:v>
      </x:c>
      <x:c r="V197" s="28" t="n">
        <x:v>0.999</x:v>
      </x:c>
      <x:c r="W197" s="28" t="n">
        <x:v>0.946928</x:v>
      </x:c>
      <x:c r="X197" s="28" t="n">
        <x:v>0.899206</x:v>
      </x:c>
      <x:c r="Y197" s="28" t="n">
        <x:v>1</x:v>
      </x:c>
      <x:c r="Z197" s="28" t="n">
        <x:v>0.93662</x:v>
      </x:c>
      <x:c r="AA197" s="28" t="str">
        <x:v>High</x:v>
      </x:c>
      <x:c r="AB197" s="28" t="str">
        <x:v>Pass</x:v>
      </x:c>
      <x:c r="AC197" s="28" t="str">
        <x:v>Pending human review</x:v>
      </x:c>
      <x:c r="AD197" s="28" t="str"/>
      <x:c r="AE197" s="28" t="n">
        <x:v>46238.87231481481</x:v>
      </x:c>
    </x:row>
    <x:row r="198" ht="60" customHeight="1">
      <x:c r="A198" s="28" t="str">
        <x:v>ANC-JAM-036-CTX-02</x:v>
      </x:c>
      <x:c r="B198" s="28" t="str">
        <x:v>JAM-036</x:v>
      </x:c>
      <x:c r="C198" s="28" t="str">
        <x:v>DOC-JAM-WC-2026</x:v>
      </x:c>
      <x:c r="D198" s="28" t="str">
        <x:v>Context</x:v>
      </x:c>
      <x:c r="E198" s="28" t="str">
        <x:v>Text Span</x:v>
      </x:c>
      <x:c r="F198" s="28" t="str"/>
      <x:c r="G198" s="28" t="str">
        <x:v>PDF pp. 6–7, Section 3.1</x:v>
      </x:c>
      <x:c r="H198" s="28" t="n">
        <x:v>6</x:v>
      </x:c>
      <x:c r="I198" s="28" t="n">
        <x:v>7</x:v>
      </x:c>
      <x:c r="J198" s="28" t="n">
        <x:v>6</x:v>
      </x:c>
      <x:c r="K198" s="28" t="str">
        <x:v>6</x:v>
      </x:c>
      <x:c r="L198" s="28" t="str">
        <x:v>Infrastructure roadmap</x:v>
      </x:c>
      <x:c r="M198" s="28" t="str">
        <x:v>(c) Expand Sewerage Coverage: Expand the Soapberry Wastewater Treatment Plant by 2030 to accommodate the additional sewage flows from the continued extension of the sewer</x:v>
      </x:c>
      <x:c r="N198" s="28" t="str">
        <x:v>c expand sewerage coverage expand the soapberry wastewater treatment plant by 2030 to accommodate the additional sewage flow from the continu extension of the sewer</x:v>
      </x:c>
      <x:c r="O198" s="28" t="str">
        <x:v>b6bd6c0cf6d7d471d13f298120aeae61e7c49124148ca80ed1326f09ee00fc7e</x:v>
      </x:c>
      <x:c r="P198" s="28" t="str"/>
      <x:c r="Q198" s="28" t="str"/>
      <x:c r="R198" s="28" t="str">
        <x:v>[[2035,2120],[2121,2205]]</x:v>
      </x:c>
      <x:c r="S198" s="28" t="str">
        <x:v>Verified PDF context locator matched to spatial line cluster</x:v>
      </x:c>
      <x:c r="T198" s="28" t="str">
        <x:v>Verified PDF context locator</x:v>
      </x:c>
      <x:c r="U198" s="28" t="str">
        <x:v>Expand Sewerage Coverage: Expand the Soapberry Wastewater Treatment Plant by 2030 to accommodate the additional sewage flows</x:v>
      </x:c>
      <x:c r="V198" s="28" t="n">
        <x:v>0.999</x:v>
      </x:c>
      <x:c r="W198" s="28" t="n">
        <x:v>0.956818</x:v>
      </x:c>
      <x:c r="X198" s="28" t="n">
        <x:v>0.91721</x:v>
      </x:c>
      <x:c r="Y198" s="28" t="n">
        <x:v>1</x:v>
      </x:c>
      <x:c r="Z198" s="28" t="n">
        <x:v>0.853147</x:v>
      </x:c>
      <x:c r="AA198" s="28" t="str">
        <x:v>High</x:v>
      </x:c>
      <x:c r="AB198" s="28" t="str">
        <x:v>Pass</x:v>
      </x:c>
      <x:c r="AC198" s="28" t="str">
        <x:v>Pending human review</x:v>
      </x:c>
      <x:c r="AD198" s="28" t="str"/>
      <x:c r="AE198" s="28" t="n">
        <x:v>46238.87231481481</x:v>
      </x:c>
    </x:row>
    <x:row r="199" ht="60" customHeight="1">
      <x:c r="A199" s="28" t="str">
        <x:v>ANC-JAM-036-CTX-03</x:v>
      </x:c>
      <x:c r="B199" s="28" t="str">
        <x:v>JAM-036</x:v>
      </x:c>
      <x:c r="C199" s="28" t="str">
        <x:v>DOC-JAM-WC-2026</x:v>
      </x:c>
      <x:c r="D199" s="28" t="str">
        <x:v>Context</x:v>
      </x:c>
      <x:c r="E199" s="28" t="str">
        <x:v>Text Span</x:v>
      </x:c>
      <x:c r="F199" s="28" t="str"/>
      <x:c r="G199" s="28" t="str">
        <x:v>PDF pp. 6–7, Section 3.1</x:v>
      </x:c>
      <x:c r="H199" s="28" t="n">
        <x:v>6</x:v>
      </x:c>
      <x:c r="I199" s="28" t="n">
        <x:v>7</x:v>
      </x:c>
      <x:c r="J199" s="28" t="n">
        <x:v>6</x:v>
      </x:c>
      <x:c r="K199" s="28" t="str">
        <x:v>6</x:v>
      </x:c>
      <x:c r="L199" s="28" t="str">
        <x:v>Infrastructure roadmap</x:v>
      </x:c>
      <x:c r="M199" s="28" t="str">
        <x:v>(d) Renewable Energy Systems - Installation of photovoltaic systems at selected pump stations and office buildings, as well as at other locations such as the Mona Reservoir</x:v>
      </x:c>
      <x:c r="N199" s="28" t="str">
        <x:v>d renewable energy system installation of photovoltaic system at select pump station and office building as well as at other location such as the mona reservoir</x:v>
      </x:c>
      <x:c r="O199" s="28" t="str">
        <x:v>b7afffe1c5156174b898a22135f0b59936ec0dee9f11229797ac58bbbd0e6bb1</x:v>
      </x:c>
      <x:c r="P199" s="28" t="str"/>
      <x:c r="Q199" s="28" t="str"/>
      <x:c r="R199" s="28" t="str">
        <x:v>[[2316,2400],[2401,2488]]</x:v>
      </x:c>
      <x:c r="S199" s="28" t="str">
        <x:v>Verified PDF context locator matched to spatial line cluster</x:v>
      </x:c>
      <x:c r="T199" s="28" t="str">
        <x:v>Verified PDF context locator</x:v>
      </x:c>
      <x:c r="U199" s="28" t="str">
        <x:v>Renewable Energy Systems - Installation of photovoltaic systems at selected pump stations and office buildings, as well as at other locations such as the Mona Reservoir</x:v>
      </x:c>
      <x:c r="V199" s="28" t="n">
        <x:v>0.999</x:v>
      </x:c>
      <x:c r="W199" s="28" t="n">
        <x:v>1</x:v>
      </x:c>
      <x:c r="X199" s="28" t="n">
        <x:v>1</x:v>
      </x:c>
      <x:c r="Y199" s="28" t="n">
        <x:v>1</x:v>
      </x:c>
      <x:c r="Z199" s="28" t="n">
        <x:v>0.993711</x:v>
      </x:c>
      <x:c r="AA199" s="28" t="str">
        <x:v>High</x:v>
      </x:c>
      <x:c r="AB199" s="28" t="str">
        <x:v>Pass</x:v>
      </x:c>
      <x:c r="AC199" s="28" t="str">
        <x:v>Pending human review</x:v>
      </x:c>
      <x:c r="AD199" s="28" t="str"/>
      <x:c r="AE199" s="28" t="n">
        <x:v>46238.87231481481</x:v>
      </x:c>
    </x:row>
    <x:row r="200" ht="60" customHeight="1">
      <x:c r="A200" s="28" t="str">
        <x:v>ANC-SLE-058-CTX-01</x:v>
      </x:c>
      <x:c r="B200" s="28" t="str">
        <x:v>SLE-058</x:v>
      </x:c>
      <x:c r="C200" s="28" t="str">
        <x:v>DOC-SLE-WC-2026</x:v>
      </x:c>
      <x:c r="D200" s="28" t="str">
        <x:v>Context</x:v>
      </x:c>
      <x:c r="E200" s="28" t="str">
        <x:v>Text Span</x:v>
      </x:c>
      <x:c r="F200" s="28" t="str"/>
      <x:c r="G200" s="28" t="str">
        <x:v>PDF pp. 9–10, Table 1</x:v>
      </x:c>
      <x:c r="H200" s="28" t="n">
        <x:v>9</x:v>
      </x:c>
      <x:c r="I200" s="28" t="n">
        <x:v>10</x:v>
      </x:c>
      <x:c r="J200" s="28" t="n">
        <x:v>10</x:v>
      </x:c>
      <x:c r="K200" s="28" t="str">
        <x:v>10</x:v>
      </x:c>
      <x:c r="L200" s="28" t="str">
        <x:v>Target table</x:v>
      </x:c>
      <x:c r="M200" s="28" t="str">
        <x:v>Provide at least basic water services to 80% of healthcare facilities</x:v>
      </x:c>
      <x:c r="N200" s="28" t="str">
        <x:v>provide at least basic water service to 80 of healthcare facility</x:v>
      </x:c>
      <x:c r="O200" s="28" t="str">
        <x:v>888de5b52c165d97fbde87ddd47177b5bfa473cfeda282dab9288c05caee6f66</x:v>
      </x:c>
      <x:c r="P200" s="28" t="str"/>
      <x:c r="Q200" s="28" t="str"/>
      <x:c r="R200" s="28" t="str">
        <x:v>[[51,109],[139,149]]</x:v>
      </x:c>
      <x:c r="S200" s="28" t="str">
        <x:v>Verified PDF context locator matched to spatial line cluster</x:v>
      </x:c>
      <x:c r="T200" s="28" t="str">
        <x:v>Verified PDF context locator</x:v>
      </x:c>
      <x:c r="U200" s="28" t="str">
        <x:v>Provide at least basic water services to 80% of healthcare facilities</x:v>
      </x:c>
      <x:c r="V200" s="28" t="n">
        <x:v>0.999</x:v>
      </x:c>
      <x:c r="W200" s="28" t="n">
        <x:v>1</x:v>
      </x:c>
      <x:c r="X200" s="28" t="n">
        <x:v>1</x:v>
      </x:c>
      <x:c r="Y200" s="28" t="n">
        <x:v>1</x:v>
      </x:c>
      <x:c r="Z200" s="28" t="n">
        <x:v>1</x:v>
      </x:c>
      <x:c r="AA200" s="28" t="str">
        <x:v>High</x:v>
      </x:c>
      <x:c r="AB200" s="28" t="str">
        <x:v>Pass</x:v>
      </x:c>
      <x:c r="AC200" s="28" t="str">
        <x:v>Pending human review</x:v>
      </x:c>
      <x:c r="AD200" s="28" t="str"/>
      <x:c r="AE200" s="28" t="n">
        <x:v>46238.87231481481</x:v>
      </x:c>
    </x:row>
    <x:row r="201" ht="60" customHeight="1">
      <x:c r="A201" s="28" t="str">
        <x:v>ANC-SLE-061-CTX-01</x:v>
      </x:c>
      <x:c r="B201" s="28" t="str">
        <x:v>SLE-061</x:v>
      </x:c>
      <x:c r="C201" s="28" t="str">
        <x:v>DOC-SLE-WC-2026</x:v>
      </x:c>
      <x:c r="D201" s="28" t="str">
        <x:v>Context</x:v>
      </x:c>
      <x:c r="E201" s="28" t="str">
        <x:v>Text Span</x:v>
      </x:c>
      <x:c r="F201" s="28" t="str"/>
      <x:c r="G201" s="28" t="str">
        <x:v>PDF p. 14, Appendix 1</x:v>
      </x:c>
      <x:c r="H201" s="28" t="n">
        <x:v>14</x:v>
      </x:c>
      <x:c r="I201" s="28" t="n">
        <x:v>14</x:v>
      </x:c>
      <x:c r="J201" s="28" t="n">
        <x:v>14</x:v>
      </x:c>
      <x:c r="K201" s="28" t="str">
        <x:v>14</x:v>
      </x:c>
      <x:c r="L201" s="28" t="str">
        <x:v>Programmatic outlook</x:v>
      </x:c>
      <x:c r="M201" s="28" t="str">
        <x:v>(ii) Installation of zonal meters and customer meters for consumers on a flat rate</x:v>
      </x:c>
      <x:c r="N201" s="28" t="str">
        <x:v>ii installation of zonal meter and customer meter for consumer on a flat rate</x:v>
      </x:c>
      <x:c r="O201" s="28" t="str">
        <x:v>77179bf7c912edfc97a16d80a65009d9db1bed0095bd5d5fa739711924510ac5</x:v>
      </x:c>
      <x:c r="P201" s="28" t="str"/>
      <x:c r="Q201" s="28" t="str"/>
      <x:c r="R201" s="28" t="str">
        <x:v>[[1146,1218],[1219,1228]]</x:v>
      </x:c>
      <x:c r="S201" s="28" t="str">
        <x:v>Verified PDF context locator matched to spatial line cluster</x:v>
      </x:c>
      <x:c r="T201" s="28" t="str">
        <x:v>Verified PDF context locator</x:v>
      </x:c>
      <x:c r="U201" s="28" t="str">
        <x:v>Installation of zonal meters and customer meters for consumers on a flat rate</x:v>
      </x:c>
      <x:c r="V201" s="28" t="n">
        <x:v>0.999</x:v>
      </x:c>
      <x:c r="W201" s="28" t="n">
        <x:v>1</x:v>
      </x:c>
      <x:c r="X201" s="28" t="n">
        <x:v>1</x:v>
      </x:c>
      <x:c r="Y201" s="28" t="n">
        <x:v>1</x:v>
      </x:c>
      <x:c r="Z201" s="28" t="n">
        <x:v>0.980132</x:v>
      </x:c>
      <x:c r="AA201" s="28" t="str">
        <x:v>High</x:v>
      </x:c>
      <x:c r="AB201" s="28" t="str">
        <x:v>Pass</x:v>
      </x:c>
      <x:c r="AC201" s="28" t="str">
        <x:v>Pending human review</x:v>
      </x:c>
      <x:c r="AD201" s="28" t="str"/>
      <x:c r="AE201" s="28" t="n">
        <x:v>46238.87231481481</x:v>
      </x:c>
    </x:row>
    <x:row r="202" ht="60" customHeight="1">
      <x:c r="A202" s="28" t="str">
        <x:v>ANC-SLE-061-CTX-02</x:v>
      </x:c>
      <x:c r="B202" s="28" t="str">
        <x:v>SLE-061</x:v>
      </x:c>
      <x:c r="C202" s="28" t="str">
        <x:v>DOC-SLE-WC-2026</x:v>
      </x:c>
      <x:c r="D202" s="28" t="str">
        <x:v>Context</x:v>
      </x:c>
      <x:c r="E202" s="28" t="str">
        <x:v>Text Span</x:v>
      </x:c>
      <x:c r="F202" s="28" t="str"/>
      <x:c r="G202" s="28" t="str">
        <x:v>PDF p. 14, Appendix 1</x:v>
      </x:c>
      <x:c r="H202" s="28" t="n">
        <x:v>14</x:v>
      </x:c>
      <x:c r="I202" s="28" t="n">
        <x:v>14</x:v>
      </x:c>
      <x:c r="J202" s="28" t="n">
        <x:v>14</x:v>
      </x:c>
      <x:c r="K202" s="28" t="str">
        <x:v>14</x:v>
      </x:c>
      <x:c r="L202" s="28" t="str">
        <x:v>Programmatic outlook</x:v>
      </x:c>
      <x:c r="M202" s="28" t="str">
        <x:v>(iii) Establish DMA and water loss reduction programs</x:v>
      </x:c>
      <x:c r="N202" s="28" t="str">
        <x:v>iii establish dma and water loss reduction program</x:v>
      </x:c>
      <x:c r="O202" s="28" t="str">
        <x:v>bf7816c166269d96686b690ce79a716d97ddb255be3ab1517f19f740cd4dd32d</x:v>
      </x:c>
      <x:c r="P202" s="28" t="n">
        <x:v>1269</x:v>
      </x:c>
      <x:c r="Q202" s="28" t="n">
        <x:v>1322</x:v>
      </x:c>
      <x:c r="R202" s="28" t="str">
        <x:v>[[1269,1322]]</x:v>
      </x:c>
      <x:c r="S202" s="28" t="str">
        <x:v>Verified PDF context locator matched to spatial line cluster</x:v>
      </x:c>
      <x:c r="T202" s="28" t="str">
        <x:v>Verified PDF context locator</x:v>
      </x:c>
      <x:c r="U202" s="28" t="str">
        <x:v>Establish DMA and water loss reduction programs</x:v>
      </x:c>
      <x:c r="V202" s="28" t="n">
        <x:v>0.999</x:v>
      </x:c>
      <x:c r="W202" s="28" t="n">
        <x:v>0.947469</x:v>
      </x:c>
      <x:c r="X202" s="28" t="n">
        <x:v>0.900181</x:v>
      </x:c>
      <x:c r="Y202" s="28" t="n">
        <x:v>1</x:v>
      </x:c>
      <x:c r="Z202" s="28" t="n">
        <x:v>0.958333</x:v>
      </x:c>
      <x:c r="AA202" s="28" t="str">
        <x:v>High</x:v>
      </x:c>
      <x:c r="AB202" s="28" t="str">
        <x:v>Pass</x:v>
      </x:c>
      <x:c r="AC202" s="28" t="str">
        <x:v>Pending human review</x:v>
      </x:c>
      <x:c r="AD202" s="28" t="str"/>
      <x:c r="AE202" s="28" t="n">
        <x:v>46238.87231481481</x:v>
      </x:c>
    </x:row>
    <x:row r="203" ht="60" customHeight="1">
      <x:c r="A203" s="28" t="str">
        <x:v>ANC-SLE-063-CTX-01</x:v>
      </x:c>
      <x:c r="B203" s="28" t="str">
        <x:v>SLE-063</x:v>
      </x:c>
      <x:c r="C203" s="28" t="str">
        <x:v>DOC-SLE-WC-2026</x:v>
      </x:c>
      <x:c r="D203" s="28" t="str">
        <x:v>Context</x:v>
      </x:c>
      <x:c r="E203" s="28" t="str">
        <x:v>Text Span</x:v>
      </x:c>
      <x:c r="F203" s="28" t="str"/>
      <x:c r="G203" s="28" t="str">
        <x:v>PDF p. 15, Appendix 1</x:v>
      </x:c>
      <x:c r="H203" s="28" t="n">
        <x:v>15</x:v>
      </x:c>
      <x:c r="I203" s="28" t="n">
        <x:v>15</x:v>
      </x:c>
      <x:c r="J203" s="28" t="n">
        <x:v>15</x:v>
      </x:c>
      <x:c r="K203" s="28" t="str">
        <x:v>15</x:v>
      </x:c>
      <x:c r="L203" s="28" t="str">
        <x:v>Programmatic outlook</x:v>
      </x:c>
      <x:c r="M203" s="28" t="str">
        <x:v>(iii) Construction of MRF/Composting Areas (200tons/day)</x:v>
      </x:c>
      <x:c r="N203" s="28" t="str">
        <x:v>iii construction of mrfcompost area 200tonsday</x:v>
      </x:c>
      <x:c r="O203" s="28" t="str">
        <x:v>b58ba451448fbd4bf0813e80fe3f2b5afb4419539af81d44d6d58bfb93bc2448</x:v>
      </x:c>
      <x:c r="P203" s="28" t="n">
        <x:v>1996</x:v>
      </x:c>
      <x:c r="Q203" s="28" t="n">
        <x:v>2052</x:v>
      </x:c>
      <x:c r="R203" s="28" t="str">
        <x:v>[[1996,2052]]</x:v>
      </x:c>
      <x:c r="S203" s="28" t="str">
        <x:v>Verified PDF context locator matched to spatial line cluster</x:v>
      </x:c>
      <x:c r="T203" s="28" t="str">
        <x:v>Verified PDF context locator</x:v>
      </x:c>
      <x:c r="U203" s="28" t="str">
        <x:v>Construction of MRF/Composting Areas</x:v>
      </x:c>
      <x:c r="V203" s="28" t="n">
        <x:v>0.999</x:v>
      </x:c>
      <x:c r="W203" s="28" t="n">
        <x:v>0.894837</x:v>
      </x:c>
      <x:c r="X203" s="28" t="n">
        <x:v>0.809689</x:v>
      </x:c>
      <x:c r="Y203" s="28" t="n">
        <x:v>1</x:v>
      </x:c>
      <x:c r="Z203" s="28" t="n">
        <x:v>0.805195</x:v>
      </x:c>
      <x:c r="AA203" s="28" t="str">
        <x:v>High</x:v>
      </x:c>
      <x:c r="AB203" s="28" t="str">
        <x:v>Pass</x:v>
      </x:c>
      <x:c r="AC203" s="28" t="str">
        <x:v>Pending human review</x:v>
      </x:c>
      <x:c r="AD203" s="28" t="str"/>
      <x:c r="AE203" s="28" t="n">
        <x:v>46238.87231481481</x:v>
      </x:c>
    </x:row>
    <x:row r="204" ht="60" customHeight="1">
      <x:c r="A204" s="28" t="str">
        <x:v>ANC-CAM-034-CTX-01</x:v>
      </x:c>
      <x:c r="B204" s="28" t="str">
        <x:v>CAM-034</x:v>
      </x:c>
      <x:c r="C204" s="28" t="str">
        <x:v>DOC-CAM-WC-2026</x:v>
      </x:c>
      <x:c r="D204" s="28" t="str">
        <x:v>Context</x:v>
      </x:c>
      <x:c r="E204" s="28" t="str">
        <x:v>Text Span</x:v>
      </x:c>
      <x:c r="F204" s="28" t="str"/>
      <x:c r="G204" s="28" t="str">
        <x:v>PDF pp. 10–11, Table 3</x:v>
      </x:c>
      <x:c r="H204" s="28" t="n">
        <x:v>10</x:v>
      </x:c>
      <x:c r="I204" s="28" t="n">
        <x:v>11</x:v>
      </x:c>
      <x:c r="J204" s="28" t="n">
        <x:v>10</x:v>
      </x:c>
      <x:c r="K204" s="28" t="str">
        <x:v>10</x:v>
      </x:c>
      <x:c r="L204" s="28" t="str">
        <x:v>Activity roadmap</x:v>
      </x:c>
      <x:c r="M204" s="28" t="str">
        <x:v>Scale up credit enhancements for water supply sector [MISTI, CGCC]</x:v>
      </x:c>
      <x:c r="N204" s="28" t="str">
        <x:v>scale up credit enhancement for water supply sector misti cgcc</x:v>
      </x:c>
      <x:c r="O204" s="28" t="str">
        <x:v>9c708bdb0917dc99ee4ff2ec0307dfa157fcf999d598edd7d3b1df4c3481c221</x:v>
      </x:c>
      <x:c r="P204" s="28" t="str"/>
      <x:c r="Q204" s="28" t="str"/>
      <x:c r="R204" s="28" t="str">
        <x:v>[[1561,1589],[1609,1640],[1664,1669]]</x:v>
      </x:c>
      <x:c r="S204" s="28" t="str">
        <x:v>Verified PDF context locator matched to spatial line cluster</x:v>
      </x:c>
      <x:c r="T204" s="28" t="str">
        <x:v>Verified PDF context locator</x:v>
      </x:c>
      <x:c r="U204" s="28" t="str">
        <x:v>Scale up credit enhancements for water supply sector [MISTI, CGCC]</x:v>
      </x:c>
      <x:c r="V204" s="28" t="n">
        <x:v>0.999</x:v>
      </x:c>
      <x:c r="W204" s="28" t="n">
        <x:v>1</x:v>
      </x:c>
      <x:c r="X204" s="28" t="n">
        <x:v>1</x:v>
      </x:c>
      <x:c r="Y204" s="28" t="n">
        <x:v>1</x:v>
      </x:c>
      <x:c r="Z204" s="28" t="n">
        <x:v>1</x:v>
      </x:c>
      <x:c r="AA204" s="28" t="str">
        <x:v>High</x:v>
      </x:c>
      <x:c r="AB204" s="28" t="str">
        <x:v>Pass</x:v>
      </x:c>
      <x:c r="AC204" s="28" t="str">
        <x:v>Pending human review</x:v>
      </x:c>
      <x:c r="AD204" s="28" t="str"/>
      <x:c r="AE204" s="28" t="n">
        <x:v>46238.87231481481</x:v>
      </x:c>
    </x:row>
    <x:row r="205" ht="60" customHeight="1">
      <x:c r="A205" s="28" t="str">
        <x:v>ANC-CAM-079-CTX-01</x:v>
      </x:c>
      <x:c r="B205" s="28" t="str">
        <x:v>CAM-079</x:v>
      </x:c>
      <x:c r="C205" s="28" t="str">
        <x:v>DOC-CAM-WC-2026</x:v>
      </x:c>
      <x:c r="D205" s="28" t="str">
        <x:v>Context</x:v>
      </x:c>
      <x:c r="E205" s="28" t="str">
        <x:v>Text Span</x:v>
      </x:c>
      <x:c r="F205" s="28" t="str"/>
      <x:c r="G205" s="28" t="str">
        <x:v>PDF pp. 14–22, Tables 4–5</x:v>
      </x:c>
      <x:c r="H205" s="28" t="n">
        <x:v>14</x:v>
      </x:c>
      <x:c r="I205" s="28" t="n">
        <x:v>22</x:v>
      </x:c>
      <x:c r="J205" s="28" t="n">
        <x:v>14</x:v>
      </x:c>
      <x:c r="K205" s="28" t="str">
        <x:v>14</x:v>
      </x:c>
      <x:c r="L205" s="28" t="str">
        <x:v>Investment tables</x:v>
      </x:c>
      <x:c r="M205" s="28" t="str">
        <x:v>Table 4. Ongoing Investments</x:v>
      </x:c>
      <x:c r="N205" s="28" t="str">
        <x:v>table 4 ongo investment</x:v>
      </x:c>
      <x:c r="O205" s="28" t="str">
        <x:v>b8d2706c5c8bc52a24ae0346cdc409d7d3f82d03b8a44e54cf2a4159ff3c5659</x:v>
      </x:c>
      <x:c r="P205" s="28" t="n">
        <x:v>1167</x:v>
      </x:c>
      <x:c r="Q205" s="28" t="n">
        <x:v>1195</x:v>
      </x:c>
      <x:c r="R205" s="28" t="str">
        <x:v>[[1167,1195]]</x:v>
      </x:c>
      <x:c r="S205" s="28" t="str">
        <x:v>Verified PDF context locator matched to spatial line cluster</x:v>
      </x:c>
      <x:c r="T205" s="28" t="str">
        <x:v>Verified PDF context locator</x:v>
      </x:c>
      <x:c r="U205" s="28" t="str">
        <x:v>Table 4. Ongoing Investments</x:v>
      </x:c>
      <x:c r="V205" s="28" t="n">
        <x:v>0.999</x:v>
      </x:c>
      <x:c r="W205" s="28" t="n">
        <x:v>1</x:v>
      </x:c>
      <x:c r="X205" s="28" t="n">
        <x:v>1</x:v>
      </x:c>
      <x:c r="Y205" s="28" t="n">
        <x:v>1</x:v>
      </x:c>
      <x:c r="Z205" s="28" t="n">
        <x:v>1</x:v>
      </x:c>
      <x:c r="AA205" s="28" t="str">
        <x:v>High</x:v>
      </x:c>
      <x:c r="AB205" s="28" t="str">
        <x:v>Pass</x:v>
      </x:c>
      <x:c r="AC205" s="28" t="str">
        <x:v>Pending human review</x:v>
      </x:c>
      <x:c r="AD205" s="28" t="str"/>
      <x:c r="AE205" s="28" t="n">
        <x:v>46238.87231481481</x:v>
      </x:c>
    </x:row>
    <x:row r="206" ht="60" customHeight="1">
      <x:c r="A206" s="28" t="str">
        <x:v>ANC-CAM-079-CTX-02</x:v>
      </x:c>
      <x:c r="B206" s="28" t="str">
        <x:v>CAM-079</x:v>
      </x:c>
      <x:c r="C206" s="28" t="str">
        <x:v>DOC-CAM-WC-2026</x:v>
      </x:c>
      <x:c r="D206" s="28" t="str">
        <x:v>Context</x:v>
      </x:c>
      <x:c r="E206" s="28" t="str">
        <x:v>Text Span</x:v>
      </x:c>
      <x:c r="F206" s="28" t="str"/>
      <x:c r="G206" s="28" t="str">
        <x:v>PDF pp. 14–22, Tables 4–5</x:v>
      </x:c>
      <x:c r="H206" s="28" t="n">
        <x:v>14</x:v>
      </x:c>
      <x:c r="I206" s="28" t="n">
        <x:v>22</x:v>
      </x:c>
      <x:c r="J206" s="28" t="n">
        <x:v>20</x:v>
      </x:c>
      <x:c r="K206" s="28" t="str">
        <x:v>20</x:v>
      </x:c>
      <x:c r="L206" s="28" t="str">
        <x:v>Investment tables</x:v>
      </x:c>
      <x:c r="M206" s="28" t="str">
        <x:v>Table 5. Pipeline Investments</x:v>
      </x:c>
      <x:c r="N206" s="28" t="str">
        <x:v>table 5 pipeline investment</x:v>
      </x:c>
      <x:c r="O206" s="28" t="str">
        <x:v>2830f9c7b1ccfb45d40c18874e7a97af840be475d24d3f791af560ba614a77af</x:v>
      </x:c>
      <x:c r="P206" s="28" t="n">
        <x:v>1173</x:v>
      </x:c>
      <x:c r="Q206" s="28" t="n">
        <x:v>1202</x:v>
      </x:c>
      <x:c r="R206" s="28" t="str">
        <x:v>[[1173,1202]]</x:v>
      </x:c>
      <x:c r="S206" s="28" t="str">
        <x:v>Verified PDF context locator matched to spatial line cluster</x:v>
      </x:c>
      <x:c r="T206" s="28" t="str">
        <x:v>Verified PDF context locator</x:v>
      </x:c>
      <x:c r="U206" s="28" t="str">
        <x:v>Table 5. Pipeline Investments</x:v>
      </x:c>
      <x:c r="V206" s="28" t="n">
        <x:v>0.999</x:v>
      </x:c>
      <x:c r="W206" s="28" t="n">
        <x:v>1</x:v>
      </x:c>
      <x:c r="X206" s="28" t="n">
        <x:v>1</x:v>
      </x:c>
      <x:c r="Y206" s="28" t="n">
        <x:v>1</x:v>
      </x:c>
      <x:c r="Z206" s="28" t="n">
        <x:v>1</x:v>
      </x:c>
      <x:c r="AA206" s="28" t="str">
        <x:v>High</x:v>
      </x:c>
      <x:c r="AB206" s="28" t="str">
        <x:v>Pass</x:v>
      </x:c>
      <x:c r="AC206" s="28" t="str">
        <x:v>Pending human review</x:v>
      </x:c>
      <x:c r="AD206" s="28" t="str"/>
      <x:c r="AE206" s="28" t="n">
        <x:v>46238.87231481481</x:v>
      </x:c>
    </x:row>
    <x:row r="207" ht="60" customHeight="1">
      <x:c r="A207" s="28" t="str">
        <x:v>ANC-CAM-013-ASP</x:v>
      </x:c>
      <x:c r="B207" s="28" t="str">
        <x:v>CAM-013</x:v>
      </x:c>
      <x:c r="C207" s="28" t="str">
        <x:v>DOC-CAM-WC-2026</x:v>
      </x:c>
      <x:c r="D207" s="28" t="str">
        <x:v>Aspiration</x:v>
      </x:c>
      <x:c r="E207" s="28" t="str">
        <x:v>Table Cell/Row</x:v>
      </x:c>
      <x:c r="F207" s="28" t="str">
        <x:v>CAM-013</x:v>
      </x:c>
      <x:c r="G207" s="28" t="str">
        <x:v>PDF p. 6, Table 2</x:v>
      </x:c>
      <x:c r="H207" s="28" t="n">
        <x:v>6</x:v>
      </x:c>
      <x:c r="I207" s="28" t="n">
        <x:v>6</x:v>
      </x:c>
      <x:c r="J207" s="28" t="n">
        <x:v>6</x:v>
      </x:c>
      <x:c r="K207" s="28" t="str">
        <x:v>6</x:v>
      </x:c>
      <x:c r="L207" s="28" t="str">
        <x:v>Priority reform table</x:v>
      </x:c>
      <x:c r="M207" s="28" t="str">
        <x:v>4. Improve long-term planning for wastewater infrastructure</x:v>
      </x:c>
      <x:c r="N207" s="28" t="str">
        <x:v>4 improve longterm plann for wastewater infrastructure</x:v>
      </x:c>
      <x:c r="O207" s="28" t="str">
        <x:v>d333078ae06595b8d9157bf7241503c768067fde8f46591ab3674d49ad352559</x:v>
      </x:c>
      <x:c r="P207" s="28" t="n">
        <x:v>1844</x:v>
      </x:c>
      <x:c r="Q207" s="28" t="n">
        <x:v>1903</x:v>
      </x:c>
      <x:c r="R207" s="28" t="str">
        <x:v>[[1844,1903]]</x:v>
      </x:c>
      <x:c r="S207" s="28" t="str">
        <x:v>Reused verified PDF-token span from candidate anchor</x:v>
      </x:c>
      <x:c r="T207" s="28" t="str">
        <x:v>Standardized Candidate</x:v>
      </x:c>
      <x:c r="U207" s="28" t="str">
        <x:v>Strengthen long-term wastewater infrastructure planning</x:v>
      </x:c>
      <x:c r="V207" s="28" t="n">
        <x:v>0.903351</x:v>
      </x:c>
      <x:c r="W207" s="28" t="n">
        <x:v>0.959529</x:v>
      </x:c>
      <x:c r="X207" s="28" t="n">
        <x:v>0.922207</x:v>
      </x:c>
      <x:c r="Y207" s="28" t="n">
        <x:v>1</x:v>
      </x:c>
      <x:c r="Z207" s="28" t="n">
        <x:v>0.704762</x:v>
      </x:c>
      <x:c r="AA207" s="28" t="str">
        <x:v>High</x:v>
      </x:c>
      <x:c r="AB207" s="28" t="str">
        <x:v>Pass</x:v>
      </x:c>
      <x:c r="AC207" s="28" t="str">
        <x:v>Pending human review</x:v>
      </x:c>
      <x:c r="AD207" s="28" t="str"/>
      <x:c r="AE207" s="28" t="n">
        <x:v>46238.87231481481</x:v>
      </x:c>
    </x:row>
    <x:row r="208" ht="60" customHeight="1">
      <x:c r="A208" s="28" t="str">
        <x:v>ANC-CAM-013-MECH-01</x:v>
      </x:c>
      <x:c r="B208" s="28" t="str">
        <x:v>CAM-013</x:v>
      </x:c>
      <x:c r="C208" s="28" t="str">
        <x:v>DOC-CAM-WC-2026</x:v>
      </x:c>
      <x:c r="D208" s="28" t="str">
        <x:v>Explicit Mechanism</x:v>
      </x:c>
      <x:c r="E208" s="28" t="str">
        <x:v>Text Span</x:v>
      </x:c>
      <x:c r="F208" s="28" t="str">
        <x:v>CAM-027</x:v>
      </x:c>
      <x:c r="G208" s="28" t="str">
        <x:v>PDF p. 10, Table 3</x:v>
      </x:c>
      <x:c r="H208" s="28" t="n">
        <x:v>10</x:v>
      </x:c>
      <x:c r="I208" s="28" t="n">
        <x:v>10</x:v>
      </x:c>
      <x:c r="J208" s="28" t="n">
        <x:v>10</x:v>
      </x:c>
      <x:c r="K208" s="28" t="str">
        <x:v>10</x:v>
      </x:c>
      <x:c r="L208" s="28" t="str">
        <x:v>Activity roadmap</x:v>
      </x:c>
      <x:c r="M208" s="28" t="str">
        <x:v>2029 - 2030 Strengthening policy, - Establish water supply - Strengthen regulatory institution and regulator [MISTI] enforcement in water supply regulations in water - Develop new water supply [MISTI] supply and sanitation law [MISTI] - Strengthen provincial - Update national policy for institutional framework for Water Supply and Sanitation wastewater through setting up [MISTI, MPWT, MRD] utilities /corporatized - Establish fecal sludge structures [MPWT] management framework [MPWT] - Develop a ten-year national urban/sub-urban sanitation strategy</x:v>
      </x:c>
      <x:c r="N208" s="28" t="str">
        <x:v>2029 2030 strengthen policy establish water supply strengthen regulatory institution and regulator misti enforcement in water supply regulation in water develop new water supply misti supply and sanitation law misti strengthen provincial update national policy for institutional framework for water supply and sanitation wastewater through sett up misti mpwt mrd utility corporatiz establish fecal sludge structure mpwt management framework mpwt develop a tenyear national urbansuburban sanitation strategy</x:v>
      </x:c>
      <x:c r="O208" s="28" t="str">
        <x:v>50a3aa2dcca85a9c3714fddd7605cae41927820f46a47afbaa4e662c6b26b7d3</x:v>
      </x:c>
      <x:c r="P208" s="28" t="str"/>
      <x:c r="Q208" s="28" t="str"/>
      <x:c r="R208" s="28" t="str">
        <x:v>[[24,35],[36,57],[58,59],[60,82],[83,84],[85,106],[107,122],[123,140],[141,168],[169,189],[190,191],[192,216],[217,224],[225,246],[247,258],[259,260],[261,282],[283,284],[285,311],[312,339],[340,367],[368,397],[398,416],[417,440],[441,442],[443,465],[466,483],[484,504],[505,511],[512,513],[514,541],[542,568],[569,577]]</x:v>
      </x:c>
      <x:c r="S208" s="28" t="str">
        <x:v>Linked candidate's verified PDF-token span</x:v>
      </x:c>
      <x:c r="T208" s="28" t="str">
        <x:v>Original Compact Text</x:v>
      </x:c>
      <x:c r="U208" s="28" t="str">
        <x:v>Ten-year urban sanitation strategy</x:v>
      </x:c>
      <x:c r="V208" s="28" t="n">
        <x:v>0.832096</x:v>
      </x:c>
      <x:c r="W208" s="28" t="n">
        <x:v>0.845227</x:v>
      </x:c>
      <x:c r="X208" s="28" t="n">
        <x:v>0.892368</x:v>
      </x:c>
      <x:c r="Y208" s="28" t="n">
        <x:v>0.802817</x:v>
      </x:c>
      <x:c r="Z208" s="28" t="n">
        <x:v>0.795181</x:v>
      </x:c>
      <x:c r="AA208" s="28" t="str">
        <x:v>High</x:v>
      </x:c>
      <x:c r="AB208" s="28" t="str">
        <x:v>Pass</x:v>
      </x:c>
      <x:c r="AC208" s="28" t="str">
        <x:v>Pending human review</x:v>
      </x:c>
      <x:c r="AD208" s="28" t="str"/>
      <x:c r="AE208" s="28" t="n">
        <x:v>46238.87231481481</x:v>
      </x:c>
    </x:row>
    <x:row r="209" ht="60" customHeight="1">
      <x:c r="A209" s="28" t="str">
        <x:v>ANC-CAM-015-ASP</x:v>
      </x:c>
      <x:c r="B209" s="28" t="str">
        <x:v>CAM-015</x:v>
      </x:c>
      <x:c r="C209" s="28" t="str">
        <x:v>DOC-CAM-WC-2026</x:v>
      </x:c>
      <x:c r="D209" s="28" t="str">
        <x:v>Aspiration</x:v>
      </x:c>
      <x:c r="E209" s="28" t="str">
        <x:v>Table Cell/Row</x:v>
      </x:c>
      <x:c r="F209" s="28" t="str">
        <x:v>CAM-015</x:v>
      </x:c>
      <x:c r="G209" s="28" t="str">
        <x:v>PDF p. 7, Table 2</x:v>
      </x:c>
      <x:c r="H209" s="28" t="n">
        <x:v>7</x:v>
      </x:c>
      <x:c r="I209" s="28" t="n">
        <x:v>7</x:v>
      </x:c>
      <x:c r="J209" s="28" t="n">
        <x:v>7</x:v>
      </x:c>
      <x:c r="K209" s="28" t="str">
        <x:v>7</x:v>
      </x:c>
      <x:c r="L209" s="28" t="str">
        <x:v>Priority reform table</x:v>
      </x:c>
      <x:c r="M209" s="28" t="str">
        <x:v>1. Strengthen regulatory enforcement and investment planning under the wastewater and fecal sludge management</x:v>
      </x:c>
      <x:c r="N209" s="28" t="str">
        <x:v>1 strengthen regulatory enforcement and investment plann under the wastewater and fecal sludge management</x:v>
      </x:c>
      <x:c r="O209" s="28" t="str">
        <x:v>0daf5bb6a128743ff94fe543ebca2f7dd2a5d320bbaaf520556705f560594b08</x:v>
      </x:c>
      <x:c r="P209" s="28" t="str"/>
      <x:c r="Q209" s="28" t="str"/>
      <x:c r="R209" s="28" t="str">
        <x:v>[[42,93],[125,182]]</x:v>
      </x:c>
      <x:c r="S209" s="28" t="str">
        <x:v>Reused verified PDF-token span from candidate anchor</x:v>
      </x:c>
      <x:c r="T209" s="28" t="str">
        <x:v>Standardized Candidate</x:v>
      </x:c>
      <x:c r="U209" s="28" t="str">
        <x:v>Strengthen wastewater regulatory enforcement and investment planning</x:v>
      </x:c>
      <x:c r="V209" s="28" t="n">
        <x:v>0.832014</x:v>
      </x:c>
      <x:c r="W209" s="28" t="n">
        <x:v>0.880694</x:v>
      </x:c>
      <x:c r="X209" s="28" t="n">
        <x:v>0.786822</x:v>
      </x:c>
      <x:c r="Y209" s="28" t="n">
        <x:v>1</x:v>
      </x:c>
      <x:c r="Z209" s="28" t="n">
        <x:v>0.635294</x:v>
      </x:c>
      <x:c r="AA209" s="28" t="str">
        <x:v>High</x:v>
      </x:c>
      <x:c r="AB209" s="28" t="str">
        <x:v>Pass</x:v>
      </x:c>
      <x:c r="AC209" s="28" t="str">
        <x:v>Pending human review</x:v>
      </x:c>
      <x:c r="AD209" s="28" t="str"/>
      <x:c r="AE209" s="28" t="n">
        <x:v>46238.87231481481</x:v>
      </x:c>
    </x:row>
    <x:row r="210" ht="60" customHeight="1">
      <x:c r="A210" s="28" t="str">
        <x:v>ANC-CAM-015-MECH-01</x:v>
      </x:c>
      <x:c r="B210" s="28" t="str">
        <x:v>CAM-015</x:v>
      </x:c>
      <x:c r="C210" s="28" t="str">
        <x:v>DOC-CAM-WC-2026</x:v>
      </x:c>
      <x:c r="D210" s="28" t="str">
        <x:v>Explicit Mechanism</x:v>
      </x:c>
      <x:c r="E210" s="28" t="str">
        <x:v>Table Cell/Row</x:v>
      </x:c>
      <x:c r="F210" s="28" t="str">
        <x:v>CAM-012</x:v>
      </x:c>
      <x:c r="G210" s="28" t="str">
        <x:v>PDF p. 6, Table 2</x:v>
      </x:c>
      <x:c r="H210" s="28" t="n">
        <x:v>6</x:v>
      </x:c>
      <x:c r="I210" s="28" t="n">
        <x:v>6</x:v>
      </x:c>
      <x:c r="J210" s="28" t="n">
        <x:v>6</x:v>
      </x:c>
      <x:c r="K210" s="28" t="str">
        <x:v>6</x:v>
      </x:c>
      <x:c r="L210" s="28" t="str">
        <x:v>Priority reform table</x:v>
      </x:c>
      <x:c r="M210" s="28" t="str">
        <x:v>3. Develop National Wastewater and Fecal Sludge Management Action Plan (2025-2035). (completed)</x:v>
      </x:c>
      <x:c r="N210" s="28" t="str">
        <x:v>3 develop national wastewater and fecal sludge management action plan 20252035 complet</x:v>
      </x:c>
      <x:c r="O210" s="28" t="str">
        <x:v>a9ad25bfaae2edc8ba947eddd9abd244f449c6320c51117e7081b5133fb37f66</x:v>
      </x:c>
      <x:c r="P210" s="28" t="str"/>
      <x:c r="Q210" s="28" t="str"/>
      <x:c r="R210" s="28" t="str">
        <x:v>[[1720,1767],[1796,1843]]</x:v>
      </x:c>
      <x:c r="S210" s="28" t="str">
        <x:v>Linked candidate's verified PDF-token span</x:v>
      </x:c>
      <x:c r="T210" s="28" t="str">
        <x:v>Original Compact Text</x:v>
      </x:c>
      <x:c r="U210" s="28" t="str">
        <x:v>Wastewater and fecal sludge action plan</x:v>
      </x:c>
      <x:c r="V210" s="28" t="n">
        <x:v>0.857034</x:v>
      </x:c>
      <x:c r="W210" s="28" t="n">
        <x:v>0.851752</x:v>
      </x:c>
      <x:c r="X210" s="28" t="n">
        <x:v>0.741784</x:v>
      </x:c>
      <x:c r="Y210" s="28" t="n">
        <x:v>1</x:v>
      </x:c>
      <x:c r="Z210" s="28" t="n">
        <x:v>0.624</x:v>
      </x:c>
      <x:c r="AA210" s="28" t="str">
        <x:v>High</x:v>
      </x:c>
      <x:c r="AB210" s="28" t="str">
        <x:v>Pass</x:v>
      </x:c>
      <x:c r="AC210" s="28" t="str">
        <x:v>Pending human review</x:v>
      </x:c>
      <x:c r="AD210" s="28" t="str"/>
      <x:c r="AE210" s="28" t="n">
        <x:v>46238.87231481481</x:v>
      </x:c>
    </x:row>
    <x:row r="211" ht="60" customHeight="1">
      <x:c r="A211" s="28" t="str">
        <x:v>ANC-CAM-033-ASP</x:v>
      </x:c>
      <x:c r="B211" s="28" t="str">
        <x:v>CAM-033</x:v>
      </x:c>
      <x:c r="C211" s="28" t="str">
        <x:v>DOC-CAM-WC-2026</x:v>
      </x:c>
      <x:c r="D211" s="28" t="str">
        <x:v>Aspiration</x:v>
      </x:c>
      <x:c r="E211" s="28" t="str">
        <x:v>Text Span</x:v>
      </x:c>
      <x:c r="F211" s="28" t="str">
        <x:v>CAM-033</x:v>
      </x:c>
      <x:c r="G211" s="28" t="str">
        <x:v>PDF p. 10, Table 3</x:v>
      </x:c>
      <x:c r="H211" s="28" t="n">
        <x:v>10</x:v>
      </x:c>
      <x:c r="I211" s="28" t="n">
        <x:v>10</x:v>
      </x:c>
      <x:c r="J211" s="28" t="n">
        <x:v>10</x:v>
      </x:c>
      <x:c r="K211" s="28" t="str">
        <x:v>10</x:v>
      </x:c>
      <x:c r="L211" s="28" t="str">
        <x:v>Activity roadmap</x:v>
      </x:c>
      <x:c r="M211" s="28" t="str">
        <x:v>Improve creditworthiness of water utilities [MISTI]</x:v>
      </x:c>
      <x:c r="N211" s="28" t="str">
        <x:v>improve creditworthiness of water utility misti</x:v>
      </x:c>
      <x:c r="O211" s="28" t="str">
        <x:v>13745f35e7e9eca058426fa05157792d67f4cd4f5d90f36546ef82d6b314fd91</x:v>
      </x:c>
      <x:c r="P211" s="28" t="str"/>
      <x:c r="Q211" s="28" t="str"/>
      <x:c r="R211" s="28" t="str">
        <x:v>[[1431,1458],[1486,1509]]</x:v>
      </x:c>
      <x:c r="S211" s="28" t="str">
        <x:v>Reused verified PDF-token span from candidate anchor</x:v>
      </x:c>
      <x:c r="T211" s="28" t="str">
        <x:v>Standardized Candidate</x:v>
      </x:c>
      <x:c r="U211" s="28" t="str">
        <x:v>Improve the creditworthiness of water utilities</x:v>
      </x:c>
      <x:c r="V211" s="28" t="n">
        <x:v>0.929936</x:v>
      </x:c>
      <x:c r="W211" s="28" t="n">
        <x:v>0.932515</x:v>
      </x:c>
      <x:c r="X211" s="28" t="n">
        <x:v>0.873563</x:v>
      </x:c>
      <x:c r="Y211" s="28" t="n">
        <x:v>1</x:v>
      </x:c>
      <x:c r="Z211" s="28" t="n">
        <x:v>0.891304</x:v>
      </x:c>
      <x:c r="AA211" s="28" t="str">
        <x:v>High</x:v>
      </x:c>
      <x:c r="AB211" s="28" t="str">
        <x:v>Pass</x:v>
      </x:c>
      <x:c r="AC211" s="28" t="str">
        <x:v>Pending human review</x:v>
      </x:c>
      <x:c r="AD211" s="28" t="str"/>
      <x:c r="AE211" s="28" t="n">
        <x:v>46238.87231481481</x:v>
      </x:c>
    </x:row>
    <x:row r="212" ht="60" customHeight="1">
      <x:c r="A212" s="28" t="str">
        <x:v>ANC-CAM-060-ASP</x:v>
      </x:c>
      <x:c r="B212" s="28" t="str">
        <x:v>CAM-060</x:v>
      </x:c>
      <x:c r="C212" s="28" t="str">
        <x:v>DOC-CAM-WC-2026</x:v>
      </x:c>
      <x:c r="D212" s="28" t="str">
        <x:v>Aspiration</x:v>
      </x:c>
      <x:c r="E212" s="28" t="str">
        <x:v>Text Span</x:v>
      </x:c>
      <x:c r="F212" s="28" t="str">
        <x:v>CAM-060</x:v>
      </x:c>
      <x:c r="G212" s="28" t="str">
        <x:v>PDF p. 4, goals narrative</x:v>
      </x:c>
      <x:c r="H212" s="28" t="n">
        <x:v>4</x:v>
      </x:c>
      <x:c r="I212" s="28" t="n">
        <x:v>4</x:v>
      </x:c>
      <x:c r="J212" s="28" t="n">
        <x:v>4</x:v>
      </x:c>
      <x:c r="K212" s="28" t="str">
        <x:v>4</x:v>
      </x:c>
      <x:c r="L212" s="28" t="str">
        <x:v>Narrative commitment</x:v>
      </x:c>
      <x:c r="M212" s="28" t="str">
        <x:v>Water for Planet The Government commits to protecting 450,000 hectares of agricultural land from flood and drought damage, developing a comprehensive flood management strategy that combines risk-informed land-use planning, physical infrastructure improvements, and nature-based solutions, and improving emergency response procedures.</x:v>
      </x:c>
      <x:c r="N212" s="28" t="str">
        <x:v>water for planet the government commit to protect 450 000 hectare of agricultural land from flood and drought damage develop a comprehensive flood management strategy that combine riskinform landuse plann physical infrastructure improvement and naturebas solution and improv emergency response procedure</x:v>
      </x:c>
      <x:c r="O212" s="28" t="str">
        <x:v>0e2f964ce5d5b7c1ec62ea7f5fc1ea745b5d32e53c477819bb0e8805f849cf1a</x:v>
      </x:c>
      <x:c r="P212" s="28" t="str"/>
      <x:c r="Q212" s="28" t="str"/>
      <x:c r="R212" s="28" t="str">
        <x:v>[[1245,1261],[1262,1359],[1360,1448],[1449,1537],[1538,1578]]</x:v>
      </x:c>
      <x:c r="S212" s="28" t="str">
        <x:v>Reused verified PDF-token span from candidate anchor</x:v>
      </x:c>
      <x:c r="T212" s="28" t="str">
        <x:v>Original Compact Text</x:v>
      </x:c>
      <x:c r="U212" s="28" t="str">
        <x:v>Develop comprehensive flood management strategy</x:v>
      </x:c>
      <x:c r="V212" s="28" t="n">
        <x:v>0.999</x:v>
      </x:c>
      <x:c r="W212" s="28" t="n">
        <x:v>1</x:v>
      </x:c>
      <x:c r="X212" s="28" t="n">
        <x:v>1</x:v>
      </x:c>
      <x:c r="Y212" s="28" t="n">
        <x:v>1</x:v>
      </x:c>
      <x:c r="Z212" s="28" t="n">
        <x:v>0.906977</x:v>
      </x:c>
      <x:c r="AA212" s="28" t="str">
        <x:v>High</x:v>
      </x:c>
      <x:c r="AB212" s="28" t="str">
        <x:v>Pass</x:v>
      </x:c>
      <x:c r="AC212" s="28" t="str">
        <x:v>Pending human review</x:v>
      </x:c>
      <x:c r="AD212" s="28" t="str"/>
      <x:c r="AE212" s="28" t="n">
        <x:v>46238.87231481481</x:v>
      </x:c>
    </x:row>
    <x:row r="213" ht="60" customHeight="1">
      <x:c r="A213" s="28" t="str">
        <x:v>ANC-CAM-061-ASP</x:v>
      </x:c>
      <x:c r="B213" s="28" t="str">
        <x:v>CAM-061</x:v>
      </x:c>
      <x:c r="C213" s="28" t="str">
        <x:v>DOC-CAM-WC-2026</x:v>
      </x:c>
      <x:c r="D213" s="28" t="str">
        <x:v>Aspiration</x:v>
      </x:c>
      <x:c r="E213" s="28" t="str">
        <x:v>Text Span</x:v>
      </x:c>
      <x:c r="F213" s="28" t="str">
        <x:v>CAM-061</x:v>
      </x:c>
      <x:c r="G213" s="28" t="str">
        <x:v>PDF p. 4, goals narrative</x:v>
      </x:c>
      <x:c r="H213" s="28" t="n">
        <x:v>4</x:v>
      </x:c>
      <x:c r="I213" s="28" t="n">
        <x:v>4</x:v>
      </x:c>
      <x:c r="J213" s="28" t="n">
        <x:v>4</x:v>
      </x:c>
      <x:c r="K213" s="28" t="str">
        <x:v>4</x:v>
      </x:c>
      <x:c r="L213" s="28" t="str">
        <x:v>Narrative commitment</x:v>
      </x:c>
      <x:c r="M213" s="28" t="str">
        <x:v>This commitment also recognizes groundwater as a strategic resource, promoting its sustainable assessment, protection, and conjunctive use with surface water to enhance climate resilience and year-round water security.</x:v>
      </x:c>
      <x:c r="N213" s="28" t="str">
        <x:v>this commitment also recognize groundwater as a strategic resource promot its sustainable assessment protection and conjunctive use with surface water to enhance climate resilience and yearround water security</x:v>
      </x:c>
      <x:c r="O213" s="28" t="str">
        <x:v>9310d8af776300d4ac10eccb3f2f9145e63a491595a27ee815592929e4f011ae</x:v>
      </x:c>
      <x:c r="P213" s="28" t="str"/>
      <x:c r="Q213" s="28" t="str"/>
      <x:c r="R213" s="28" t="str">
        <x:v>[[1579,1627],[1628,1722],[1723,1797]]</x:v>
      </x:c>
      <x:c r="S213" s="28" t="str">
        <x:v>Reused verified PDF-token span from candidate anchor</x:v>
      </x:c>
      <x:c r="T213" s="28" t="str">
        <x:v>Standardized Candidate</x:v>
      </x:c>
      <x:c r="U213" s="28" t="str">
        <x:v>Strengthen sustainable groundwater assessment, protection, and conjunctive use</x:v>
      </x:c>
      <x:c r="V213" s="28" t="n">
        <x:v>0.866323</x:v>
      </x:c>
      <x:c r="W213" s="28" t="n">
        <x:v>0.923505</x:v>
      </x:c>
      <x:c r="X213" s="28" t="n">
        <x:v>0.857881</x:v>
      </x:c>
      <x:c r="Y213" s="28" t="n">
        <x:v>1</x:v>
      </x:c>
      <x:c r="Z213" s="28" t="n">
        <x:v>0.681818</x:v>
      </x:c>
      <x:c r="AA213" s="28" t="str">
        <x:v>High</x:v>
      </x:c>
      <x:c r="AB213" s="28" t="str">
        <x:v>Pass</x:v>
      </x:c>
      <x:c r="AC213" s="28" t="str">
        <x:v>Pending human review</x:v>
      </x:c>
      <x:c r="AD213" s="28" t="str"/>
      <x:c r="AE213" s="28" t="n">
        <x:v>46238.87231481481</x:v>
      </x:c>
    </x:row>
    <x:row r="214" ht="60" customHeight="1">
      <x:c r="A214" s="28" t="str">
        <x:v>ANC-CAM-061-MECH-01</x:v>
      </x:c>
      <x:c r="B214" s="28" t="str">
        <x:v>CAM-061</x:v>
      </x:c>
      <x:c r="C214" s="28" t="str">
        <x:v>DOC-CAM-WC-2026</x:v>
      </x:c>
      <x:c r="D214" s="28" t="str">
        <x:v>Explicit Mechanism</x:v>
      </x:c>
      <x:c r="E214" s="28" t="str">
        <x:v>Table Cell/Row</x:v>
      </x:c>
      <x:c r="F214" s="28" t="str">
        <x:v>CAM-024</x:v>
      </x:c>
      <x:c r="G214" s="28" t="str">
        <x:v>PDF p. 8, Table 2</x:v>
      </x:c>
      <x:c r="H214" s="28" t="n">
        <x:v>8</x:v>
      </x:c>
      <x:c r="I214" s="28" t="n">
        <x:v>8</x:v>
      </x:c>
      <x:c r="J214" s="28" t="n">
        <x:v>8</x:v>
      </x:c>
      <x:c r="K214" s="28" t="str">
        <x:v>8</x:v>
      </x:c>
      <x:c r="L214" s="28" t="str">
        <x:v>Priority reform table</x:v>
      </x:c>
      <x:c r="M214" s="28" t="str">
        <x:v>1. Sub-Decree on Groundwater Management to regulate</x:v>
      </x:c>
      <x:c r="N214" s="28" t="str">
        <x:v>1 subdecree on groundwater management to regulate</x:v>
      </x:c>
      <x:c r="O214" s="28" t="str">
        <x:v>b2ed3b6cef85d5d68bc1d72c35d99d144814f537a569dedc61be90f8246a6df7</x:v>
      </x:c>
      <x:c r="P214" s="28" t="n">
        <x:v>42</x:v>
      </x:c>
      <x:c r="Q214" s="28" t="n">
        <x:v>93</x:v>
      </x:c>
      <x:c r="R214" s="28" t="str">
        <x:v>[[42,93]]</x:v>
      </x:c>
      <x:c r="S214" s="28" t="str">
        <x:v>Linked candidate's verified PDF-token span</x:v>
      </x:c>
      <x:c r="T214" s="28" t="str">
        <x:v>Original Compact Text</x:v>
      </x:c>
      <x:c r="U214" s="28" t="str">
        <x:v>Sub-decree on Groundwater Management</x:v>
      </x:c>
      <x:c r="V214" s="28" t="n">
        <x:v>0.999</x:v>
      </x:c>
      <x:c r="W214" s="28" t="n">
        <x:v>0.903678</x:v>
      </x:c>
      <x:c r="X214" s="28" t="n">
        <x:v>0.824281</x:v>
      </x:c>
      <x:c r="Y214" s="28" t="n">
        <x:v>1</x:v>
      </x:c>
      <x:c r="Z214" s="28" t="n">
        <x:v>0.833333</x:v>
      </x:c>
      <x:c r="AA214" s="28" t="str">
        <x:v>High</x:v>
      </x:c>
      <x:c r="AB214" s="28" t="str">
        <x:v>Pass</x:v>
      </x:c>
      <x:c r="AC214" s="28" t="str">
        <x:v>Pending human review</x:v>
      </x:c>
      <x:c r="AD214" s="28" t="str"/>
      <x:c r="AE214" s="28" t="n">
        <x:v>46238.87231481481</x:v>
      </x:c>
    </x:row>
    <x:row r="215" ht="60" customHeight="1">
      <x:c r="A215" s="28" t="str">
        <x:v>ANC-CAM-064-ASP</x:v>
      </x:c>
      <x:c r="B215" s="28" t="str">
        <x:v>CAM-064</x:v>
      </x:c>
      <x:c r="C215" s="28" t="str">
        <x:v>DOC-CAM-WC-2026</x:v>
      </x:c>
      <x:c r="D215" s="28" t="str">
        <x:v>Aspiration</x:v>
      </x:c>
      <x:c r="E215" s="28" t="str">
        <x:v>Text Span</x:v>
      </x:c>
      <x:c r="F215" s="28" t="str">
        <x:v>CAM-064</x:v>
      </x:c>
      <x:c r="G215" s="28" t="str">
        <x:v>PDF p. 8, roadmap narrative</x:v>
      </x:c>
      <x:c r="H215" s="28" t="n">
        <x:v>8</x:v>
      </x:c>
      <x:c r="I215" s="28" t="n">
        <x:v>8</x:v>
      </x:c>
      <x:c r="J215" s="28" t="n">
        <x:v>8</x:v>
      </x:c>
      <x:c r="K215" s="28" t="str">
        <x:v>8</x:v>
      </x:c>
      <x:c r="L215" s="28" t="str">
        <x:v>Roadmap narrative</x:v>
      </x:c>
      <x:c r="M215" s="28" t="str">
        <x:v>The RGC also commits to enhancing the strategic role of the state while creating incentives for private sector investment in prioritized geographic locations, Special Economic Zones, industrial parks, clusters of micro/small/medium enterprises, and economic poles.</x:v>
      </x:c>
      <x:c r="N215" s="28" t="str">
        <x:v>the rgc also commit to enhanc the strategic role of the state while creat incentive for private sector investment in prioritiz geographic location special economic zone industrial park cluster of microsmallmedium enterprise and economic pole</x:v>
      </x:c>
      <x:c r="O215" s="28" t="str">
        <x:v>295833242210f15ecb5d782eec3c037aad1f445e53760a3544ec141e6c176509</x:v>
      </x:c>
      <x:c r="P215" s="28" t="str"/>
      <x:c r="Q215" s="28" t="str"/>
      <x:c r="R215" s="28" t="str">
        <x:v>[[1150,1221],[1222,1316],[1317,1407],[1408,1414]]</x:v>
      </x:c>
      <x:c r="S215" s="28" t="str">
        <x:v>Reused verified PDF-token span from candidate anchor</x:v>
      </x:c>
      <x:c r="T215" s="28" t="str">
        <x:v>Standardized Candidate</x:v>
      </x:c>
      <x:c r="U215" s="28" t="str">
        <x:v>Create incentives for private water-sector investment</x:v>
      </x:c>
      <x:c r="V215" s="28" t="n">
        <x:v>0.725896</x:v>
      </x:c>
      <x:c r="W215" s="28" t="n">
        <x:v>0.752412</x:v>
      </x:c>
      <x:c r="X215" s="28" t="n">
        <x:v>1</x:v>
      </x:c>
      <x:c r="Y215" s="28" t="n">
        <x:v>0.603093</x:v>
      </x:c>
      <x:c r="Z215" s="28" t="n">
        <x:v>0.83871</x:v>
      </x:c>
      <x:c r="AA215" s="28" t="str">
        <x:v>Medium</x:v>
      </x:c>
      <x:c r="AB215" s="28" t="str">
        <x:v>Pass</x:v>
      </x:c>
      <x:c r="AC215" s="28" t="str">
        <x:v>Pending human review</x:v>
      </x:c>
      <x:c r="AD215" s="28" t="str"/>
      <x:c r="AE215" s="28" t="n">
        <x:v>46238.87231481481</x:v>
      </x:c>
    </x:row>
    <x:row r="216" ht="60" customHeight="1">
      <x:c r="A216" s="28" t="str">
        <x:v>ANC-CAM-065-ASP</x:v>
      </x:c>
      <x:c r="B216" s="28" t="str">
        <x:v>CAM-065</x:v>
      </x:c>
      <x:c r="C216" s="28" t="str">
        <x:v>DOC-CAM-WC-2026</x:v>
      </x:c>
      <x:c r="D216" s="28" t="str">
        <x:v>Aspiration</x:v>
      </x:c>
      <x:c r="E216" s="28" t="str">
        <x:v>Text Span</x:v>
      </x:c>
      <x:c r="F216" s="28" t="str">
        <x:v>CAM-065</x:v>
      </x:c>
      <x:c r="G216" s="28" t="str">
        <x:v>PDF p. 9, roadmap narrative</x:v>
      </x:c>
      <x:c r="H216" s="28" t="n">
        <x:v>9</x:v>
      </x:c>
      <x:c r="I216" s="28" t="n">
        <x:v>9</x:v>
      </x:c>
      <x:c r="J216" s="28" t="n">
        <x:v>9</x:v>
      </x:c>
      <x:c r="K216" s="28" t="str">
        <x:v>9</x:v>
      </x:c>
      <x:c r="L216" s="28" t="str">
        <x:v>Roadmap narrative</x:v>
      </x:c>
      <x:c r="M216" s="28" t="str">
        <x:v>The Cambodia Climate Resilient and Integrated Water Resources Management (IWRM) Action Plan 2026-2030 commits to strengthening river basin governance across Cambodia's five priority basins including several that are hydrologically transboundary in nature, promoting multi-purpose water management, improving groundwater management and use and enhancing water governance financing.</x:v>
      </x:c>
      <x:c r="N216" s="28" t="str">
        <x:v>the cambodia climate resilient and integrat water resource management iwrm action plan 20262030 commit to strengthen river basin governance across cambodia five priority basin includ several that are hydrologically transboundary in nature promot multipurpose water management improv groundwater management and use and enhanc water governance financ</x:v>
      </x:c>
      <x:c r="O216" s="28" t="str">
        <x:v>4b7d6dd66267a7aca0d1fd02e71e455b4a19bfd3b53c5768fd55366643d06975</x:v>
      </x:c>
      <x:c r="P216" s="28" t="str"/>
      <x:c r="Q216" s="28" t="str"/>
      <x:c r="R216" s="28" t="str">
        <x:v>[[1815,1876],[1877,1964],[1965,2062],[2063,2153],[2154,2195]]</x:v>
      </x:c>
      <x:c r="S216" s="28" t="str">
        <x:v>Reused verified PDF-token span from candidate anchor</x:v>
      </x:c>
      <x:c r="T216" s="28" t="str">
        <x:v>Original Compact Text</x:v>
      </x:c>
      <x:c r="U216" s="28" t="str">
        <x:v>Strengthen governance across five basins</x:v>
      </x:c>
      <x:c r="V216" s="28" t="n">
        <x:v>0.951505</x:v>
      </x:c>
      <x:c r="W216" s="28" t="n">
        <x:v>0.948646</x:v>
      </x:c>
      <x:c r="X216" s="28" t="n">
        <x:v>0.902309</x:v>
      </x:c>
      <x:c r="Y216" s="28" t="n">
        <x:v>1</x:v>
      </x:c>
      <x:c r="Z216" s="28" t="n">
        <x:v>0.657895</x:v>
      </x:c>
      <x:c r="AA216" s="28" t="str">
        <x:v>High</x:v>
      </x:c>
      <x:c r="AB216" s="28" t="str">
        <x:v>Pass</x:v>
      </x:c>
      <x:c r="AC216" s="28" t="str">
        <x:v>Pending human review</x:v>
      </x:c>
      <x:c r="AD216" s="28" t="str"/>
      <x:c r="AE216" s="28" t="n">
        <x:v>46238.87231481481</x:v>
      </x:c>
    </x:row>
    <x:row r="217" ht="60" customHeight="1">
      <x:c r="A217" s="28" t="str">
        <x:v>ANC-CAM-065-MECH-01</x:v>
      </x:c>
      <x:c r="B217" s="28" t="str">
        <x:v>CAM-065</x:v>
      </x:c>
      <x:c r="C217" s="28" t="str">
        <x:v>DOC-CAM-WC-2026</x:v>
      </x:c>
      <x:c r="D217" s="28" t="str">
        <x:v>Explicit Mechanism</x:v>
      </x:c>
      <x:c r="E217" s="28" t="str">
        <x:v>Table Cell/Row</x:v>
      </x:c>
      <x:c r="F217" s="28" t="str">
        <x:v>CAM-025</x:v>
      </x:c>
      <x:c r="G217" s="28" t="str">
        <x:v>PDF p. 8, Table 2</x:v>
      </x:c>
      <x:c r="H217" s="28" t="n">
        <x:v>8</x:v>
      </x:c>
      <x:c r="I217" s="28" t="n">
        <x:v>8</x:v>
      </x:c>
      <x:c r="J217" s="28" t="n">
        <x:v>8</x:v>
      </x:c>
      <x:c r="K217" s="28" t="str">
        <x:v>8</x:v>
      </x:c>
      <x:c r="L217" s="28" t="str">
        <x:v>Priority reform table</x:v>
      </x:c>
      <x:c r="M217" s="28" t="str">
        <x:v>1. Sub-Decree on the establishment of river basin committees and river basin management plans,</x:v>
      </x:c>
      <x:c r="N217" s="28" t="str">
        <x:v>1 subdecree on the establishment of river basin committee and river basin management plan</x:v>
      </x:c>
      <x:c r="O217" s="28" t="str">
        <x:v>f1b2d0a56cab21f3b708de835cbe9f51fa345c8044ac963978267c6df80a101b</x:v>
      </x:c>
      <x:c r="P217" s="28" t="str"/>
      <x:c r="Q217" s="28" t="str"/>
      <x:c r="R217" s="28" t="str">
        <x:v>[[290,339],[360,404]]</x:v>
      </x:c>
      <x:c r="S217" s="28" t="str">
        <x:v>Linked candidate's verified PDF-token span</x:v>
      </x:c>
      <x:c r="T217" s="28" t="str">
        <x:v>Original Compact Text</x:v>
      </x:c>
      <x:c r="U217" s="28" t="str">
        <x:v>Sub-decree on river basin committees</x:v>
      </x:c>
      <x:c r="V217" s="28" t="n">
        <x:v>0.746365</x:v>
      </x:c>
      <x:c r="W217" s="28" t="n">
        <x:v>0.710183</x:v>
      </x:c>
      <x:c r="X217" s="28" t="n">
        <x:v>0.550607</x:v>
      </x:c>
      <x:c r="Y217" s="28" t="n">
        <x:v>1</x:v>
      </x:c>
      <x:c r="Z217" s="28" t="n">
        <x:v>0.552846</x:v>
      </x:c>
      <x:c r="AA217" s="28" t="str">
        <x:v>Medium</x:v>
      </x:c>
      <x:c r="AB217" s="28" t="str">
        <x:v>Pass</x:v>
      </x:c>
      <x:c r="AC217" s="28" t="str">
        <x:v>Pending human review</x:v>
      </x:c>
      <x:c r="AD217" s="28" t="str"/>
      <x:c r="AE217" s="28" t="n">
        <x:v>46238.87231481481</x:v>
      </x:c>
    </x:row>
    <x:row r="218" ht="60" customHeight="1">
      <x:c r="A218" s="28" t="str">
        <x:v>ANC-CAM-066-ASP</x:v>
      </x:c>
      <x:c r="B218" s="28" t="str">
        <x:v>CAM-066</x:v>
      </x:c>
      <x:c r="C218" s="28" t="str">
        <x:v>DOC-CAM-WC-2026</x:v>
      </x:c>
      <x:c r="D218" s="28" t="str">
        <x:v>Aspiration</x:v>
      </x:c>
      <x:c r="E218" s="28" t="str">
        <x:v>Text Span</x:v>
      </x:c>
      <x:c r="F218" s="28" t="str">
        <x:v>CAM-066</x:v>
      </x:c>
      <x:c r="G218" s="28" t="str">
        <x:v>PDF p. 9, roadmap narrative</x:v>
      </x:c>
      <x:c r="H218" s="28" t="n">
        <x:v>9</x:v>
      </x:c>
      <x:c r="I218" s="28" t="n">
        <x:v>9</x:v>
      </x:c>
      <x:c r="J218" s="28" t="n">
        <x:v>9</x:v>
      </x:c>
      <x:c r="K218" s="28" t="str">
        <x:v>9</x:v>
      </x:c>
      <x:c r="L218" s="28" t="str">
        <x:v>Roadmap narrative</x:v>
      </x:c>
      <x:c r="M218" s="28" t="str">
        <x:v>The Cambodia Climate Resilient and Integrated Water Resources Management (IWRM) Action Plan 2026-2030 commits to strengthening river basin governance across Cambodia's five priority basins including several that are hydrologically transboundary in nature, promoting multi-purpose water management, improving groundwater management and use and enhancing water governance financing.</x:v>
      </x:c>
      <x:c r="N218" s="28" t="str">
        <x:v>the cambodia climate resilient and integrat water resource management iwrm action plan 20262030 commit to strengthen river basin governance across cambodia five priority basin includ several that are hydrologically transboundary in nature promot multipurpose water management improv groundwater management and use and enhanc water governance financ</x:v>
      </x:c>
      <x:c r="O218" s="28" t="str">
        <x:v>4b7d6dd66267a7aca0d1fd02e71e455b4a19bfd3b53c5768fd55366643d06975</x:v>
      </x:c>
      <x:c r="P218" s="28" t="str"/>
      <x:c r="Q218" s="28" t="str"/>
      <x:c r="R218" s="28" t="str">
        <x:v>[[1815,1876],[1877,1964],[1965,2062],[2063,2153],[2154,2195]]</x:v>
      </x:c>
      <x:c r="S218" s="28" t="str">
        <x:v>Reused verified PDF-token span from candidate anchor</x:v>
      </x:c>
      <x:c r="T218" s="28" t="str">
        <x:v>Standardized Candidate</x:v>
      </x:c>
      <x:c r="U218" s="28" t="str">
        <x:v>Enhance financing for water governance</x:v>
      </x:c>
      <x:c r="V218" s="28" t="n">
        <x:v>0.715727</x:v>
      </x:c>
      <x:c r="W218" s="28" t="n">
        <x:v>0.756066</x:v>
      </x:c>
      <x:c r="X218" s="28" t="n">
        <x:v>0.843305</x:v>
      </x:c>
      <x:c r="Y218" s="28" t="n">
        <x:v>0.685185</x:v>
      </x:c>
      <x:c r="Z218" s="28" t="n">
        <x:v>0.666667</x:v>
      </x:c>
      <x:c r="AA218" s="28" t="str">
        <x:v>Medium</x:v>
      </x:c>
      <x:c r="AB218" s="28" t="str">
        <x:v>Pass</x:v>
      </x:c>
      <x:c r="AC218" s="28" t="str">
        <x:v>Pending human review</x:v>
      </x:c>
      <x:c r="AD218" s="28" t="str"/>
      <x:c r="AE218" s="28" t="n">
        <x:v>46238.87231481481</x:v>
      </x:c>
    </x:row>
    <x:row r="219" ht="60" customHeight="1">
      <x:c r="A219" s="28" t="str">
        <x:v>ANC-CAM-067-ASP</x:v>
      </x:c>
      <x:c r="B219" s="28" t="str">
        <x:v>CAM-067</x:v>
      </x:c>
      <x:c r="C219" s="28" t="str">
        <x:v>DOC-CAM-WC-2026</x:v>
      </x:c>
      <x:c r="D219" s="28" t="str">
        <x:v>Aspiration</x:v>
      </x:c>
      <x:c r="E219" s="28" t="str">
        <x:v>Table Cell/Row</x:v>
      </x:c>
      <x:c r="F219" s="28" t="str">
        <x:v>CAM-067</x:v>
      </x:c>
      <x:c r="G219" s="28" t="str">
        <x:v>PDF p. 5, Table 1</x:v>
      </x:c>
      <x:c r="H219" s="28" t="n">
        <x:v>5</x:v>
      </x:c>
      <x:c r="I219" s="28" t="n">
        <x:v>5</x:v>
      </x:c>
      <x:c r="J219" s="28" t="n">
        <x:v>5</x:v>
      </x:c>
      <x:c r="K219" s="28" t="str">
        <x:v>5</x:v>
      </x:c>
      <x:c r="L219" s="28" t="str">
        <x:v>Target table</x:v>
      </x:c>
      <x:c r="M219" s="28" t="str">
        <x:v>Increased access to safely managed</x:v>
      </x:c>
      <x:c r="N219" s="28" t="str">
        <x:v>increas access to safely manag</x:v>
      </x:c>
      <x:c r="O219" s="28" t="str">
        <x:v>5d634b1b4e65581cddb2f106792374fde4ac46f3054e6d43948a020d19fba969</x:v>
      </x:c>
      <x:c r="P219" s="28" t="n">
        <x:v>100</x:v>
      </x:c>
      <x:c r="Q219" s="28" t="n">
        <x:v>134</x:v>
      </x:c>
      <x:c r="R219" s="28" t="str">
        <x:v>[[100,134]]</x:v>
      </x:c>
      <x:c r="S219" s="28" t="str">
        <x:v>Reused verified PDF-token span from candidate anchor</x:v>
      </x:c>
      <x:c r="T219" s="28" t="str">
        <x:v>Original Compact Text</x:v>
      </x:c>
      <x:c r="U219" s="28" t="str">
        <x:v>100% safely managed water</x:v>
      </x:c>
      <x:c r="V219" s="28" t="n">
        <x:v>0.679383</x:v>
      </x:c>
      <x:c r="W219" s="28" t="n">
        <x:v>0.692082</x:v>
      </x:c>
      <x:c r="X219" s="28" t="n">
        <x:v>0.682081</x:v>
      </x:c>
      <x:c r="Y219" s="28" t="n">
        <x:v>0.702381</x:v>
      </x:c>
      <x:c r="Z219" s="28" t="n">
        <x:v>0.5</x:v>
      </x:c>
      <x:c r="AA219" s="28" t="str">
        <x:v>Medium</x:v>
      </x:c>
      <x:c r="AB219" s="28" t="str">
        <x:v>Pass</x:v>
      </x:c>
      <x:c r="AC219" s="28" t="str">
        <x:v>Pending human review</x:v>
      </x:c>
      <x:c r="AD219" s="28" t="str"/>
      <x:c r="AE219" s="28" t="n">
        <x:v>46238.87231481481</x:v>
      </x:c>
    </x:row>
    <x:row r="220" ht="60" customHeight="1">
      <x:c r="A220" s="28" t="str">
        <x:v>ANC-CAM-068-ASP</x:v>
      </x:c>
      <x:c r="B220" s="28" t="str">
        <x:v>CAM-068</x:v>
      </x:c>
      <x:c r="C220" s="28" t="str">
        <x:v>DOC-CAM-WC-2026</x:v>
      </x:c>
      <x:c r="D220" s="28" t="str">
        <x:v>Aspiration</x:v>
      </x:c>
      <x:c r="E220" s="28" t="str">
        <x:v>Table Cell/Row</x:v>
      </x:c>
      <x:c r="F220" s="28" t="str">
        <x:v>CAM-068</x:v>
      </x:c>
      <x:c r="G220" s="28" t="str">
        <x:v>PDF p. 5, Table 1</x:v>
      </x:c>
      <x:c r="H220" s="28" t="n">
        <x:v>5</x:v>
      </x:c>
      <x:c r="I220" s="28" t="n">
        <x:v>5</x:v>
      </x:c>
      <x:c r="J220" s="28" t="n">
        <x:v>5</x:v>
      </x:c>
      <x:c r="K220" s="28" t="str">
        <x:v>5</x:v>
      </x:c>
      <x:c r="L220" s="28" t="str">
        <x:v>Target table</x:v>
      </x:c>
      <x:c r="M220" s="28" t="str">
        <x:v>Increased access to safely managed sanitation service</x:v>
      </x:c>
      <x:c r="N220" s="28" t="str">
        <x:v>increas access to safely manag sanitation service</x:v>
      </x:c>
      <x:c r="O220" s="28" t="str">
        <x:v>239e2c475a64cc164846c0b9f188cb47d6dfbcfa9500d3889ff4bbcaeb1316d9</x:v>
      </x:c>
      <x:c r="P220" s="28" t="str"/>
      <x:c r="Q220" s="28" t="str"/>
      <x:c r="R220" s="28" t="str">
        <x:v>[[173,207],[225,243]]</x:v>
      </x:c>
      <x:c r="S220" s="28" t="str">
        <x:v>Reused verified PDF-token span from candidate anchor</x:v>
      </x:c>
      <x:c r="T220" s="28" t="str">
        <x:v>Original Compact Text</x:v>
      </x:c>
      <x:c r="U220" s="28" t="str">
        <x:v>60% safely managed sanitation</x:v>
      </x:c>
      <x:c r="V220" s="28" t="n">
        <x:v>0.738672</x:v>
      </x:c>
      <x:c r="W220" s="28" t="n">
        <x:v>0.754857</x:v>
      </x:c>
      <x:c r="X220" s="28" t="n">
        <x:v>0.712042</x:v>
      </x:c>
      <x:c r="Y220" s="28" t="n">
        <x:v>0.80315</x:v>
      </x:c>
      <x:c r="Z220" s="28" t="n">
        <x:v>0.64</x:v>
      </x:c>
      <x:c r="AA220" s="28" t="str">
        <x:v>Medium</x:v>
      </x:c>
      <x:c r="AB220" s="28" t="str">
        <x:v>Pass</x:v>
      </x:c>
      <x:c r="AC220" s="28" t="str">
        <x:v>Pending human review</x:v>
      </x:c>
      <x:c r="AD220" s="28" t="str"/>
      <x:c r="AE220" s="28" t="n">
        <x:v>46238.87231481481</x:v>
      </x:c>
    </x:row>
    <x:row r="221" ht="60" customHeight="1">
      <x:c r="A221" s="28" t="str">
        <x:v>ANC-CAM-069-ASP</x:v>
      </x:c>
      <x:c r="B221" s="28" t="str">
        <x:v>CAM-069</x:v>
      </x:c>
      <x:c r="C221" s="28" t="str">
        <x:v>DOC-CAM-WC-2026</x:v>
      </x:c>
      <x:c r="D221" s="28" t="str">
        <x:v>Aspiration</x:v>
      </x:c>
      <x:c r="E221" s="28" t="str">
        <x:v>Table Cell/Row</x:v>
      </x:c>
      <x:c r="F221" s="28" t="str">
        <x:v>CAM-069</x:v>
      </x:c>
      <x:c r="G221" s="28" t="str">
        <x:v>PDF p. 5, Table 1</x:v>
      </x:c>
      <x:c r="H221" s="28" t="n">
        <x:v>5</x:v>
      </x:c>
      <x:c r="I221" s="28" t="n">
        <x:v>5</x:v>
      </x:c>
      <x:c r="J221" s="28" t="n">
        <x:v>5</x:v>
      </x:c>
      <x:c r="K221" s="28" t="str">
        <x:v>5</x:v>
      </x:c>
      <x:c r="L221" s="28" t="str">
        <x:v>Target table</x:v>
      </x:c>
      <x:c r="M221" s="28" t="str">
        <x:v>Increased proportion of treated wastewater</x:v>
      </x:c>
      <x:c r="N221" s="28" t="str">
        <x:v>increas proportion of treat wastewater</x:v>
      </x:c>
      <x:c r="O221" s="28" t="str">
        <x:v>2bd56c0004f32252d09f3406231cb036c5faccacaed3b5dd9c50dff24ceea5fc</x:v>
      </x:c>
      <x:c r="P221" s="28" t="str"/>
      <x:c r="Q221" s="28" t="str"/>
      <x:c r="R221" s="28" t="str">
        <x:v>[[244,275],[291,301]]</x:v>
      </x:c>
      <x:c r="S221" s="28" t="str">
        <x:v>Reused verified PDF-token span from candidate anchor</x:v>
      </x:c>
      <x:c r="T221" s="28" t="str">
        <x:v>Original Compact Text</x:v>
      </x:c>
      <x:c r="U221" s="28" t="str">
        <x:v>50% wastewater safely treated</x:v>
      </x:c>
      <x:c r="V221" s="28" t="n">
        <x:v>0.593348</x:v>
      </x:c>
      <x:c r="W221" s="28" t="n">
        <x:v>0.629712</x:v>
      </x:c>
      <x:c r="X221" s="28" t="n">
        <x:v>0.720812</x:v>
      </x:c>
      <x:c r="Y221" s="28" t="n">
        <x:v>0.559055</x:v>
      </x:c>
      <x:c r="Z221" s="28" t="n">
        <x:v>0.34375</x:v>
      </x:c>
      <x:c r="AA221" s="28" t="str">
        <x:v>Medium</x:v>
      </x:c>
      <x:c r="AB221" s="28" t="str">
        <x:v>Pass</x:v>
      </x:c>
      <x:c r="AC221" s="28" t="str">
        <x:v>Pending human review</x:v>
      </x:c>
      <x:c r="AD221" s="28" t="str"/>
      <x:c r="AE221" s="28" t="n">
        <x:v>46238.87231481481</x:v>
      </x:c>
    </x:row>
    <x:row r="222" ht="60" customHeight="1">
      <x:c r="A222" s="28" t="str">
        <x:v>ANC-CAM-070-ASP</x:v>
      </x:c>
      <x:c r="B222" s="28" t="str">
        <x:v>CAM-070</x:v>
      </x:c>
      <x:c r="C222" s="28" t="str">
        <x:v>DOC-CAM-WC-2026</x:v>
      </x:c>
      <x:c r="D222" s="28" t="str">
        <x:v>Aspiration</x:v>
      </x:c>
      <x:c r="E222" s="28" t="str">
        <x:v>Text Span</x:v>
      </x:c>
      <x:c r="F222" s="28" t="str">
        <x:v>CAM-070</x:v>
      </x:c>
      <x:c r="G222" s="28" t="str">
        <x:v>PDF p. 4, goals narrative</x:v>
      </x:c>
      <x:c r="H222" s="28" t="n">
        <x:v>4</x:v>
      </x:c>
      <x:c r="I222" s="28" t="n">
        <x:v>4</x:v>
      </x:c>
      <x:c r="J222" s="28" t="n">
        <x:v>4</x:v>
      </x:c>
      <x:c r="K222" s="28" t="str">
        <x:v>4</x:v>
      </x:c>
      <x:c r="L222" s="28" t="str">
        <x:v>Target narrative</x:v>
      </x:c>
      <x:c r="M222" s="28" t="str">
        <x:v>In addition, the RGC commits to ensure that 50% of municipal wastewater is safely treated through the expansion of wastewater infrastructure and service in major cities and secondary towns.4 Water for Food By 2030, the RGC, through the Ministry of Water Resources and Meteorology (MOWRAM), aims to achieve its target of bringing irrigated agricultural land up to 1.7 million hectares, benefitting an equivalent of 6.9 million people through modernized irrigation services and improved agricultural productivity,</x:v>
      </x:c>
      <x:c r="N222" s="28" t="str">
        <x:v>in addition the rgc commit to ensure that 50 of municipal wastewater is safely treat through the expansion of wastewater infrastructure and service in major city and secondary town 4 water for food by 2030 the rgc through the ministry of water resource and meteorology mowram aims to achieve its target of bring irrigat agricultural land up to 1 7 million hectare benefitt an equivalent of 6 9 million people through moderniz irrigation service and improv agricultural productivity</x:v>
      </x:c>
      <x:c r="O222" s="28" t="str">
        <x:v>3b6f657edddd1944eac7464fa7458e99ff57b666fc7bb3a0ba812a4e1fa4c173</x:v>
      </x:c>
      <x:c r="P222" s="28" t="str"/>
      <x:c r="Q222" s="28" t="str"/>
      <x:c r="R222" s="28" t="str">
        <x:v>[[634,684],[685,778],[779,824],[825,839],[840,931],[932,1033],[1034,1131],[1132,1145]]</x:v>
      </x:c>
      <x:c r="S222" s="28" t="str">
        <x:v>Reused verified PDF-token span from candidate anchor</x:v>
      </x:c>
      <x:c r="T222" s="28" t="str">
        <x:v>Standardized Candidate</x:v>
      </x:c>
      <x:c r="U222" s="28" t="str">
        <x:v>Expand irrigated agricultural land to 1.7 million hectares</x:v>
      </x:c>
      <x:c r="V222" s="28" t="n">
        <x:v>0.761664</x:v>
      </x:c>
      <x:c r="W222" s="28" t="n">
        <x:v>0.787913</x:v>
      </x:c>
      <x:c r="X222" s="28" t="n">
        <x:v>0.927536</x:v>
      </x:c>
      <x:c r="Y222" s="28" t="n">
        <x:v>0.684825</x:v>
      </x:c>
      <x:c r="Z222" s="28" t="n">
        <x:v>0.895238</x:v>
      </x:c>
      <x:c r="AA222" s="28" t="str">
        <x:v>High</x:v>
      </x:c>
      <x:c r="AB222" s="28" t="str">
        <x:v>Pass</x:v>
      </x:c>
      <x:c r="AC222" s="28" t="str">
        <x:v>Pending human review</x:v>
      </x:c>
      <x:c r="AD222" s="28" t="str"/>
      <x:c r="AE222" s="28" t="n">
        <x:v>46238.87231481481</x:v>
      </x:c>
    </x:row>
    <x:row r="223" ht="60" customHeight="1">
      <x:c r="A223" s="28" t="str">
        <x:v>ANC-CAM-071-ASP</x:v>
      </x:c>
      <x:c r="B223" s="28" t="str">
        <x:v>CAM-071</x:v>
      </x:c>
      <x:c r="C223" s="28" t="str">
        <x:v>DOC-CAM-WC-2026</x:v>
      </x:c>
      <x:c r="D223" s="28" t="str">
        <x:v>Aspiration</x:v>
      </x:c>
      <x:c r="E223" s="28" t="str">
        <x:v>Text Span</x:v>
      </x:c>
      <x:c r="F223" s="28" t="str">
        <x:v>CAM-071</x:v>
      </x:c>
      <x:c r="G223" s="28" t="str">
        <x:v>PDF p. 4, goals narrative</x:v>
      </x:c>
      <x:c r="H223" s="28" t="n">
        <x:v>4</x:v>
      </x:c>
      <x:c r="I223" s="28" t="n">
        <x:v>4</x:v>
      </x:c>
      <x:c r="J223" s="28" t="n">
        <x:v>4</x:v>
      </x:c>
      <x:c r="K223" s="28" t="str">
        <x:v>4</x:v>
      </x:c>
      <x:c r="L223" s="28" t="str">
        <x:v>Target narrative</x:v>
      </x:c>
      <x:c r="M223" s="28" t="str">
        <x:v>Water for Planet The Government commits to protecting 450,000 hectares of agricultural land from flood and drought damage, developing a comprehensive flood management strategy that combines risk-informed land-use planning, physical infrastructure improvements, and nature-based solutions, and improving emergency response procedures.</x:v>
      </x:c>
      <x:c r="N223" s="28" t="str">
        <x:v>water for planet the government commit to protect 450 000 hectare of agricultural land from flood and drought damage develop a comprehensive flood management strategy that combine riskinform landuse plann physical infrastructure improvement and naturebas solution and improv emergency response procedure</x:v>
      </x:c>
      <x:c r="O223" s="28" t="str">
        <x:v>0e2f964ce5d5b7c1ec62ea7f5fc1ea745b5d32e53c477819bb0e8805f849cf1a</x:v>
      </x:c>
      <x:c r="P223" s="28" t="str"/>
      <x:c r="Q223" s="28" t="str"/>
      <x:c r="R223" s="28" t="str">
        <x:v>[[1245,1261],[1262,1359],[1360,1448],[1449,1537],[1538,1578]]</x:v>
      </x:c>
      <x:c r="S223" s="28" t="str">
        <x:v>Reused verified PDF-token span from candidate anchor</x:v>
      </x:c>
      <x:c r="T223" s="28" t="str">
        <x:v>Standardized Candidate</x:v>
      </x:c>
      <x:c r="U223" s="28" t="str">
        <x:v>Protect agricultural land from flood and drought damage</x:v>
      </x:c>
      <x:c r="V223" s="28" t="n">
        <x:v>0.909946</x:v>
      </x:c>
      <x:c r="W223" s="28" t="n">
        <x:v>0.935972</x:v>
      </x:c>
      <x:c r="X223" s="28" t="n">
        <x:v>0.87965</x:v>
      </x:c>
      <x:c r="Y223" s="28" t="n">
        <x:v>1</x:v>
      </x:c>
      <x:c r="Z223" s="28" t="n">
        <x:v>0.859375</x:v>
      </x:c>
      <x:c r="AA223" s="28" t="str">
        <x:v>High</x:v>
      </x:c>
      <x:c r="AB223" s="28" t="str">
        <x:v>Pass</x:v>
      </x:c>
      <x:c r="AC223" s="28" t="str">
        <x:v>Pending human review</x:v>
      </x:c>
      <x:c r="AD223" s="28" t="str"/>
      <x:c r="AE223" s="28" t="n">
        <x:v>46238.87231481481</x:v>
      </x:c>
    </x:row>
    <x:row r="224" ht="60" customHeight="1">
      <x:c r="A224" s="28" t="str">
        <x:v>ANC-CAM-072-ASP</x:v>
      </x:c>
      <x:c r="B224" s="28" t="str">
        <x:v>CAM-072</x:v>
      </x:c>
      <x:c r="C224" s="28" t="str">
        <x:v>DOC-CAM-WC-2026</x:v>
      </x:c>
      <x:c r="D224" s="28" t="str">
        <x:v>Aspiration</x:v>
      </x:c>
      <x:c r="E224" s="28" t="str">
        <x:v>Table Cell/Row</x:v>
      </x:c>
      <x:c r="F224" s="28" t="str">
        <x:v>CAM-072</x:v>
      </x:c>
      <x:c r="G224" s="28" t="str">
        <x:v>PDF p. 5, Table 1</x:v>
      </x:c>
      <x:c r="H224" s="28" t="n">
        <x:v>5</x:v>
      </x:c>
      <x:c r="I224" s="28" t="n">
        <x:v>5</x:v>
      </x:c>
      <x:c r="J224" s="28" t="n">
        <x:v>5</x:v>
      </x:c>
      <x:c r="K224" s="28" t="str">
        <x:v>5</x:v>
      </x:c>
      <x:c r="L224" s="28" t="str">
        <x:v>Target table</x:v>
      </x:c>
      <x:c r="M224" s="28" t="str">
        <x:v>hydrological stations, 51 automated weather</x:v>
      </x:c>
      <x:c r="N224" s="28" t="str">
        <x:v>hydrological station 51 automat weather</x:v>
      </x:c>
      <x:c r="O224" s="28" t="str">
        <x:v>41dd39c9f21d2d7b5e62637f3c63d0c5614c49ed1a387b3d88fcbaaceaa15b9a</x:v>
      </x:c>
      <x:c r="P224" s="28" t="str"/>
      <x:c r="Q224" s="28" t="str"/>
      <x:c r="R224" s="28" t="str">
        <x:v>[[802,824],[852,872]]</x:v>
      </x:c>
      <x:c r="S224" s="28" t="str">
        <x:v>Reused verified PDF-token span from candidate anchor</x:v>
      </x:c>
      <x:c r="T224" s="28" t="str">
        <x:v>Standardized Candidate</x:v>
      </x:c>
      <x:c r="U224" s="28" t="str">
        <x:v>Expand automated hydrological and weather stations</x:v>
      </x:c>
      <x:c r="V224" s="28" t="n">
        <x:v>0.775538</x:v>
      </x:c>
      <x:c r="W224" s="28" t="n">
        <x:v>0.870944</x:v>
      </x:c>
      <x:c r="X224" s="28" t="n">
        <x:v>0.91654</x:v>
      </x:c>
      <x:c r="Y224" s="28" t="n">
        <x:v>0.82967</x:v>
      </x:c>
      <x:c r="Z224" s="28" t="n">
        <x:v>0.534884</x:v>
      </x:c>
      <x:c r="AA224" s="28" t="str">
        <x:v>High</x:v>
      </x:c>
      <x:c r="AB224" s="28" t="str">
        <x:v>Pass</x:v>
      </x:c>
      <x:c r="AC224" s="28" t="str">
        <x:v>Pending human review</x:v>
      </x:c>
      <x:c r="AD224" s="28" t="str"/>
      <x:c r="AE224" s="28" t="n">
        <x:v>46238.87231481481</x:v>
      </x:c>
    </x:row>
    <x:row r="225" ht="60" customHeight="1">
      <x:c r="A225" s="28" t="str">
        <x:v>ANC-JAM-005-ASP</x:v>
      </x:c>
      <x:c r="B225" s="28" t="str">
        <x:v>JAM-005</x:v>
      </x:c>
      <x:c r="C225" s="28" t="str">
        <x:v>DOC-JAM-WC-2026</x:v>
      </x:c>
      <x:c r="D225" s="28" t="str">
        <x:v>Aspiration</x:v>
      </x:c>
      <x:c r="E225" s="28" t="str">
        <x:v>Text Span</x:v>
      </x:c>
      <x:c r="F225" s="28" t="str">
        <x:v>JAM-005</x:v>
      </x:c>
      <x:c r="G225" s="28" t="str">
        <x:v>PDF p. 4, Section 2.2</x:v>
      </x:c>
      <x:c r="H225" s="28" t="n">
        <x:v>4</x:v>
      </x:c>
      <x:c r="I225" s="28" t="n">
        <x:v>4</x:v>
      </x:c>
      <x:c r="J225" s="28" t="n">
        <x:v>4</x:v>
      </x:c>
      <x:c r="K225" s="28" t="str">
        <x:v>4</x:v>
      </x:c>
      <x:c r="L225" s="28" t="str">
        <x:v>Target narrative</x:v>
      </x:c>
      <x:c r="M225" s="28" t="str">
        <x:v>Watershed Protection: Establish protective measures for the 26 Watershed ii) Management Units (WMUs) and identify high-priority, sensitive water bodies for enhanced conservation.</x:v>
      </x:c>
      <x:c r="N225" s="28" t="str">
        <x:v>watersh protection establish protective measure for the 26 watersh ii management unit wmus and identify highpriority sensitive water body for enhanc conservation</x:v>
      </x:c>
      <x:c r="O225" s="28" t="str">
        <x:v>19bb570b117a46017e1795eb9ea8f650111d4ba06d3894b5ce4fd643dde2d43f</x:v>
      </x:c>
      <x:c r="P225" s="28" t="str"/>
      <x:c r="Q225" s="28" t="str"/>
      <x:c r="R225" s="28" t="str">
        <x:v>[[820,892],[816,819],[893,971],[972,994]]</x:v>
      </x:c>
      <x:c r="S225" s="28" t="str">
        <x:v>Reused verified PDF-token span from candidate anchor</x:v>
      </x:c>
      <x:c r="T225" s="28" t="str">
        <x:v>Standardized Candidate</x:v>
      </x:c>
      <x:c r="U225" s="28" t="str">
        <x:v>Establish protective measures for all 26 Watershed Management Units</x:v>
      </x:c>
      <x:c r="V225" s="28" t="n">
        <x:v>0.893378</x:v>
      </x:c>
      <x:c r="W225" s="28" t="n">
        <x:v>0.942263</x:v>
      </x:c>
      <x:c r="X225" s="28" t="n">
        <x:v>1</x:v>
      </x:c>
      <x:c r="Y225" s="28" t="n">
        <x:v>0.89083</x:v>
      </x:c>
      <x:c r="Z225" s="28" t="n">
        <x:v>0.952381</x:v>
      </x:c>
      <x:c r="AA225" s="28" t="str">
        <x:v>High</x:v>
      </x:c>
      <x:c r="AB225" s="28" t="str">
        <x:v>Pass</x:v>
      </x:c>
      <x:c r="AC225" s="28" t="str">
        <x:v>Pending human review</x:v>
      </x:c>
      <x:c r="AD225" s="28" t="str"/>
      <x:c r="AE225" s="28" t="n">
        <x:v>46238.87231481481</x:v>
      </x:c>
    </x:row>
    <x:row r="226" ht="60" customHeight="1">
      <x:c r="A226" s="28" t="str">
        <x:v>ANC-JAM-006-ASP</x:v>
      </x:c>
      <x:c r="B226" s="28" t="str">
        <x:v>JAM-006</x:v>
      </x:c>
      <x:c r="C226" s="28" t="str">
        <x:v>DOC-JAM-WC-2026</x:v>
      </x:c>
      <x:c r="D226" s="28" t="str">
        <x:v>Aspiration</x:v>
      </x:c>
      <x:c r="E226" s="28" t="str">
        <x:v>Text Span</x:v>
      </x:c>
      <x:c r="F226" s="28" t="str">
        <x:v>JAM-006</x:v>
      </x:c>
      <x:c r="G226" s="28" t="str">
        <x:v>PDF p. 5, Section 2.3</x:v>
      </x:c>
      <x:c r="H226" s="28" t="n">
        <x:v>5</x:v>
      </x:c>
      <x:c r="I226" s="28" t="n">
        <x:v>5</x:v>
      </x:c>
      <x:c r="J226" s="28" t="n">
        <x:v>5</x:v>
      </x:c>
      <x:c r="K226" s="28" t="str">
        <x:v>5</x:v>
      </x:c>
      <x:c r="L226" s="28" t="str">
        <x:v>Target narrative</x:v>
      </x:c>
      <x:c r="M226" s="28" t="str">
        <x:v>(e) Strengthen the management of septage to reduce environmental harm and risks to public health.</x:v>
      </x:c>
      <x:c r="N226" s="28" t="str">
        <x:v>e strengthen the management of septage to reduce environmental harm and risk to public health</x:v>
      </x:c>
      <x:c r="O226" s="28" t="str">
        <x:v>ed07903acbf693eeedc7354479420031a3d69562522af18655d75bdc24fee79c</x:v>
      </x:c>
      <x:c r="P226" s="28" t="str"/>
      <x:c r="Q226" s="28" t="str"/>
      <x:c r="R226" s="28" t="str">
        <x:v>[[1447,1536],[1537,1544]]</x:v>
      </x:c>
      <x:c r="S226" s="28" t="str">
        <x:v>Reused verified PDF-token span from candidate anchor</x:v>
      </x:c>
      <x:c r="T226" s="28" t="str">
        <x:v>Original Compact Text</x:v>
      </x:c>
      <x:c r="U226" s="28" t="str">
        <x:v>Strengthen septage management</x:v>
      </x:c>
      <x:c r="V226" s="28" t="n">
        <x:v>0.962202</x:v>
      </x:c>
      <x:c r="W226" s="28" t="n">
        <x:v>1</x:v>
      </x:c>
      <x:c r="X226" s="28" t="n">
        <x:v>1</x:v>
      </x:c>
      <x:c r="Y226" s="28" t="n">
        <x:v>1</x:v>
      </x:c>
      <x:c r="Z226" s="28" t="n">
        <x:v>0.738462</x:v>
      </x:c>
      <x:c r="AA226" s="28" t="str">
        <x:v>High</x:v>
      </x:c>
      <x:c r="AB226" s="28" t="str">
        <x:v>Pass</x:v>
      </x:c>
      <x:c r="AC226" s="28" t="str">
        <x:v>Pending human review</x:v>
      </x:c>
      <x:c r="AD226" s="28" t="str"/>
      <x:c r="AE226" s="28" t="n">
        <x:v>46238.87231481481</x:v>
      </x:c>
    </x:row>
    <x:row r="227" ht="60" customHeight="1">
      <x:c r="A227" s="28" t="str">
        <x:v>ANC-JAM-007-ASP</x:v>
      </x:c>
      <x:c r="B227" s="28" t="str">
        <x:v>JAM-007</x:v>
      </x:c>
      <x:c r="C227" s="28" t="str">
        <x:v>DOC-JAM-WC-2026</x:v>
      </x:c>
      <x:c r="D227" s="28" t="str">
        <x:v>Aspiration</x:v>
      </x:c>
      <x:c r="E227" s="28" t="str">
        <x:v>Text Span</x:v>
      </x:c>
      <x:c r="F227" s="28" t="str">
        <x:v>JAM-007</x:v>
      </x:c>
      <x:c r="G227" s="28" t="str">
        <x:v>PDF p. 6, Section 2.4</x:v>
      </x:c>
      <x:c r="H227" s="28" t="n">
        <x:v>6</x:v>
      </x:c>
      <x:c r="I227" s="28" t="n">
        <x:v>6</x:v>
      </x:c>
      <x:c r="J227" s="28" t="n">
        <x:v>6</x:v>
      </x:c>
      <x:c r="K227" s="28" t="str">
        <x:v>6</x:v>
      </x:c>
      <x:c r="L227" s="28" t="str">
        <x:v>Target narrative</x:v>
      </x:c>
      <x:c r="M227" s="28" t="str">
        <x:v>GOJ undertakes to further explore the implementation of cost-recovery tariffs to iii) reduce the National Irrigation Commission’s (NIC) dependence on government subsidies (which currently cover a significant portion of National Irrigation Commission revenue).</x:v>
      </x:c>
      <x:c r="N227" s="28" t="str">
        <x:v>goj undertake to further explore the implementation of costrecovery tariff to iii reduce the national irrigation commission nic dependence on government subsidy which currently cover a significant portion of national irrigation commission revenue</x:v>
      </x:c>
      <x:c r="O227" s="28" t="str">
        <x:v>3c50c322de39a4da3f2f03d589484870e7d33cc5b1204545b342a8d0242e3ba4</x:v>
      </x:c>
      <x:c r="P227" s="28" t="str"/>
      <x:c r="Q227" s="28" t="str"/>
      <x:c r="R227" s="28" t="str">
        <x:v>[[502,582],[497,501],[583,657],[658,735],[736,756]]</x:v>
      </x:c>
      <x:c r="S227" s="28" t="str">
        <x:v>Reused verified PDF-token span from candidate anchor</x:v>
      </x:c>
      <x:c r="T227" s="28" t="str">
        <x:v>Standardized Candidate</x:v>
      </x:c>
      <x:c r="U227" s="28" t="str">
        <x:v>Develop cost-recovery tariffs for irrigation services</x:v>
      </x:c>
      <x:c r="V227" s="28" t="n">
        <x:v>0.763487</x:v>
      </x:c>
      <x:c r="W227" s="28" t="n">
        <x:v>0.837447</x:v>
      </x:c>
      <x:c r="X227" s="28" t="n">
        <x:v>0.899452</x:v>
      </x:c>
      <x:c r="Y227" s="28" t="n">
        <x:v>0.783439</x:v>
      </x:c>
      <x:c r="Z227" s="28" t="n">
        <x:v>0.640777</x:v>
      </x:c>
      <x:c r="AA227" s="28" t="str">
        <x:v>High</x:v>
      </x:c>
      <x:c r="AB227" s="28" t="str">
        <x:v>Pass</x:v>
      </x:c>
      <x:c r="AC227" s="28" t="str">
        <x:v>Pending human review</x:v>
      </x:c>
      <x:c r="AD227" s="28" t="str"/>
      <x:c r="AE227" s="28" t="n">
        <x:v>46238.87231481481</x:v>
      </x:c>
    </x:row>
    <x:row r="228" ht="60" customHeight="1">
      <x:c r="A228" s="28" t="str">
        <x:v>ANC-JAM-010-ASP</x:v>
      </x:c>
      <x:c r="B228" s="28" t="str">
        <x:v>JAM-010</x:v>
      </x:c>
      <x:c r="C228" s="28" t="str">
        <x:v>DOC-JAM-WC-2026</x:v>
      </x:c>
      <x:c r="D228" s="28" t="str">
        <x:v>Aspiration</x:v>
      </x:c>
      <x:c r="E228" s="28" t="str">
        <x:v>Text Span</x:v>
      </x:c>
      <x:c r="F228" s="28" t="str">
        <x:v>JAM-010</x:v>
      </x:c>
      <x:c r="G228" s="28" t="str">
        <x:v>PDF p. 7, Section 3.2</x:v>
      </x:c>
      <x:c r="H228" s="28" t="n">
        <x:v>7</x:v>
      </x:c>
      <x:c r="I228" s="28" t="n">
        <x:v>7</x:v>
      </x:c>
      <x:c r="J228" s="28" t="n">
        <x:v>7</x:v>
      </x:c>
      <x:c r="K228" s="28" t="str">
        <x:v>7</x:v>
      </x:c>
      <x:c r="L228" s="28" t="str">
        <x:v>Institutional reform section</x:v>
      </x:c>
      <x:c r="M228" s="28" t="str">
        <x:v>3.2 National Objectives for Water Sector Institutional Reform GOJ will pursue institutional reforms to strengthen policy implementation, regulation, and coordination, including: (a) Strengthening water sector governance and inter-agency coordination mechanisms.</x:v>
      </x:c>
      <x:c r="N228" s="28" t="str">
        <x:v>3 2 national objective for water sector institutional reform goj will pursue institutional reform to strengthen policy implementation regulation and coordination includ a strengthen water sector governance and interagency coordination mechanism</x:v>
      </x:c>
      <x:c r="O228" s="28" t="str">
        <x:v>c429842e595528f05b8dbf83a44281f581ebb44de167e56b9671128bc8ced7c2</x:v>
      </x:c>
      <x:c r="P228" s="28" t="str"/>
      <x:c r="Q228" s="28" t="str"/>
      <x:c r="R228" s="28" t="str">
        <x:v>[[198,259],[260,350],[351,375],[376,459]]</x:v>
      </x:c>
      <x:c r="S228" s="28" t="str">
        <x:v>Reused verified PDF-token span from candidate anchor</x:v>
      </x:c>
      <x:c r="T228" s="28" t="str">
        <x:v>Original Compact Text</x:v>
      </x:c>
      <x:c r="U228" s="28" t="str">
        <x:v>Strengthen governance and coordination</x:v>
      </x:c>
      <x:c r="V228" s="28" t="n">
        <x:v>0.94827</x:v>
      </x:c>
      <x:c r="W228" s="28" t="n">
        <x:v>0.930468</x:v>
      </x:c>
      <x:c r="X228" s="28" t="n">
        <x:v>0.869976</x:v>
      </x:c>
      <x:c r="Y228" s="28" t="n">
        <x:v>1</x:v>
      </x:c>
      <x:c r="Z228" s="28" t="n">
        <x:v>0.701299</x:v>
      </x:c>
      <x:c r="AA228" s="28" t="str">
        <x:v>High</x:v>
      </x:c>
      <x:c r="AB228" s="28" t="str">
        <x:v>Pass</x:v>
      </x:c>
      <x:c r="AC228" s="28" t="str">
        <x:v>Pending human review</x:v>
      </x:c>
      <x:c r="AD228" s="28" t="str"/>
      <x:c r="AE228" s="28" t="n">
        <x:v>46238.87231481481</x:v>
      </x:c>
    </x:row>
    <x:row r="229" ht="60" customHeight="1">
      <x:c r="A229" s="28" t="str">
        <x:v>ANC-JAM-010-MECH-01</x:v>
      </x:c>
      <x:c r="B229" s="28" t="str">
        <x:v>JAM-010</x:v>
      </x:c>
      <x:c r="C229" s="28" t="str">
        <x:v>DOC-JAM-WC-2026</x:v>
      </x:c>
      <x:c r="D229" s="28" t="str">
        <x:v>Explicit Mechanism</x:v>
      </x:c>
      <x:c r="E229" s="28" t="str">
        <x:v>Text Span</x:v>
      </x:c>
      <x:c r="F229" s="28" t="str">
        <x:v>JAM-001</x:v>
      </x:c>
      <x:c r="G229" s="28" t="str">
        <x:v>PDF p. 3, Section 2.2</x:v>
      </x:c>
      <x:c r="H229" s="28" t="n">
        <x:v>3</x:v>
      </x:c>
      <x:c r="I229" s="28" t="n">
        <x:v>3</x:v>
      </x:c>
      <x:c r="J229" s="28" t="n">
        <x:v>3</x:v>
      </x:c>
      <x:c r="K229" s="28" t="str">
        <x:v>3</x:v>
      </x:c>
      <x:c r="L229" s="28" t="str">
        <x:v>Target narrative</x:v>
      </x:c>
      <x:c r="M229" s="28" t="str">
        <x:v>The key targets for water resources management are the following: (a) Integrated Water Resources Management (IWRM) - The Water Resources Advisory Committee (WRAC) will be established.</x:v>
      </x:c>
      <x:c r="N229" s="28" t="str">
        <x:v>the key target for water resource management are the follow a integrat water resource management iwrm the water resource advisory committee wrac will be establish</x:v>
      </x:c>
      <x:c r="O229" s="28" t="str">
        <x:v>37865a6813cfa3a25f2089595caf2a4802b2bcae9cc62f596f5689d5e1b067a4</x:v>
      </x:c>
      <x:c r="P229" s="28" t="str"/>
      <x:c r="Q229" s="28" t="str"/>
      <x:c r="R229" s="28" t="str">
        <x:v>[[1719,1784],[1785,1864],[1865,1902]]</x:v>
      </x:c>
      <x:c r="S229" s="28" t="str">
        <x:v>Linked candidate's verified PDF-token span</x:v>
      </x:c>
      <x:c r="T229" s="28" t="str">
        <x:v>Original Compact Text</x:v>
      </x:c>
      <x:c r="U229" s="28" t="str">
        <x:v>Establish Water Resources Advisory Committee</x:v>
      </x:c>
      <x:c r="V229" s="28" t="n">
        <x:v>0.999</x:v>
      </x:c>
      <x:c r="W229" s="28" t="n">
        <x:v>1</x:v>
      </x:c>
      <x:c r="X229" s="28" t="n">
        <x:v>1</x:v>
      </x:c>
      <x:c r="Y229" s="28" t="n">
        <x:v>1</x:v>
      </x:c>
      <x:c r="Z229" s="28" t="n">
        <x:v>0.868421</x:v>
      </x:c>
      <x:c r="AA229" s="28" t="str">
        <x:v>High</x:v>
      </x:c>
      <x:c r="AB229" s="28" t="str">
        <x:v>Pass</x:v>
      </x:c>
      <x:c r="AC229" s="28" t="str">
        <x:v>Pending human review</x:v>
      </x:c>
      <x:c r="AD229" s="28" t="str"/>
      <x:c r="AE229" s="28" t="n">
        <x:v>46238.87231481481</x:v>
      </x:c>
    </x:row>
    <x:row r="230" ht="60" customHeight="1">
      <x:c r="A230" s="28" t="str">
        <x:v>ANC-JAM-010-MECH-02</x:v>
      </x:c>
      <x:c r="B230" s="28" t="str">
        <x:v>JAM-010</x:v>
      </x:c>
      <x:c r="C230" s="28" t="str">
        <x:v>DOC-JAM-WC-2026</x:v>
      </x:c>
      <x:c r="D230" s="28" t="str">
        <x:v>Explicit Mechanism</x:v>
      </x:c>
      <x:c r="E230" s="28" t="str">
        <x:v>Text Span</x:v>
      </x:c>
      <x:c r="F230" s="28" t="str">
        <x:v>JAM-026</x:v>
      </x:c>
      <x:c r="G230" s="28" t="str">
        <x:v>PDF p. 9, Section 4</x:v>
      </x:c>
      <x:c r="H230" s="28" t="n">
        <x:v>9</x:v>
      </x:c>
      <x:c r="I230" s="28" t="n">
        <x:v>9</x:v>
      </x:c>
      <x:c r="J230" s="28" t="n">
        <x:v>9</x:v>
      </x:c>
      <x:c r="K230" s="28" t="str">
        <x:v>9</x:v>
      </x:c>
      <x:c r="L230" s="28" t="str">
        <x:v>Implementation monitoring</x:v>
      </x:c>
      <x:c r="M230" s="28" t="str">
        <x:v>• Institutional responsibilities: Designation of responsible entities for data collection, consolidation, and reporting, under overall coordination led by the IWRMC.</x:v>
      </x:c>
      <x:c r="N230" s="28" t="str">
        <x:v>institutional responsibility designation of responsible entity for data collection consolidation and report under overall coordination led by the iwrmc</x:v>
      </x:c>
      <x:c r="O230" s="28" t="str">
        <x:v>09bf42997c8b87aa17bdf3536d53844457cb9cf55be89a5b10e0a0ac11044488</x:v>
      </x:c>
      <x:c r="P230" s="28" t="str"/>
      <x:c r="Q230" s="28" t="str"/>
      <x:c r="R230" s="28" t="str">
        <x:v>[[1948,1949],[1950,2026],[2027,2106],[2107,2113]]</x:v>
      </x:c>
      <x:c r="S230" s="28" t="str">
        <x:v>Linked candidate's verified PDF-token span</x:v>
      </x:c>
      <x:c r="T230" s="28" t="str">
        <x:v>Standardized Candidate</x:v>
      </x:c>
      <x:c r="U230" s="28" t="str">
        <x:v>Assign institutional responsibilities for Compact data and reporting</x:v>
      </x:c>
      <x:c r="V230" s="28" t="n">
        <x:v>0.708826</x:v>
      </x:c>
      <x:c r="W230" s="28" t="n">
        <x:v>0.765708</x:v>
      </x:c>
      <x:c r="X230" s="28" t="n">
        <x:v>0.703344</x:v>
      </x:c>
      <x:c r="Y230" s="28" t="n">
        <x:v>0.840206</x:v>
      </x:c>
      <x:c r="Z230" s="28" t="n">
        <x:v>0.564706</x:v>
      </x:c>
      <x:c r="AA230" s="28" t="str">
        <x:v>Medium</x:v>
      </x:c>
      <x:c r="AB230" s="28" t="str">
        <x:v>Pass</x:v>
      </x:c>
      <x:c r="AC230" s="28" t="str">
        <x:v>Pending human review</x:v>
      </x:c>
      <x:c r="AD230" s="28" t="str"/>
      <x:c r="AE230" s="28" t="n">
        <x:v>46238.87231481481</x:v>
      </x:c>
    </x:row>
    <x:row r="231" ht="60" customHeight="1">
      <x:c r="A231" s="28" t="str">
        <x:v>ANC-JAM-011-ASP</x:v>
      </x:c>
      <x:c r="B231" s="28" t="str">
        <x:v>JAM-011</x:v>
      </x:c>
      <x:c r="C231" s="28" t="str">
        <x:v>DOC-JAM-WC-2026</x:v>
      </x:c>
      <x:c r="D231" s="28" t="str">
        <x:v>Aspiration</x:v>
      </x:c>
      <x:c r="E231" s="28" t="str">
        <x:v>Text Span</x:v>
      </x:c>
      <x:c r="F231" s="28" t="str">
        <x:v>JAM-011</x:v>
      </x:c>
      <x:c r="G231" s="28" t="str">
        <x:v>PDF p. 7, Section 3.2</x:v>
      </x:c>
      <x:c r="H231" s="28" t="n">
        <x:v>7</x:v>
      </x:c>
      <x:c r="I231" s="28" t="n">
        <x:v>7</x:v>
      </x:c>
      <x:c r="J231" s="28" t="n">
        <x:v>7</x:v>
      </x:c>
      <x:c r="K231" s="28" t="str">
        <x:v>7</x:v>
      </x:c>
      <x:c r="L231" s="28" t="str">
        <x:v>Institutional reform section</x:v>
      </x:c>
      <x:c r="M231" s="28" t="str">
        <x:v>(b) Strengthening and operationalizing basin-level water resources management institutions and planning arrangements across Jamaica’s 26 Watershed Management Areas.</x:v>
      </x:c>
      <x:c r="N231" s="28" t="str">
        <x:v>b strengthen and operationaliz basinlevel water resource management institution and plann arrangement across jamaica 26 watersh management area</x:v>
      </x:c>
      <x:c r="O231" s="28" t="str">
        <x:v>8bce662e3bd15fb278167c5b1c665ef8e6616c0a25ad7d08306ca3bd91f803b0</x:v>
      </x:c>
      <x:c r="P231" s="28" t="str"/>
      <x:c r="Q231" s="28" t="str"/>
      <x:c r="R231" s="28" t="str">
        <x:v>[[460,550],[551,624]]</x:v>
      </x:c>
      <x:c r="S231" s="28" t="str">
        <x:v>Reused verified PDF-token span from candidate anchor</x:v>
      </x:c>
      <x:c r="T231" s="28" t="str">
        <x:v>Tier 2 Label</x:v>
      </x:c>
      <x:c r="U231" s="28" t="str">
        <x:v>Basin-level institutions and planning</x:v>
      </x:c>
      <x:c r="V231" s="28" t="n">
        <x:v>0.689774</x:v>
      </x:c>
      <x:c r="W231" s="28" t="n">
        <x:v>0.894837</x:v>
      </x:c>
      <x:c r="X231" s="28" t="n">
        <x:v>0.809689</x:v>
      </x:c>
      <x:c r="Y231" s="28" t="n">
        <x:v>1</x:v>
      </x:c>
      <x:c r="Z231" s="28" t="n">
        <x:v>0.711111</x:v>
      </x:c>
      <x:c r="AA231" s="28" t="str">
        <x:v>Medium</x:v>
      </x:c>
      <x:c r="AB231" s="28" t="str">
        <x:v>Pass</x:v>
      </x:c>
      <x:c r="AC231" s="28" t="str">
        <x:v>Pending human review</x:v>
      </x:c>
      <x:c r="AD231" s="28" t="str"/>
      <x:c r="AE231" s="28" t="n">
        <x:v>46238.87231481481</x:v>
      </x:c>
    </x:row>
    <x:row r="232" ht="60" customHeight="1">
      <x:c r="A232" s="28" t="str">
        <x:v>ANC-JAM-012-ASP</x:v>
      </x:c>
      <x:c r="B232" s="28" t="str">
        <x:v>JAM-012</x:v>
      </x:c>
      <x:c r="C232" s="28" t="str">
        <x:v>DOC-JAM-WC-2026</x:v>
      </x:c>
      <x:c r="D232" s="28" t="str">
        <x:v>Aspiration</x:v>
      </x:c>
      <x:c r="E232" s="28" t="str">
        <x:v>Text Span</x:v>
      </x:c>
      <x:c r="F232" s="28" t="str">
        <x:v>JAM-012</x:v>
      </x:c>
      <x:c r="G232" s="28" t="str">
        <x:v>PDF p. 7, Section 3.2</x:v>
      </x:c>
      <x:c r="H232" s="28" t="n">
        <x:v>7</x:v>
      </x:c>
      <x:c r="I232" s="28" t="n">
        <x:v>7</x:v>
      </x:c>
      <x:c r="J232" s="28" t="n">
        <x:v>7</x:v>
      </x:c>
      <x:c r="K232" s="28" t="str">
        <x:v>7</x:v>
      </x:c>
      <x:c r="L232" s="28" t="str">
        <x:v>Institutional reform section</x:v>
      </x:c>
      <x:c r="M232" s="28" t="str">
        <x:v>(c) GOJ will focus on enhancing institutional, financing and policy measures for the long-</x:v>
      </x:c>
      <x:c r="N232" s="28" t="str">
        <x:v>c goj will focu on enhanc institutional financ and policy measure for the long</x:v>
      </x:c>
      <x:c r="O232" s="28" t="str">
        <x:v>d7cf256c78e018ccc5b6d90342da8fdfe6b382e3dc884c1cd209a4a7c618b14b</x:v>
      </x:c>
      <x:c r="P232" s="28" t="n">
        <x:v>625</x:v>
      </x:c>
      <x:c r="Q232" s="28" t="n">
        <x:v>715</x:v>
      </x:c>
      <x:c r="R232" s="28" t="str">
        <x:v>[[625,715]]</x:v>
      </x:c>
      <x:c r="S232" s="28" t="str">
        <x:v>Reused verified PDF-token span from candidate anchor</x:v>
      </x:c>
      <x:c r="T232" s="28" t="str">
        <x:v>Original Compact Text</x:v>
      </x:c>
      <x:c r="U232" s="28" t="str">
        <x:v>Institutional, financing and policy measures</x:v>
      </x:c>
      <x:c r="V232" s="28" t="n">
        <x:v>0.999</x:v>
      </x:c>
      <x:c r="W232" s="28" t="n">
        <x:v>0.843305</x:v>
      </x:c>
      <x:c r="X232" s="28" t="n">
        <x:v>0.729064</x:v>
      </x:c>
      <x:c r="Y232" s="28" t="n">
        <x:v>1</x:v>
      </x:c>
      <x:c r="Z232" s="28" t="n">
        <x:v>0.666667</x:v>
      </x:c>
      <x:c r="AA232" s="28" t="str">
        <x:v>High</x:v>
      </x:c>
      <x:c r="AB232" s="28" t="str">
        <x:v>Pass</x:v>
      </x:c>
      <x:c r="AC232" s="28" t="str">
        <x:v>Pending human review</x:v>
      </x:c>
      <x:c r="AD232" s="28" t="str"/>
      <x:c r="AE232" s="28" t="n">
        <x:v>46238.87231481481</x:v>
      </x:c>
    </x:row>
    <x:row r="233" ht="60" customHeight="1">
      <x:c r="A233" s="28" t="str">
        <x:v>ANC-JAM-014-ASP</x:v>
      </x:c>
      <x:c r="B233" s="28" t="str">
        <x:v>JAM-014</x:v>
      </x:c>
      <x:c r="C233" s="28" t="str">
        <x:v>DOC-JAM-WC-2026</x:v>
      </x:c>
      <x:c r="D233" s="28" t="str">
        <x:v>Aspiration</x:v>
      </x:c>
      <x:c r="E233" s="28" t="str">
        <x:v>Text Span</x:v>
      </x:c>
      <x:c r="F233" s="28" t="str">
        <x:v>JAM-014</x:v>
      </x:c>
      <x:c r="G233" s="28" t="str">
        <x:v>PDF p. 7, Section 3.2</x:v>
      </x:c>
      <x:c r="H233" s="28" t="n">
        <x:v>7</x:v>
      </x:c>
      <x:c r="I233" s="28" t="n">
        <x:v>7</x:v>
      </x:c>
      <x:c r="J233" s="28" t="n">
        <x:v>7</x:v>
      </x:c>
      <x:c r="K233" s="28" t="str">
        <x:v>7</x:v>
      </x:c>
      <x:c r="L233" s="28" t="str">
        <x:v>Institutional reform section</x:v>
      </x:c>
      <x:c r="M233" s="28" t="str">
        <x:v>National Environment and Planning Agency (NEPA), the environment regulator, ii) to strengthen oversight of the operations of wastewater treatment facilities and the quality of the effluent discharges from these facilities.</x:v>
      </x:c>
      <x:c r="N233" s="28" t="str">
        <x:v>national environment and plann agency nepa the environment regulator ii to strengthen oversight of the operation of wastewater treatment facility and the quality of the effluent discharge from these facility</x:v>
      </x:c>
      <x:c r="O233" s="28" t="str">
        <x:v>7d803defb23ccc1017109669524ae935634d274a3d12023bf32502897ef1926b</x:v>
      </x:c>
      <x:c r="P233" s="28" t="str"/>
      <x:c r="Q233" s="28" t="str"/>
      <x:c r="R233" s="28" t="str">
        <x:v>[[1449,1524],[1445,1448],[1525,1609],[1610,1667]]</x:v>
      </x:c>
      <x:c r="S233" s="28" t="str">
        <x:v>Reused verified PDF-token span from candidate anchor</x:v>
      </x:c>
      <x:c r="T233" s="28" t="str">
        <x:v>Standardized Candidate</x:v>
      </x:c>
      <x:c r="U233" s="28" t="str">
        <x:v>Strengthen NEPA oversight of wastewater treatment and effluent</x:v>
      </x:c>
      <x:c r="V233" s="28" t="n">
        <x:v>0.74691</x:v>
      </x:c>
      <x:c r="W233" s="28" t="n">
        <x:v>0.828479</x:v>
      </x:c>
      <x:c r="X233" s="28" t="n">
        <x:v>0.795031</x:v>
      </x:c>
      <x:c r="Y233" s="28" t="n">
        <x:v>0.864865</x:v>
      </x:c>
      <x:c r="Z233" s="28" t="n">
        <x:v>0.682635</x:v>
      </x:c>
      <x:c r="AA233" s="28" t="str">
        <x:v>Medium</x:v>
      </x:c>
      <x:c r="AB233" s="28" t="str">
        <x:v>Pass</x:v>
      </x:c>
      <x:c r="AC233" s="28" t="str">
        <x:v>Pending human review</x:v>
      </x:c>
      <x:c r="AD233" s="28" t="str"/>
      <x:c r="AE233" s="28" t="n">
        <x:v>46238.87231481481</x:v>
      </x:c>
    </x:row>
    <x:row r="234" ht="60" customHeight="1">
      <x:c r="A234" s="28" t="str">
        <x:v>ANC-JAM-015-ASP</x:v>
      </x:c>
      <x:c r="B234" s="28" t="str">
        <x:v>JAM-015</x:v>
      </x:c>
      <x:c r="C234" s="28" t="str">
        <x:v>DOC-JAM-WC-2026</x:v>
      </x:c>
      <x:c r="D234" s="28" t="str">
        <x:v>Aspiration</x:v>
      </x:c>
      <x:c r="E234" s="28" t="str">
        <x:v>Text Span</x:v>
      </x:c>
      <x:c r="F234" s="28" t="str">
        <x:v>JAM-015</x:v>
      </x:c>
      <x:c r="G234" s="28" t="str">
        <x:v>PDF p. 7, Section 3.2</x:v>
      </x:c>
      <x:c r="H234" s="28" t="n">
        <x:v>7</x:v>
      </x:c>
      <x:c r="I234" s="28" t="n">
        <x:v>7</x:v>
      </x:c>
      <x:c r="J234" s="28" t="n">
        <x:v>7</x:v>
      </x:c>
      <x:c r="K234" s="28" t="str">
        <x:v>7</x:v>
      </x:c>
      <x:c r="L234" s="28" t="str">
        <x:v>Institutional reform section</x:v>
      </x:c>
      <x:c r="M234" s="28" t="str">
        <x:v>Water Resources Authority (WRA), the water abstraction regulator, to ensure the iii) optimal use of the country’s water resources.</x:v>
      </x:c>
      <x:c r="N234" s="28" t="str">
        <x:v>water resource authority wra the water abstraction regulator to ensure the iii optimal use of the country water resource</x:v>
      </x:c>
      <x:c r="O234" s="28" t="str">
        <x:v>1d2a457f77ee91990e578bd5ef20845130df77278b8a7f5aa8504acc725ad60e</x:v>
      </x:c>
      <x:c r="P234" s="28" t="str"/>
      <x:c r="Q234" s="28" t="str"/>
      <x:c r="R234" s="28" t="str">
        <x:v>[[1673,1752],[1668,1672],[1753,1798]]</x:v>
      </x:c>
      <x:c r="S234" s="28" t="str">
        <x:v>Reused verified PDF-token span from candidate anchor</x:v>
      </x:c>
      <x:c r="T234" s="28" t="str">
        <x:v>Original Compact Text</x:v>
      </x:c>
      <x:c r="U234" s="28" t="str">
        <x:v>WRA abstraction regulation</x:v>
      </x:c>
      <x:c r="V234" s="28" t="n">
        <x:v>0.719156</x:v>
      </x:c>
      <x:c r="W234" s="28" t="n">
        <x:v>0.767568</x:v>
      </x:c>
      <x:c r="X234" s="28" t="n">
        <x:v>1</x:v>
      </x:c>
      <x:c r="Y234" s="28" t="n">
        <x:v>0.622807</x:v>
      </x:c>
      <x:c r="Z234" s="28" t="n">
        <x:v>0.588235</x:v>
      </x:c>
      <x:c r="AA234" s="28" t="str">
        <x:v>Medium</x:v>
      </x:c>
      <x:c r="AB234" s="28" t="str">
        <x:v>Pass</x:v>
      </x:c>
      <x:c r="AC234" s="28" t="str">
        <x:v>Pending human review</x:v>
      </x:c>
      <x:c r="AD234" s="28" t="str"/>
      <x:c r="AE234" s="28" t="n">
        <x:v>46238.87231481481</x:v>
      </x:c>
    </x:row>
    <x:row r="235" ht="60" customHeight="1">
      <x:c r="A235" s="28" t="str">
        <x:v>ANC-JAM-016-ASP</x:v>
      </x:c>
      <x:c r="B235" s="28" t="str">
        <x:v>JAM-016</x:v>
      </x:c>
      <x:c r="C235" s="28" t="str">
        <x:v>DOC-JAM-WC-2026</x:v>
      </x:c>
      <x:c r="D235" s="28" t="str">
        <x:v>Aspiration</x:v>
      </x:c>
      <x:c r="E235" s="28" t="str">
        <x:v>Text Span</x:v>
      </x:c>
      <x:c r="F235" s="28" t="str">
        <x:v>JAM-016</x:v>
      </x:c>
      <x:c r="G235" s="28" t="str">
        <x:v>PDF p. 7, Section 3.2</x:v>
      </x:c>
      <x:c r="H235" s="28" t="n">
        <x:v>7</x:v>
      </x:c>
      <x:c r="I235" s="28" t="n">
        <x:v>7</x:v>
      </x:c>
      <x:c r="J235" s="28" t="n">
        <x:v>7</x:v>
      </x:c>
      <x:c r="K235" s="28" t="str">
        <x:v>7</x:v>
      </x:c>
      <x:c r="L235" s="28" t="str">
        <x:v>Institutional reform section</x:v>
      </x:c>
      <x:c r="M235" s="28" t="str">
        <x:v>Ministry of Health, to provide effective oversight of drinking water quality and iv) the use of sanitation facilities.</x:v>
      </x:c>
      <x:c r="N235" s="28" t="str">
        <x:v>ministry of health to provide effective oversight of drink water quality and iv the use of sanitation facility</x:v>
      </x:c>
      <x:c r="O235" s="28" t="str">
        <x:v>2ec668a79fa5af3616b662f2c25548560054853442d5a3db5851079934fe0030</x:v>
      </x:c>
      <x:c r="P235" s="28" t="str"/>
      <x:c r="Q235" s="28" t="str"/>
      <x:c r="R235" s="28" t="str">
        <x:v>[[1803,1883],[1799,1802],[1884,1917]]</x:v>
      </x:c>
      <x:c r="S235" s="28" t="str">
        <x:v>Reused verified PDF-token span from candidate anchor</x:v>
      </x:c>
      <x:c r="T235" s="28" t="str">
        <x:v>Standardized Candidate</x:v>
      </x:c>
      <x:c r="U235" s="28" t="str">
        <x:v>Strengthen Ministry of Health oversight of drinking water and sanitation</x:v>
      </x:c>
      <x:c r="V235" s="28" t="n">
        <x:v>0.815529</x:v>
      </x:c>
      <x:c r="W235" s="28" t="n">
        <x:v>0.838899</x:v>
      </x:c>
      <x:c r="X235" s="28" t="n">
        <x:v>0.722503</x:v>
      </x:c>
      <x:c r="Y235" s="28" t="n">
        <x:v>1</x:v>
      </x:c>
      <x:c r="Z235" s="28" t="n">
        <x:v>0.648045</x:v>
      </x:c>
      <x:c r="AA235" s="28" t="str">
        <x:v>High</x:v>
      </x:c>
      <x:c r="AB235" s="28" t="str">
        <x:v>Pass</x:v>
      </x:c>
      <x:c r="AC235" s="28" t="str">
        <x:v>Pending human review</x:v>
      </x:c>
      <x:c r="AD235" s="28" t="str"/>
      <x:c r="AE235" s="28" t="n">
        <x:v>46238.87231481481</x:v>
      </x:c>
    </x:row>
    <x:row r="236" ht="60" customHeight="1">
      <x:c r="A236" s="28" t="str">
        <x:v>ANC-JAM-016-MECH-01</x:v>
      </x:c>
      <x:c r="B236" s="28" t="str">
        <x:v>JAM-016</x:v>
      </x:c>
      <x:c r="C236" s="28" t="str">
        <x:v>DOC-JAM-WC-2026</x:v>
      </x:c>
      <x:c r="D236" s="28" t="str">
        <x:v>Explicit Mechanism</x:v>
      </x:c>
      <x:c r="E236" s="28" t="str">
        <x:v>Text Span</x:v>
      </x:c>
      <x:c r="F236" s="28" t="str">
        <x:v>JAM-023</x:v>
      </x:c>
      <x:c r="G236" s="28" t="str">
        <x:v>PDF p. 9, Section 3.4</x:v>
      </x:c>
      <x:c r="H236" s="28" t="n">
        <x:v>9</x:v>
      </x:c>
      <x:c r="I236" s="28" t="n">
        <x:v>9</x:v>
      </x:c>
      <x:c r="J236" s="28" t="n">
        <x:v>9</x:v>
      </x:c>
      <x:c r="K236" s="28" t="str">
        <x:v>9</x:v>
      </x:c>
      <x:c r="L236" s="28" t="str">
        <x:v>Policy and governance reform list</x:v>
      </x:c>
      <x:c r="M236" s="28" t="str">
        <x:v>• Establishing legislation that recognizes the role of the Ministry of Health in regulating drinking, and addresses surveillance and monitoring of drinking water supplies.</x:v>
      </x:c>
      <x:c r="N236" s="28" t="str">
        <x:v>establish legislation that recognize the role of the ministry of health in regulat drink and addresse surveillance and monitor of drink water supply</x:v>
      </x:c>
      <x:c r="O236" s="28" t="str">
        <x:v>d76abdd045f1748f0de0b7988b5690c7e65c97d60305db318602203eefe7991d</x:v>
      </x:c>
      <x:c r="P236" s="28" t="str"/>
      <x:c r="Q236" s="28" t="str"/>
      <x:c r="R236" s="28" t="str">
        <x:v>[[584,585],[586,664],[665,745],[746,755]]</x:v>
      </x:c>
      <x:c r="S236" s="28" t="str">
        <x:v>Linked candidate's verified PDF-token span</x:v>
      </x:c>
      <x:c r="T236" s="28" t="str">
        <x:v>Original Compact Text</x:v>
      </x:c>
      <x:c r="U236" s="28" t="str">
        <x:v>Legislation recognizing MoH regulatory role</x:v>
      </x:c>
      <x:c r="V236" s="28" t="n">
        <x:v>0.597047</x:v>
      </x:c>
      <x:c r="W236" s="28" t="n">
        <x:v>0.544583</x:v>
      </x:c>
      <x:c r="X236" s="28" t="n">
        <x:v>0.837758</x:v>
      </x:c>
      <x:c r="Y236" s="28" t="n">
        <x:v>0.403409</x:v>
      </x:c>
      <x:c r="Z236" s="28" t="n">
        <x:v>0.746667</x:v>
      </x:c>
      <x:c r="AA236" s="28" t="str">
        <x:v>Medium</x:v>
      </x:c>
      <x:c r="AB236" s="28" t="str">
        <x:v>Pass</x:v>
      </x:c>
      <x:c r="AC236" s="28" t="str">
        <x:v>Pending human review</x:v>
      </x:c>
      <x:c r="AD236" s="28" t="str"/>
      <x:c r="AE236" s="28" t="n">
        <x:v>46238.87231481481</x:v>
      </x:c>
    </x:row>
    <x:row r="237" ht="60" customHeight="1">
      <x:c r="A237" s="28" t="str">
        <x:v>ANC-JAM-017-ASP</x:v>
      </x:c>
      <x:c r="B237" s="28" t="str">
        <x:v>JAM-017</x:v>
      </x:c>
      <x:c r="C237" s="28" t="str">
        <x:v>DOC-JAM-WC-2026</x:v>
      </x:c>
      <x:c r="D237" s="28" t="str">
        <x:v>Aspiration</x:v>
      </x:c>
      <x:c r="E237" s="28" t="str">
        <x:v>Text Span</x:v>
      </x:c>
      <x:c r="F237" s="28" t="str">
        <x:v>JAM-017</x:v>
      </x:c>
      <x:c r="G237" s="28" t="str">
        <x:v>PDF p. 7, Section 3.2</x:v>
      </x:c>
      <x:c r="H237" s="28" t="n">
        <x:v>7</x:v>
      </x:c>
      <x:c r="I237" s="28" t="n">
        <x:v>7</x:v>
      </x:c>
      <x:c r="J237" s="28" t="n">
        <x:v>7</x:v>
      </x:c>
      <x:c r="K237" s="28" t="str">
        <x:v>7</x:v>
      </x:c>
      <x:c r="L237" s="28" t="str">
        <x:v>Institutional reform section</x:v>
      </x:c>
      <x:c r="M237" s="28" t="str">
        <x:v>(e) Strengthening data systems, monitoring, and analytical capacity to support evidence- based water management.</x:v>
      </x:c>
      <x:c r="N237" s="28" t="str">
        <x:v>e strengthen data system monitor and analytical capacity to support evidence bas water management</x:v>
      </x:c>
      <x:c r="O237" s="28" t="str">
        <x:v>f418a1045fd6658bfb08bf074d4038c0844870f5f67f6d62bfb35c005535a590</x:v>
      </x:c>
      <x:c r="P237" s="28" t="str"/>
      <x:c r="Q237" s="28" t="str"/>
      <x:c r="R237" s="28" t="str">
        <x:v>[[1918,2006],[2007,2030]]</x:v>
      </x:c>
      <x:c r="S237" s="28" t="str">
        <x:v>Reused verified PDF-token span from candidate anchor</x:v>
      </x:c>
      <x:c r="T237" s="28" t="str">
        <x:v>Standardized Candidate</x:v>
      </x:c>
      <x:c r="U237" s="28" t="str">
        <x:v>Strengthen sector data systems, monitoring, and analytical capacity</x:v>
      </x:c>
      <x:c r="V237" s="28" t="n">
        <x:v>0.971558</x:v>
      </x:c>
      <x:c r="W237" s="28" t="n">
        <x:v>1</x:v>
      </x:c>
      <x:c r="X237" s="28" t="n">
        <x:v>1</x:v>
      </x:c>
      <x:c r="Y237" s="28" t="n">
        <x:v>1</x:v>
      </x:c>
      <x:c r="Z237" s="28" t="n">
        <x:v>0.923077</x:v>
      </x:c>
      <x:c r="AA237" s="28" t="str">
        <x:v>High</x:v>
      </x:c>
      <x:c r="AB237" s="28" t="str">
        <x:v>Pass</x:v>
      </x:c>
      <x:c r="AC237" s="28" t="str">
        <x:v>Pending human review</x:v>
      </x:c>
      <x:c r="AD237" s="28" t="str"/>
      <x:c r="AE237" s="28" t="n">
        <x:v>46238.87231481481</x:v>
      </x:c>
    </x:row>
    <x:row r="238" ht="60" customHeight="1">
      <x:c r="A238" s="28" t="str">
        <x:v>ANC-JAM-017-MECH-01</x:v>
      </x:c>
      <x:c r="B238" s="28" t="str">
        <x:v>JAM-017</x:v>
      </x:c>
      <x:c r="C238" s="28" t="str">
        <x:v>DOC-JAM-WC-2026</x:v>
      </x:c>
      <x:c r="D238" s="28" t="str">
        <x:v>Explicit Mechanism</x:v>
      </x:c>
      <x:c r="E238" s="28" t="str">
        <x:v>Text Span</x:v>
      </x:c>
      <x:c r="F238" s="28" t="str">
        <x:v>JAM-002</x:v>
      </x:c>
      <x:c r="G238" s="28" t="str">
        <x:v>PDF p. 4, Section 2.2</x:v>
      </x:c>
      <x:c r="H238" s="28" t="n">
        <x:v>4</x:v>
      </x:c>
      <x:c r="I238" s="28" t="n">
        <x:v>4</x:v>
      </x:c>
      <x:c r="J238" s="28" t="n">
        <x:v>4</x:v>
      </x:c>
      <x:c r="K238" s="28" t="str">
        <x:v>4</x:v>
      </x:c>
      <x:c r="L238" s="28" t="str">
        <x:v>Target narrative</x:v>
      </x:c>
      <x:c r="M238" s="28" t="str">
        <x:v>This will be done to ensure accurate assessment of safe yield and climate change impacts Data Automation: It is planned to transition data collection from remote devices ii) to more labor-efficient, automated hydrological data collection systems using radar gauges and real-time monitoring.</x:v>
      </x:c>
      <x:c r="N238" s="28" t="str">
        <x:v>this will be done to ensure accurate assessment of safe yield and climate change impact data automation it is plann to transition data collection from remote device ii to more laborefficient automat hydrological data collection system using radar gauge and realtime monitor</x:v>
      </x:c>
      <x:c r="O238" s="28" t="str">
        <x:v>b672320c06b3bf5d7acf4ace95eb7b5179772dec69c0103473632a7d3c56a98e</x:v>
      </x:c>
      <x:c r="P238" s="28" t="str"/>
      <x:c r="Q238" s="28" t="str"/>
      <x:c r="R238" s="28" t="str">
        <x:v>[[137,164],[165,225],[230,310],[226,229],[311,388],[389,427]]</x:v>
      </x:c>
      <x:c r="S238" s="28" t="str">
        <x:v>Linked candidate's verified PDF-token span</x:v>
      </x:c>
      <x:c r="T238" s="28" t="str">
        <x:v>Original Compact Text</x:v>
      </x:c>
      <x:c r="U238" s="28" t="str">
        <x:v>Automated hydrological data systems</x:v>
      </x:c>
      <x:c r="V238" s="28" t="n">
        <x:v>0.972173</x:v>
      </x:c>
      <x:c r="W238" s="28" t="n">
        <x:v>0.952871</x:v>
      </x:c>
      <x:c r="X238" s="28" t="n">
        <x:v>0.909984</x:v>
      </x:c>
      <x:c r="Y238" s="28" t="n">
        <x:v>1</x:v>
      </x:c>
      <x:c r="Z238" s="28" t="n">
        <x:v>0.853333</x:v>
      </x:c>
      <x:c r="AA238" s="28" t="str">
        <x:v>High</x:v>
      </x:c>
      <x:c r="AB238" s="28" t="str">
        <x:v>Pass</x:v>
      </x:c>
      <x:c r="AC238" s="28" t="str">
        <x:v>Pending human review</x:v>
      </x:c>
      <x:c r="AD238" s="28" t="str"/>
      <x:c r="AE238" s="28" t="n">
        <x:v>46238.87231481481</x:v>
      </x:c>
    </x:row>
    <x:row r="239" ht="60" customHeight="1">
      <x:c r="A239" s="28" t="str">
        <x:v>ANC-JAM-017-MECH-02</x:v>
      </x:c>
      <x:c r="B239" s="28" t="str">
        <x:v>JAM-017</x:v>
      </x:c>
      <x:c r="C239" s="28" t="str">
        <x:v>DOC-JAM-WC-2026</x:v>
      </x:c>
      <x:c r="D239" s="28" t="str">
        <x:v>Explicit Mechanism</x:v>
      </x:c>
      <x:c r="E239" s="28" t="str">
        <x:v>Text Span</x:v>
      </x:c>
      <x:c r="F239" s="28" t="str">
        <x:v>JAM-024</x:v>
      </x:c>
      <x:c r="G239" s="28" t="str">
        <x:v>PDF p. 9, Section 4</x:v>
      </x:c>
      <x:c r="H239" s="28" t="n">
        <x:v>9</x:v>
      </x:c>
      <x:c r="I239" s="28" t="n">
        <x:v>9</x:v>
      </x:c>
      <x:c r="J239" s="28" t="n">
        <x:v>9</x:v>
      </x:c>
      <x:c r="K239" s="28" t="str">
        <x:v>9</x:v>
      </x:c>
      <x:c r="L239" s="28" t="str">
        <x:v>Implementation monitoring</x:v>
      </x:c>
      <x:c r="M239" s="28" t="str">
        <x:v>4 Implementation Monitoring The Ministry of Water, Environment and Climate Change will monitor the progress of implementing the Water Compact, largely based on the monitoring and evaluation framework (M&amp;E Framework) that was developed following the promulgation of the 2019 Water Policy. This M&amp;E Framework will be refined to further allow policy learning and mid-course correction.</x:v>
      </x:c>
      <x:c r="N239" s="28" t="str">
        <x:v>4 implementation monitor the ministry of water environment and climate change will monitor the progress of implement the water compact largely bas on the monitor and evaluation framework m e framework that was develop follow the promulgation of the 2019 water policy this m e framework will be refin to further allow policy learn and midcourse correction</x:v>
      </x:c>
      <x:c r="O239" s="28" t="str">
        <x:v>042c1320d6356fba5b3ceb4dd788cec11f0df87df4285dc7126e94559d8c81e3</x:v>
      </x:c>
      <x:c r="P239" s="28" t="str"/>
      <x:c r="Q239" s="28" t="str"/>
      <x:c r="R239" s="28" t="str">
        <x:v>[[756,757],[758,783],[784,866],[867,955],[956,1043],[1044,1138]]</x:v>
      </x:c>
      <x:c r="S239" s="28" t="str">
        <x:v>Linked candidate's verified PDF-token span</x:v>
      </x:c>
      <x:c r="T239" s="28" t="str">
        <x:v>Original Compact Text</x:v>
      </x:c>
      <x:c r="U239" s="28" t="str">
        <x:v>Refine Water Policy M&amp;E Framework</x:v>
      </x:c>
      <x:c r="V239" s="28" t="n">
        <x:v>0.803088</x:v>
      </x:c>
      <x:c r="W239" s="28" t="n">
        <x:v>0.820809</x:v>
      </x:c>
      <x:c r="X239" s="28" t="n">
        <x:v>1</x:v>
      </x:c>
      <x:c r="Y239" s="28" t="n">
        <x:v>0.696078</x:v>
      </x:c>
      <x:c r="Z239" s="28" t="n">
        <x:v>0.793651</x:v>
      </x:c>
      <x:c r="AA239" s="28" t="str">
        <x:v>High</x:v>
      </x:c>
      <x:c r="AB239" s="28" t="str">
        <x:v>Pass</x:v>
      </x:c>
      <x:c r="AC239" s="28" t="str">
        <x:v>Pending human review</x:v>
      </x:c>
      <x:c r="AD239" s="28" t="str"/>
      <x:c r="AE239" s="28" t="n">
        <x:v>46238.87231481481</x:v>
      </x:c>
    </x:row>
    <x:row r="240" ht="60" customHeight="1">
      <x:c r="A240" s="28" t="str">
        <x:v>ANC-JAM-017-MECH-03</x:v>
      </x:c>
      <x:c r="B240" s="28" t="str">
        <x:v>JAM-017</x:v>
      </x:c>
      <x:c r="C240" s="28" t="str">
        <x:v>DOC-JAM-WC-2026</x:v>
      </x:c>
      <x:c r="D240" s="28" t="str">
        <x:v>Explicit Mechanism</x:v>
      </x:c>
      <x:c r="E240" s="28" t="str">
        <x:v>Text Span</x:v>
      </x:c>
      <x:c r="F240" s="28" t="str">
        <x:v>JAM-027</x:v>
      </x:c>
      <x:c r="G240" s="28" t="str">
        <x:v>PDF p. 10, Section 4</x:v>
      </x:c>
      <x:c r="H240" s="28" t="n">
        <x:v>10</x:v>
      </x:c>
      <x:c r="I240" s="28" t="n">
        <x:v>10</x:v>
      </x:c>
      <x:c r="J240" s="28" t="n">
        <x:v>10</x:v>
      </x:c>
      <x:c r="K240" s="28" t="str">
        <x:v>10</x:v>
      </x:c>
      <x:c r="L240" s="28" t="str">
        <x:v>Implementation monitoring</x:v>
      </x:c>
      <x:c r="M240" s="28" t="str">
        <x:v>It is planned to enhance data integration among key Ministries, Department and Agencies such as MWECC, MSETT, MoFP, NWC, RWSL, WRA, NEPA.</x:v>
      </x:c>
      <x:c r="N240" s="28" t="str">
        <x:v>it is plann to enhance data integration among key ministry department and agency such as mwecc msett mofp nwc rwsl wra nepa</x:v>
      </x:c>
      <x:c r="O240" s="28" t="str">
        <x:v>effebdbd8071870ecfaf0d18fad7730af20bdf6796da641896d5045c6d8eb788</x:v>
      </x:c>
      <x:c r="P240" s="28" t="str"/>
      <x:c r="Q240" s="28" t="str"/>
      <x:c r="R240" s="28" t="str">
        <x:v>[[0,92],[93,137]]</x:v>
      </x:c>
      <x:c r="S240" s="28" t="str">
        <x:v>Linked candidate's verified PDF-token span</x:v>
      </x:c>
      <x:c r="T240" s="28" t="str">
        <x:v>Original Compact Text</x:v>
      </x:c>
      <x:c r="U240" s="28" t="str">
        <x:v>Enhance inter-agency data integration</x:v>
      </x:c>
      <x:c r="V240" s="28" t="n">
        <x:v>0.806445</x:v>
      </x:c>
      <x:c r="W240" s="28" t="n">
        <x:v>0.820312</x:v>
      </x:c>
      <x:c r="X240" s="28" t="n">
        <x:v>1</x:v>
      </x:c>
      <x:c r="Y240" s="28" t="n">
        <x:v>0.695364</x:v>
      </x:c>
      <x:c r="Z240" s="28" t="n">
        <x:v>0.761905</x:v>
      </x:c>
      <x:c r="AA240" s="28" t="str">
        <x:v>High</x:v>
      </x:c>
      <x:c r="AB240" s="28" t="str">
        <x:v>Pass</x:v>
      </x:c>
      <x:c r="AC240" s="28" t="str">
        <x:v>Pending human review</x:v>
      </x:c>
      <x:c r="AD240" s="28" t="str"/>
      <x:c r="AE240" s="28" t="n">
        <x:v>46238.87231481481</x:v>
      </x:c>
    </x:row>
    <x:row r="241" ht="60" customHeight="1">
      <x:c r="A241" s="28" t="str">
        <x:v>ANC-JAM-028-ASP</x:v>
      </x:c>
      <x:c r="B241" s="28" t="str">
        <x:v>JAM-028</x:v>
      </x:c>
      <x:c r="C241" s="28" t="str">
        <x:v>DOC-JAM-WC-2026</x:v>
      </x:c>
      <x:c r="D241" s="28" t="str">
        <x:v>Aspiration</x:v>
      </x:c>
      <x:c r="E241" s="28" t="str">
        <x:v>Text Span</x:v>
      </x:c>
      <x:c r="F241" s="28" t="str">
        <x:v>JAM-028</x:v>
      </x:c>
      <x:c r="G241" s="28" t="str">
        <x:v>PDF p. 10, Section 5</x:v>
      </x:c>
      <x:c r="H241" s="28" t="n">
        <x:v>10</x:v>
      </x:c>
      <x:c r="I241" s="28" t="n">
        <x:v>10</x:v>
      </x:c>
      <x:c r="J241" s="28" t="n">
        <x:v>10</x:v>
      </x:c>
      <x:c r="K241" s="28" t="str">
        <x:v>10</x:v>
      </x:c>
      <x:c r="L241" s="28" t="str">
        <x:v>Government commitment</x:v>
      </x:c>
      <x:c r="M241" s="28" t="str">
        <x:v>We will foster an environment of stakeholder participation, ensuring that women, youth, and vulnerable groups have a voice in water management.</x:v>
      </x:c>
      <x:c r="N241" s="28" t="str">
        <x:v>we will foster an environment of stakeholder participation ensur that women youth and vulnerable group have a voice in water management</x:v>
      </x:c>
      <x:c r="O241" s="28" t="str">
        <x:v>907a1bb9ea874cac464769bb00d5a19e06690be6ed91334c9bd9e6088b7700a5</x:v>
      </x:c>
      <x:c r="P241" s="28" t="str"/>
      <x:c r="Q241" s="28" t="str"/>
      <x:c r="R241" s="28" t="str">
        <x:v>[[350,430],[431,493]]</x:v>
      </x:c>
      <x:c r="S241" s="28" t="str">
        <x:v>Reused verified PDF-token span from candidate anchor</x:v>
      </x:c>
      <x:c r="T241" s="28" t="str">
        <x:v>Original Compact Text</x:v>
      </x:c>
      <x:c r="U241" s="28" t="str">
        <x:v>Women, youth and vulnerable voices</x:v>
      </x:c>
      <x:c r="V241" s="28" t="n">
        <x:v>0.950882</x:v>
      </x:c>
      <x:c r="W241" s="28" t="n">
        <x:v>0.948646</x:v>
      </x:c>
      <x:c r="X241" s="28" t="n">
        <x:v>0.902309</x:v>
      </x:c>
      <x:c r="Y241" s="28" t="n">
        <x:v>1</x:v>
      </x:c>
      <x:c r="Z241" s="28" t="n">
        <x:v>0.831169</x:v>
      </x:c>
      <x:c r="AA241" s="28" t="str">
        <x:v>High</x:v>
      </x:c>
      <x:c r="AB241" s="28" t="str">
        <x:v>Pass</x:v>
      </x:c>
      <x:c r="AC241" s="28" t="str">
        <x:v>Pending human review</x:v>
      </x:c>
      <x:c r="AD241" s="28" t="str"/>
      <x:c r="AE241" s="28" t="n">
        <x:v>46238.87231481481</x:v>
      </x:c>
    </x:row>
    <x:row r="242" ht="60" customHeight="1">
      <x:c r="A242" s="28" t="str">
        <x:v>ANC-JAM-029-ASP</x:v>
      </x:c>
      <x:c r="B242" s="28" t="str">
        <x:v>JAM-029</x:v>
      </x:c>
      <x:c r="C242" s="28" t="str">
        <x:v>DOC-JAM-WC-2026</x:v>
      </x:c>
      <x:c r="D242" s="28" t="str">
        <x:v>Aspiration</x:v>
      </x:c>
      <x:c r="E242" s="28" t="str">
        <x:v>Text Span</x:v>
      </x:c>
      <x:c r="F242" s="28" t="str">
        <x:v>JAM-029</x:v>
      </x:c>
      <x:c r="G242" s="28" t="str">
        <x:v>PDF p. 2, overall target</x:v>
      </x:c>
      <x:c r="H242" s="28" t="n">
        <x:v>2</x:v>
      </x:c>
      <x:c r="I242" s="28" t="n">
        <x:v>2</x:v>
      </x:c>
      <x:c r="J242" s="28" t="n">
        <x:v>2</x:v>
      </x:c>
      <x:c r="K242" s="28" t="str">
        <x:v>2</x:v>
      </x:c>
      <x:c r="L242" s="28" t="str">
        <x:v>Reform aspiration</x:v>
      </x:c>
      <x:c r="M242" s="28" t="str">
        <x:v>1 Overall Target Statement As stated in the 2019 Water Policy, GOJ aims to achieve universal access to safe, reliable, and affordable potable water and adequate sanitation by 2030.</x:v>
      </x:c>
      <x:c r="N242" s="28" t="str">
        <x:v>1 overall target statement as stat in the 2019 water policy goj aims to achieve universal access to safe reliable and affordable potable water and adequate sanitation by 2030</x:v>
      </x:c>
      <x:c r="O242" s="28" t="str">
        <x:v>7ea9e02bfbd6d1d3c5b0c4651abcd7165af670ed62787be659077048b25d52bf</x:v>
      </x:c>
      <x:c r="P242" s="28" t="str"/>
      <x:c r="Q242" s="28" t="str"/>
      <x:c r="R242" s="28" t="str">
        <x:v>[[1225,1226],[1227,1251],[1252,1347],[1348,1405]]</x:v>
      </x:c>
      <x:c r="S242" s="28" t="str">
        <x:v>Reused verified PDF-token span from candidate anchor</x:v>
      </x:c>
      <x:c r="T242" s="28" t="str">
        <x:v>Original Compact Text</x:v>
      </x:c>
      <x:c r="U242" s="28" t="str">
        <x:v>Universal safe and affordable water</x:v>
      </x:c>
      <x:c r="V242" s="28" t="n">
        <x:v>0.903637</x:v>
      </x:c>
      <x:c r="W242" s="28" t="n">
        <x:v>0.887064</x:v>
      </x:c>
      <x:c r="X242" s="28" t="n">
        <x:v>0.797048</x:v>
      </x:c>
      <x:c r="Y242" s="28" t="n">
        <x:v>1</x:v>
      </x:c>
      <x:c r="Z242" s="28" t="n">
        <x:v>0.698795</x:v>
      </x:c>
      <x:c r="AA242" s="28" t="str">
        <x:v>High</x:v>
      </x:c>
      <x:c r="AB242" s="28" t="str">
        <x:v>Pass</x:v>
      </x:c>
      <x:c r="AC242" s="28" t="str">
        <x:v>Pending human review</x:v>
      </x:c>
      <x:c r="AD242" s="28" t="str"/>
      <x:c r="AE242" s="28" t="n">
        <x:v>46238.87231481481</x:v>
      </x:c>
    </x:row>
    <x:row r="243" ht="60" customHeight="1">
      <x:c r="A243" s="28" t="str">
        <x:v>ANC-JAM-030-ASP</x:v>
      </x:c>
      <x:c r="B243" s="28" t="str">
        <x:v>JAM-030</x:v>
      </x:c>
      <x:c r="C243" s="28" t="str">
        <x:v>DOC-JAM-WC-2026</x:v>
      </x:c>
      <x:c r="D243" s="28" t="str">
        <x:v>Aspiration</x:v>
      </x:c>
      <x:c r="E243" s="28" t="str">
        <x:v>Table Cell/Row</x:v>
      </x:c>
      <x:c r="F243" s="28" t="str">
        <x:v>JAM-030</x:v>
      </x:c>
      <x:c r="G243" s="28" t="str">
        <x:v>PDF p. 5, Section 2.3</x:v>
      </x:c>
      <x:c r="H243" s="28" t="n">
        <x:v>5</x:v>
      </x:c>
      <x:c r="I243" s="28" t="n">
        <x:v>5</x:v>
      </x:c>
      <x:c r="J243" s="28" t="n">
        <x:v>5</x:v>
      </x:c>
      <x:c r="K243" s="28" t="str">
        <x:v>5</x:v>
      </x:c>
      <x:c r="L243" s="28" t="str">
        <x:v>Target table/narrative</x:v>
      </x:c>
      <x:c r="M243" s="28" t="str">
        <x:v>(a) Reducing NWC’s non-revenue water (NRW) levels from its current 75% of water production to at most 65% by 2030, through proactive and sustained NRW activities. By 2040, the target is to reduce NRW to at most 30% throughout NWC’s operations. This</x:v>
      </x:c>
      <x:c r="N243" s="28" t="str">
        <x:v>a reduc nwcs nonrevenue water nrw level from its current 75 of water production to at most 65 by 2030 through proactive and sustain nrw activity by 2040 the target is to reduce nrw to at most 30 throughout nwcs operation this</x:v>
      </x:c>
      <x:c r="O243" s="28" t="str">
        <x:v>03468372c6209dbb0e9e4ebdde57dc6f38140b26b20728c4952b6161b496cf7f</x:v>
      </x:c>
      <x:c r="P243" s="28" t="str"/>
      <x:c r="Q243" s="28" t="str"/>
      <x:c r="R243" s="28" t="str">
        <x:v>[[125,204],[205,290],[291,373]]</x:v>
      </x:c>
      <x:c r="S243" s="28" t="str">
        <x:v>Reused verified PDF-token span from candidate anchor</x:v>
      </x:c>
      <x:c r="T243" s="28" t="str">
        <x:v>Verified PDF locator hint</x:v>
      </x:c>
      <x:c r="U243" s="28" t="str">
        <x:v>Reducing NWC’s non-revenue water (NRW) levels from its current 75% of water production to at most 65% by 2030, through proactive and sustained NRW activities. By 2040, the target is to reduce NRW to at most 30% throughout NWC’s operations.</x:v>
      </x:c>
      <x:c r="V243" s="28" t="n">
        <x:v>0.999</x:v>
      </x:c>
      <x:c r="W243" s="28" t="n">
        <x:v>1</x:v>
      </x:c>
      <x:c r="X243" s="28" t="n">
        <x:v>1</x:v>
      </x:c>
      <x:c r="Y243" s="28" t="n">
        <x:v>1</x:v>
      </x:c>
      <x:c r="Z243" s="28" t="n">
        <x:v>0.984199</x:v>
      </x:c>
      <x:c r="AA243" s="28" t="str">
        <x:v>High</x:v>
      </x:c>
      <x:c r="AB243" s="28" t="str">
        <x:v>Pass</x:v>
      </x:c>
      <x:c r="AC243" s="28" t="str">
        <x:v>Pending human review</x:v>
      </x:c>
      <x:c r="AD243" s="28" t="str"/>
      <x:c r="AE243" s="28" t="n">
        <x:v>46238.87231481481</x:v>
      </x:c>
    </x:row>
    <x:row r="244" ht="60" customHeight="1">
      <x:c r="A244" s="28" t="str">
        <x:v>ANC-JAM-031-ASP</x:v>
      </x:c>
      <x:c r="B244" s="28" t="str">
        <x:v>JAM-031</x:v>
      </x:c>
      <x:c r="C244" s="28" t="str">
        <x:v>DOC-JAM-WC-2026</x:v>
      </x:c>
      <x:c r="D244" s="28" t="str">
        <x:v>Aspiration</x:v>
      </x:c>
      <x:c r="E244" s="28" t="str">
        <x:v>Table Cell/Row</x:v>
      </x:c>
      <x:c r="F244" s="28" t="str">
        <x:v>JAM-031</x:v>
      </x:c>
      <x:c r="G244" s="28" t="str">
        <x:v>PDF p. 5, Section 2.3</x:v>
      </x:c>
      <x:c r="H244" s="28" t="n">
        <x:v>5</x:v>
      </x:c>
      <x:c r="I244" s="28" t="n">
        <x:v>5</x:v>
      </x:c>
      <x:c r="J244" s="28" t="n">
        <x:v>5</x:v>
      </x:c>
      <x:c r="K244" s="28" t="str">
        <x:v>5</x:v>
      </x:c>
      <x:c r="L244" s="28" t="str">
        <x:v>Target table/narrative</x:v>
      </x:c>
      <x:c r="M244" s="28" t="str">
        <x:v>(b) Improving energy efficiency and installing renewable energy systems, to contribute to the alignment of the water sector with the targets agreed for Nationally Appropriate Mitigation Actions for this sector (Water Sector NAMAs), which are the following:</x:v>
      </x:c>
      <x:c r="N244" s="28" t="str">
        <x:v>b improv energy efficiency and install renewable energy system to contribute to the alignment of the water sector with the target agre for nationally appropriate mitigation action for this sector water sector nama which are the follow</x:v>
      </x:c>
      <x:c r="O244" s="28" t="str">
        <x:v>fdaa3c7a01cd82816e5b53b5a2b1b1a850f04dcd38eccca2e2f8ce2552b5ac23</x:v>
      </x:c>
      <x:c r="P244" s="28" t="str"/>
      <x:c r="Q244" s="28" t="str"/>
      <x:c r="R244" s="28" t="str">
        <x:v>[[529,622],[623,703],[704,785]]</x:v>
      </x:c>
      <x:c r="S244" s="28" t="str">
        <x:v>Reused verified PDF-token span from candidate anchor</x:v>
      </x:c>
      <x:c r="T244" s="28" t="str">
        <x:v>Verified PDF locator hint</x:v>
      </x:c>
      <x:c r="U244" s="28" t="str">
        <x:v>Improving energy efficiency and installing renewable energy systems, to contribute to the alignment of the water sector with the targets agreed for Nationally Appropriate Mitigation Actions for this sector (Water Sector NAMAs), which are the following:</x:v>
      </x:c>
      <x:c r="V244" s="28" t="n">
        <x:v>0.999</x:v>
      </x:c>
      <x:c r="W244" s="28" t="n">
        <x:v>1</x:v>
      </x:c>
      <x:c r="X244" s="28" t="n">
        <x:v>1</x:v>
      </x:c>
      <x:c r="Y244" s="28" t="n">
        <x:v>1</x:v>
      </x:c>
      <x:c r="Z244" s="28" t="n">
        <x:v>0.995708</x:v>
      </x:c>
      <x:c r="AA244" s="28" t="str">
        <x:v>High</x:v>
      </x:c>
      <x:c r="AB244" s="28" t="str">
        <x:v>Pass</x:v>
      </x:c>
      <x:c r="AC244" s="28" t="str">
        <x:v>Pending human review</x:v>
      </x:c>
      <x:c r="AD244" s="28" t="str"/>
      <x:c r="AE244" s="28" t="n">
        <x:v>46238.87231481481</x:v>
      </x:c>
    </x:row>
    <x:row r="245" ht="60" customHeight="1">
      <x:c r="A245" s="28" t="str">
        <x:v>ANC-JAM-032-ASP</x:v>
      </x:c>
      <x:c r="B245" s="28" t="str">
        <x:v>JAM-032</x:v>
      </x:c>
      <x:c r="C245" s="28" t="str">
        <x:v>DOC-JAM-WC-2026</x:v>
      </x:c>
      <x:c r="D245" s="28" t="str">
        <x:v>Aspiration</x:v>
      </x:c>
      <x:c r="E245" s="28" t="str">
        <x:v>Table Cell/Row</x:v>
      </x:c>
      <x:c r="F245" s="28" t="str">
        <x:v>JAM-032</x:v>
      </x:c>
      <x:c r="G245" s="28" t="str">
        <x:v>PDF p. 5, Section 2.3</x:v>
      </x:c>
      <x:c r="H245" s="28" t="n">
        <x:v>5</x:v>
      </x:c>
      <x:c r="I245" s="28" t="n">
        <x:v>5</x:v>
      </x:c>
      <x:c r="J245" s="28" t="n">
        <x:v>5</x:v>
      </x:c>
      <x:c r="K245" s="28" t="str">
        <x:v>5</x:v>
      </x:c>
      <x:c r="L245" s="28" t="str">
        <x:v>Target table/narrative</x:v>
      </x:c>
      <x:c r="M245" s="28" t="str">
        <x:v>(c) Expanding sewerage coverage to increase persons connected to the sewer connection</x:v>
      </x:c>
      <x:c r="N245" s="28" t="str">
        <x:v>c expand sewerage coverage to increase person connect to the sewer connection</x:v>
      </x:c>
      <x:c r="O245" s="28" t="str">
        <x:v>a689141049ab6530b7a4a547b9a8c29de49b8de6c02168938f3c39b547427ed0</x:v>
      </x:c>
      <x:c r="P245" s="28" t="n">
        <x:v>1024</x:v>
      </x:c>
      <x:c r="Q245" s="28" t="n">
        <x:v>1109</x:v>
      </x:c>
      <x:c r="R245" s="28" t="str">
        <x:v>[[1024,1109]]</x:v>
      </x:c>
      <x:c r="S245" s="28" t="str">
        <x:v>Reused verified PDF-token span from candidate anchor</x:v>
      </x:c>
      <x:c r="T245" s="28" t="str">
        <x:v>Original Compact Text</x:v>
      </x:c>
      <x:c r="U245" s="28" t="str">
        <x:v>Expand sewerage coverage</x:v>
      </x:c>
      <x:c r="V245" s="28" t="n">
        <x:v>0.999</x:v>
      </x:c>
      <x:c r="W245" s="28" t="n">
        <x:v>0.753363</x:v>
      </x:c>
      <x:c r="X245" s="28" t="n">
        <x:v>0.604317</x:v>
      </x:c>
      <x:c r="Y245" s="28" t="n">
        <x:v>1</x:v>
      </x:c>
      <x:c r="Z245" s="28" t="n">
        <x:v>0.475248</x:v>
      </x:c>
      <x:c r="AA245" s="28" t="str">
        <x:v>High</x:v>
      </x:c>
      <x:c r="AB245" s="28" t="str">
        <x:v>Pass</x:v>
      </x:c>
      <x:c r="AC245" s="28" t="str">
        <x:v>Pending human review</x:v>
      </x:c>
      <x:c r="AD245" s="28" t="str"/>
      <x:c r="AE245" s="28" t="n">
        <x:v>46238.87231481481</x:v>
      </x:c>
    </x:row>
    <x:row r="246" ht="60" customHeight="1">
      <x:c r="A246" s="28" t="str">
        <x:v>ANC-JAM-039-ASP</x:v>
      </x:c>
      <x:c r="B246" s="28" t="str">
        <x:v>JAM-039</x:v>
      </x:c>
      <x:c r="C246" s="28" t="str">
        <x:v>DOC-JAM-WC-2026</x:v>
      </x:c>
      <x:c r="D246" s="28" t="str">
        <x:v>Aspiration</x:v>
      </x:c>
      <x:c r="E246" s="28" t="str">
        <x:v>Text Span</x:v>
      </x:c>
      <x:c r="F246" s="28" t="str">
        <x:v>JAM-039</x:v>
      </x:c>
      <x:c r="G246" s="28" t="str">
        <x:v>PDF p. 10, Section 5</x:v>
      </x:c>
      <x:c r="H246" s="28" t="n">
        <x:v>10</x:v>
      </x:c>
      <x:c r="I246" s="28" t="n">
        <x:v>10</x:v>
      </x:c>
      <x:c r="J246" s="28" t="n">
        <x:v>10</x:v>
      </x:c>
      <x:c r="K246" s="28" t="str">
        <x:v>10</x:v>
      </x:c>
      <x:c r="L246" s="28" t="str">
        <x:v>Government commitment</x:v>
      </x:c>
      <x:c r="M246" s="28" t="str">
        <x:v>youth, and vulnerable groups have a voice in water management. We commit to transparency and accountability in the execution of the Implementation Plan and the sustainable management</x:v>
      </x:c>
      <x:c r="N246" s="28" t="str">
        <x:v>youth and vulnerable group have a voice in water management we commit to transparency and accountability in the execution of the implementation plan and the sustainable management</x:v>
      </x:c>
      <x:c r="O246" s="28" t="str">
        <x:v>2c05b60b41ad3f419e960e7316d420838ba9091327575653a7e4659674cff7b5</x:v>
      </x:c>
      <x:c r="P246" s="28" t="str"/>
      <x:c r="Q246" s="28" t="str"/>
      <x:c r="R246" s="28" t="str">
        <x:v>[[431,519],[520,613]]</x:v>
      </x:c>
      <x:c r="S246" s="28" t="str">
        <x:v>Reused verified PDF-token span from candidate anchor</x:v>
      </x:c>
      <x:c r="T246" s="28" t="str">
        <x:v>Original Compact Text</x:v>
      </x:c>
      <x:c r="U246" s="28" t="str">
        <x:v>Transparency and accountability</x:v>
      </x:c>
      <x:c r="V246" s="28" t="n">
        <x:v>0.99</x:v>
      </x:c>
      <x:c r="W246" s="28" t="n">
        <x:v>0.578984</x:v>
      </x:c>
      <x:c r="X246" s="28" t="n">
        <x:v>0.407444</x:v>
      </x:c>
      <x:c r="Y246" s="28" t="n">
        <x:v>1</x:v>
      </x:c>
      <x:c r="Z246" s="28" t="n">
        <x:v>0.295238</x:v>
      </x:c>
      <x:c r="AA246" s="28" t="str">
        <x:v>High</x:v>
      </x:c>
      <x:c r="AB246" s="28" t="str">
        <x:v>Pass</x:v>
      </x:c>
      <x:c r="AC246" s="28" t="str">
        <x:v>Pending human review</x:v>
      </x:c>
      <x:c r="AD246" s="28" t="str"/>
      <x:c r="AE246" s="28" t="n">
        <x:v>46238.87231481481</x:v>
      </x:c>
    </x:row>
    <x:row r="247" ht="60" customHeight="1">
      <x:c r="A247" s="28" t="str">
        <x:v>ANC-SLE-002-ASP</x:v>
      </x:c>
      <x:c r="B247" s="28" t="str">
        <x:v>SLE-002</x:v>
      </x:c>
      <x:c r="C247" s="28" t="str">
        <x:v>DOC-SLE-WC-2026</x:v>
      </x:c>
      <x:c r="D247" s="28" t="str">
        <x:v>Aspiration</x:v>
      </x:c>
      <x:c r="E247" s="28" t="str">
        <x:v>Table Cell/Row</x:v>
      </x:c>
      <x:c r="F247" s="28" t="str">
        <x:v>SLE-002</x:v>
      </x:c>
      <x:c r="G247" s="28" t="str">
        <x:v>PDF p. 9, Table 1</x:v>
      </x:c>
      <x:c r="H247" s="28" t="n">
        <x:v>9</x:v>
      </x:c>
      <x:c r="I247" s="28" t="n">
        <x:v>9</x:v>
      </x:c>
      <x:c r="J247" s="28" t="n">
        <x:v>9</x:v>
      </x:c>
      <x:c r="K247" s="28" t="str">
        <x:v>9</x:v>
      </x:c>
      <x:c r="L247" s="28" t="str">
        <x:v>Target table</x:v>
      </x:c>
      <x:c r="M247" s="28" t="str">
        <x:v>Protect and legally enforce 3,500 ha of priority buffer zones, focusing on Western Area Peninsula National Park</x:v>
      </x:c>
      <x:c r="N247" s="28" t="str">
        <x:v>protect and legally enforce 3 500 ha of priority buffer zone focus on western area peninsula national park</x:v>
      </x:c>
      <x:c r="O247" s="28" t="str">
        <x:v>182383d3c1a6439b820fc7d59c49e5fdd84779e0e92ac41adf08607f4e6d3d13</x:v>
      </x:c>
      <x:c r="P247" s="28" t="str"/>
      <x:c r="Q247" s="28" t="str"/>
      <x:c r="R247" s="28" t="str">
        <x:v>[[1866,1921],[1946,2001]]</x:v>
      </x:c>
      <x:c r="S247" s="28" t="str">
        <x:v>Reused verified PDF-token span from candidate anchor</x:v>
      </x:c>
      <x:c r="T247" s="28" t="str">
        <x:v>Verified PDF locator hint</x:v>
      </x:c>
      <x:c r="U247" s="28" t="str">
        <x:v>Protect and legally enforce 3,500 ha of priority buffer zones, focusing on Western Area Peninsula National Park</x:v>
      </x:c>
      <x:c r="V247" s="28" t="n">
        <x:v>0.924551</x:v>
      </x:c>
      <x:c r="W247" s="28" t="n">
        <x:v>0.915869</x:v>
      </x:c>
      <x:c r="X247" s="28" t="n">
        <x:v>0.961885</x:v>
      </x:c>
      <x:c r="Y247" s="28" t="n">
        <x:v>0.874055</x:v>
      </x:c>
      <x:c r="Z247" s="28" t="n">
        <x:v>0.995261</x:v>
      </x:c>
      <x:c r="AA247" s="28" t="str">
        <x:v>High</x:v>
      </x:c>
      <x:c r="AB247" s="28" t="str">
        <x:v>Pass</x:v>
      </x:c>
      <x:c r="AC247" s="28" t="str">
        <x:v>Pending human review</x:v>
      </x:c>
      <x:c r="AD247" s="28" t="str"/>
      <x:c r="AE247" s="28" t="n">
        <x:v>46238.87231481481</x:v>
      </x:c>
    </x:row>
    <x:row r="248" ht="60" customHeight="1">
      <x:c r="A248" s="28" t="str">
        <x:v>ANC-SLE-002-MECH-01</x:v>
      </x:c>
      <x:c r="B248" s="28" t="str">
        <x:v>SLE-002</x:v>
      </x:c>
      <x:c r="C248" s="28" t="str">
        <x:v>DOC-SLE-WC-2026</x:v>
      </x:c>
      <x:c r="D248" s="28" t="str">
        <x:v>Explicit Mechanism</x:v>
      </x:c>
      <x:c r="E248" s="28" t="str">
        <x:v>Text Span</x:v>
      </x:c>
      <x:c r="F248" s="28" t="str">
        <x:v>SLE-026</x:v>
      </x:c>
      <x:c r="G248" s="28" t="str">
        <x:v>PDF p. 16, Appendix 1</x:v>
      </x:c>
      <x:c r="H248" s="28" t="n">
        <x:v>16</x:v>
      </x:c>
      <x:c r="I248" s="28" t="n">
        <x:v>16</x:v>
      </x:c>
      <x:c r="J248" s="28" t="n">
        <x:v>16</x:v>
      </x:c>
      <x:c r="K248" s="28" t="str">
        <x:v>16</x:v>
      </x:c>
      <x:c r="L248" s="28" t="str">
        <x:v>Programmatic outlook</x:v>
      </x:c>
      <x:c r="M248" s="28" t="str">
        <x:v>(iii) Facilitate and formulate L.I. on buffer zone policy</x:v>
      </x:c>
      <x:c r="N248" s="28" t="str">
        <x:v>iii facilitate and formulate l i on buffer zone policy</x:v>
      </x:c>
      <x:c r="O248" s="28" t="str">
        <x:v>8dd0eb4260846bfb069f43a328e13e892935dea72ebfe27dde6e745f418cc423</x:v>
      </x:c>
      <x:c r="P248" s="28" t="n">
        <x:v>475</x:v>
      </x:c>
      <x:c r="Q248" s="28" t="n">
        <x:v>532</x:v>
      </x:c>
      <x:c r="R248" s="28" t="str">
        <x:v>[[475,532]]</x:v>
      </x:c>
      <x:c r="S248" s="28" t="str">
        <x:v>Linked candidate's verified PDF-token span</x:v>
      </x:c>
      <x:c r="T248" s="28" t="str">
        <x:v>Verified PDF locator hint</x:v>
      </x:c>
      <x:c r="U248" s="28" t="str">
        <x:v>Facilitate and formulate L.I. on buffer zone policy</x:v>
      </x:c>
      <x:c r="V248" s="28" t="n">
        <x:v>0.999</x:v>
      </x:c>
      <x:c r="W248" s="28" t="n">
        <x:v>0.961131</x:v>
      </x:c>
      <x:c r="X248" s="28" t="n">
        <x:v>0.92517</x:v>
      </x:c>
      <x:c r="Y248" s="28" t="n">
        <x:v>1</x:v>
      </x:c>
      <x:c r="Z248" s="28" t="n">
        <x:v>0.951456</x:v>
      </x:c>
      <x:c r="AA248" s="28" t="str">
        <x:v>High</x:v>
      </x:c>
      <x:c r="AB248" s="28" t="str">
        <x:v>Pass</x:v>
      </x:c>
      <x:c r="AC248" s="28" t="str">
        <x:v>Pending human review</x:v>
      </x:c>
      <x:c r="AD248" s="28" t="str"/>
      <x:c r="AE248" s="28" t="n">
        <x:v>46238.87231481481</x:v>
      </x:c>
    </x:row>
    <x:row r="249" ht="60" customHeight="1">
      <x:c r="A249" s="28" t="str">
        <x:v>ANC-SLE-008-ASP</x:v>
      </x:c>
      <x:c r="B249" s="28" t="str">
        <x:v>SLE-008</x:v>
      </x:c>
      <x:c r="C249" s="28" t="str">
        <x:v>DOC-SLE-WC-2026</x:v>
      </x:c>
      <x:c r="D249" s="28" t="str">
        <x:v>Aspiration</x:v>
      </x:c>
      <x:c r="E249" s="28" t="str">
        <x:v>Text Span</x:v>
      </x:c>
      <x:c r="F249" s="28" t="str">
        <x:v>SLE-008</x:v>
      </x:c>
      <x:c r="G249" s="28" t="str">
        <x:v>PDF p. 10, Priority Action 2</x:v>
      </x:c>
      <x:c r="H249" s="28" t="n">
        <x:v>10</x:v>
      </x:c>
      <x:c r="I249" s="28" t="n">
        <x:v>10</x:v>
      </x:c>
      <x:c r="J249" s="28" t="n">
        <x:v>10</x:v>
      </x:c>
      <x:c r="K249" s="28" t="str">
        <x:v>10</x:v>
      </x:c>
      <x:c r="L249" s="28" t="str">
        <x:v>Narrative priority action</x:v>
      </x:c>
      <x:c r="M249" s="28" t="str">
        <x:v>The strategy will also promote diversified funding sources through increased fiscal transfers, improved revenue generation by service providers, and public-private partnerships.</x:v>
      </x:c>
      <x:c r="N249" s="28" t="str">
        <x:v>the strategy will also promote diversifi fund source through increas fiscal transfer improv revenue generation by service provider and publicprivate partnership</x:v>
      </x:c>
      <x:c r="O249" s="28" t="str">
        <x:v>dce82567c505c3a0cdf3f342fe76fc4f0615a00d960112f8cbe31b30eaf6af85</x:v>
      </x:c>
      <x:c r="P249" s="28" t="str"/>
      <x:c r="Q249" s="28" t="str"/>
      <x:c r="R249" s="28" t="str">
        <x:v>[[2343,2437],[2438,2520]]</x:v>
      </x:c>
      <x:c r="S249" s="28" t="str">
        <x:v>Reused verified PDF-token span from candidate anchor</x:v>
      </x:c>
      <x:c r="T249" s="28" t="str">
        <x:v>Original Compact Text</x:v>
      </x:c>
      <x:c r="U249" s="28" t="str">
        <x:v>Diversify WASH funding sources</x:v>
      </x:c>
      <x:c r="V249" s="28" t="n">
        <x:v>0.635316</x:v>
      </x:c>
      <x:c r="W249" s="28" t="n">
        <x:v>0.587156</x:v>
      </x:c>
      <x:c r="X249" s="28" t="n">
        <x:v>0.802867</x:v>
      </x:c>
      <x:c r="Y249" s="28" t="n">
        <x:v>0.46281</x:v>
      </x:c>
      <x:c r="Z249" s="28" t="n">
        <x:v>0.851064</x:v>
      </x:c>
      <x:c r="AA249" s="28" t="str">
        <x:v>Medium</x:v>
      </x:c>
      <x:c r="AB249" s="28" t="str">
        <x:v>Pass</x:v>
      </x:c>
      <x:c r="AC249" s="28" t="str">
        <x:v>Pending human review</x:v>
      </x:c>
      <x:c r="AD249" s="28" t="str"/>
      <x:c r="AE249" s="28" t="n">
        <x:v>46238.87231481481</x:v>
      </x:c>
    </x:row>
    <x:row r="250" ht="60" customHeight="1">
      <x:c r="A250" s="28" t="str">
        <x:v>ANC-SLE-008-MECH-01</x:v>
      </x:c>
      <x:c r="B250" s="28" t="str">
        <x:v>SLE-008</x:v>
      </x:c>
      <x:c r="C250" s="28" t="str">
        <x:v>DOC-SLE-WC-2026</x:v>
      </x:c>
      <x:c r="D250" s="28" t="str">
        <x:v>Explicit Mechanism</x:v>
      </x:c>
      <x:c r="E250" s="28" t="str">
        <x:v>Text Span</x:v>
      </x:c>
      <x:c r="F250" s="28" t="str">
        <x:v>SLE-039</x:v>
      </x:c>
      <x:c r="G250" s="28" t="str">
        <x:v>PDF p. 17, Appendix 1</x:v>
      </x:c>
      <x:c r="H250" s="28" t="n">
        <x:v>17</x:v>
      </x:c>
      <x:c r="I250" s="28" t="n">
        <x:v>17</x:v>
      </x:c>
      <x:c r="J250" s="28" t="n">
        <x:v>17</x:v>
      </x:c>
      <x:c r="K250" s="28" t="str">
        <x:v>17</x:v>
      </x:c>
      <x:c r="L250" s="28" t="str">
        <x:v>Programmatic outlook</x:v>
      </x:c>
      <x:c r="M250" s="28" t="str">
        <x:v>(ii) Advocate and acquire a dedicated budget disbursement line for WASH at the sub-national level</x:v>
      </x:c>
      <x:c r="N250" s="28" t="str">
        <x:v>ii advocate and acquire a dedicat budget disbursement line for wash at the subnational level</x:v>
      </x:c>
      <x:c r="O250" s="28" t="str">
        <x:v>0633031e1a57b9d590b581a873a3fbb0d4d1bf4e82a2f666b78c1283df98be9b</x:v>
      </x:c>
      <x:c r="P250" s="28" t="str"/>
      <x:c r="Q250" s="28" t="str"/>
      <x:c r="R250" s="28" t="str">
        <x:v>[[874,940],[1006,1036]]</x:v>
      </x:c>
      <x:c r="S250" s="28" t="str">
        <x:v>Linked candidate's verified PDF-token span</x:v>
      </x:c>
      <x:c r="T250" s="28" t="str">
        <x:v>Original Compact Text</x:v>
      </x:c>
      <x:c r="U250" s="28" t="str">
        <x:v>Dedicated subnational WASH budget line</x:v>
      </x:c>
      <x:c r="V250" s="28" t="n">
        <x:v>0.796824</x:v>
      </x:c>
      <x:c r="W250" s="28" t="n">
        <x:v>0.854111</x:v>
      </x:c>
      <x:c r="X250" s="28" t="n">
        <x:v>0.74537</x:v>
      </x:c>
      <x:c r="Y250" s="28" t="n">
        <x:v>1</x:v>
      </x:c>
      <x:c r="Z250" s="28" t="n">
        <x:v>0.34375</x:v>
      </x:c>
      <x:c r="AA250" s="28" t="str">
        <x:v>High</x:v>
      </x:c>
      <x:c r="AB250" s="28" t="str">
        <x:v>Pass</x:v>
      </x:c>
      <x:c r="AC250" s="28" t="str">
        <x:v>Pending human review</x:v>
      </x:c>
      <x:c r="AD250" s="28" t="str"/>
      <x:c r="AE250" s="28" t="n">
        <x:v>46238.87231481481</x:v>
      </x:c>
    </x:row>
    <x:row r="251" ht="60" customHeight="1">
      <x:c r="A251" s="28" t="str">
        <x:v>ANC-SLE-008-MECH-02</x:v>
      </x:c>
      <x:c r="B251" s="28" t="str">
        <x:v>SLE-008</x:v>
      </x:c>
      <x:c r="C251" s="28" t="str">
        <x:v>DOC-SLE-WC-2026</x:v>
      </x:c>
      <x:c r="D251" s="28" t="str">
        <x:v>Explicit Mechanism</x:v>
      </x:c>
      <x:c r="E251" s="28" t="str">
        <x:v>Text Span</x:v>
      </x:c>
      <x:c r="F251" s="28" t="str">
        <x:v>SLE-042</x:v>
      </x:c>
      <x:c r="G251" s="28" t="str">
        <x:v>PDF p. 17, Appendix 1</x:v>
      </x:c>
      <x:c r="H251" s="28" t="n">
        <x:v>17</x:v>
      </x:c>
      <x:c r="I251" s="28" t="n">
        <x:v>17</x:v>
      </x:c>
      <x:c r="J251" s="28" t="n">
        <x:v>17</x:v>
      </x:c>
      <x:c r="K251" s="28" t="str">
        <x:v>17</x:v>
      </x:c>
      <x:c r="L251" s="28" t="str">
        <x:v>Programmatic outlook</x:v>
      </x:c>
      <x:c r="M251" s="28" t="str">
        <x:v>acquire a dedicated budget disbursement line for 0.10 0.10 0.00 0.05 0.05 0.00 0.00 0.00 policies and legislation WASH at the sub-national level (iii) Finalize the update of the National Water Sector Policy 0.20 0.20 0.00 0.10 0.10 0.00 0.00 0.00 (iv) Improve and enhance the enforcement of the Water sector legislation 0.04 0.04 0.00 0.00 0.00 0.00 0.00 0.040 and standards Finance (1) Periodic review of (i) Carry out quarterly review of water tariffs</x:v>
      </x:c>
      <x:c r="N251" s="28" t="str">
        <x:v>acquire a dedicat budget disbursement line for 0 10 0 10 0 00 0 05 0 05 0 00 0 00 0 00 policy and legislation wash at the subnational level iii finalize the update of the national water sector policy 0 20 0 20 0 00 0 10 0 10 0 00 0 00 0 00 iv improve and enhance the enforcement of the water sector legislation 0 04 0 04 0 00 0 00 0 00 0 00 0 00 0 040 and standard finance 1 periodic review of i carry out quarterly review of water tariff</x:v>
      </x:c>
      <x:c r="O251" s="28" t="str">
        <x:v>eecb65be0783cbcfe1062806f27ca43f336086bb024efc247b5d06c16d97d80e</x:v>
      </x:c>
      <x:c r="P251" s="28" t="str"/>
      <x:c r="Q251" s="28" t="str"/>
      <x:c r="R251" s="28" t="str">
        <x:v>[[892,940],[941,945],[946,950],[951,955],[956,960],[961,965],[966,970],[971,975],[976,980],[981,1005],[1006,1036],[1037,1098],[1099,1103],[1104,1108],[1109,1113],[1114,1118],[1119,1123],[1124,1128],[1129,1133],[1134,1138],[1139,1211],[1212,1216],[1217,1221],[1222,1226],[1227,1231],[1232,1236],[1237,1241],[1242,1246],[1247,1252],[1253,1266],[1267,1274],[1275,1297],[1298,1345]]</x:v>
      </x:c>
      <x:c r="S251" s="28" t="str">
        <x:v>Linked candidate's verified PDF-token span</x:v>
      </x:c>
      <x:c r="T251" s="28" t="str">
        <x:v>Original Compact Text</x:v>
      </x:c>
      <x:c r="U251" s="28" t="str">
        <x:v>Quarterly automatic tariff review</x:v>
      </x:c>
      <x:c r="V251" s="28" t="n">
        <x:v>0.782987</x:v>
      </x:c>
      <x:c r="W251" s="28" t="n">
        <x:v>0.836066</x:v>
      </x:c>
      <x:c r="X251" s="28" t="n">
        <x:v>1</x:v>
      </x:c>
      <x:c r="Y251" s="28" t="n">
        <x:v>0.71831</x:v>
      </x:c>
      <x:c r="Z251" s="28" t="n">
        <x:v>0.615385</x:v>
      </x:c>
      <x:c r="AA251" s="28" t="str">
        <x:v>High</x:v>
      </x:c>
      <x:c r="AB251" s="28" t="str">
        <x:v>Pass</x:v>
      </x:c>
      <x:c r="AC251" s="28" t="str">
        <x:v>Pending human review</x:v>
      </x:c>
      <x:c r="AD251" s="28" t="str"/>
      <x:c r="AE251" s="28" t="n">
        <x:v>46238.87231481481</x:v>
      </x:c>
    </x:row>
    <x:row r="252" ht="60" customHeight="1">
      <x:c r="A252" s="28" t="str">
        <x:v>ANC-SLE-008-MECH-03</x:v>
      </x:c>
      <x:c r="B252" s="28" t="str">
        <x:v>SLE-008</x:v>
      </x:c>
      <x:c r="C252" s="28" t="str">
        <x:v>DOC-SLE-WC-2026</x:v>
      </x:c>
      <x:c r="D252" s="28" t="str">
        <x:v>Explicit Mechanism</x:v>
      </x:c>
      <x:c r="E252" s="28" t="str">
        <x:v>Text Span</x:v>
      </x:c>
      <x:c r="F252" s="28" t="str">
        <x:v>SLE-043</x:v>
      </x:c>
      <x:c r="G252" s="28" t="str">
        <x:v>PDF p. 17, Appendix 1</x:v>
      </x:c>
      <x:c r="H252" s="28" t="n">
        <x:v>17</x:v>
      </x:c>
      <x:c r="I252" s="28" t="n">
        <x:v>17</x:v>
      </x:c>
      <x:c r="J252" s="28" t="n">
        <x:v>17</x:v>
      </x:c>
      <x:c r="K252" s="28" t="str">
        <x:v>17</x:v>
      </x:c>
      <x:c r="L252" s="28" t="str">
        <x:v>Programmatic outlook</x:v>
      </x:c>
      <x:c r="M252" s="28" t="str">
        <x:v>(ii) Implement a framework on private sector participation in the water sector, including financing (BOO, BOT, etc.)</x:v>
      </x:c>
      <x:c r="N252" s="28" t="str">
        <x:v>ii implement a framework on private sector participation in the water sector includ financ boo bot etc</x:v>
      </x:c>
      <x:c r="O252" s="28" t="str">
        <x:v>824a3f7628da1696e5d3bcce4de71db9c1cc0a57ab9dcac12f915a0132109334</x:v>
      </x:c>
      <x:c r="P252" s="28" t="str"/>
      <x:c r="Q252" s="28" t="str"/>
      <x:c r="R252" s="28" t="str">
        <x:v>[[1558,1629],[1655,1699]]</x:v>
      </x:c>
      <x:c r="S252" s="28" t="str">
        <x:v>Linked candidate's verified PDF-token span</x:v>
      </x:c>
      <x:c r="T252" s="28" t="str">
        <x:v>Verified PDF locator hint</x:v>
      </x:c>
      <x:c r="U252" s="28" t="str">
        <x:v>Implement a framework on private sector participation in the water sector, including financing</x:v>
      </x:c>
      <x:c r="V252" s="28" t="n">
        <x:v>0.999</x:v>
      </x:c>
      <x:c r="W252" s="28" t="n">
        <x:v>0.901138</x:v>
      </x:c>
      <x:c r="X252" s="28" t="n">
        <x:v>0.820065</x:v>
      </x:c>
      <x:c r="Y252" s="28" t="n">
        <x:v>1</x:v>
      </x:c>
      <x:c r="Z252" s="28" t="n">
        <x:v>0.920635</x:v>
      </x:c>
      <x:c r="AA252" s="28" t="str">
        <x:v>High</x:v>
      </x:c>
      <x:c r="AB252" s="28" t="str">
        <x:v>Pass</x:v>
      </x:c>
      <x:c r="AC252" s="28" t="str">
        <x:v>Pending human review</x:v>
      </x:c>
      <x:c r="AD252" s="28" t="str"/>
      <x:c r="AE252" s="28" t="n">
        <x:v>46238.87231481481</x:v>
      </x:c>
    </x:row>
    <x:row r="253" ht="60" customHeight="1">
      <x:c r="A253" s="28" t="str">
        <x:v>ANC-SLE-008-MECH-04</x:v>
      </x:c>
      <x:c r="B253" s="28" t="str">
        <x:v>SLE-008</x:v>
      </x:c>
      <x:c r="C253" s="28" t="str">
        <x:v>DOC-SLE-WC-2026</x:v>
      </x:c>
      <x:c r="D253" s="28" t="str">
        <x:v>Explicit Mechanism</x:v>
      </x:c>
      <x:c r="E253" s="28" t="str">
        <x:v>Text Span</x:v>
      </x:c>
      <x:c r="F253" s="28" t="str">
        <x:v>SLE-044</x:v>
      </x:c>
      <x:c r="G253" s="28" t="str">
        <x:v>PDF p. 17, Appendix 1</x:v>
      </x:c>
      <x:c r="H253" s="28" t="n">
        <x:v>17</x:v>
      </x:c>
      <x:c r="I253" s="28" t="n">
        <x:v>17</x:v>
      </x:c>
      <x:c r="J253" s="28" t="n">
        <x:v>17</x:v>
      </x:c>
      <x:c r="K253" s="28" t="str">
        <x:v>17</x:v>
      </x:c>
      <x:c r="L253" s="28" t="str">
        <x:v>Programmatic outlook</x:v>
      </x:c>
      <x:c r="M253" s="28" t="str">
        <x:v>(iii) Appraisal and adoption of a financing mechanism for capital maintenance</x:v>
      </x:c>
      <x:c r="N253" s="28" t="str">
        <x:v>iii appraisal and adoption of a financ mechanism for capital maintenance</x:v>
      </x:c>
      <x:c r="O253" s="28" t="str">
        <x:v>26cec172e13555273b5ccd6fd561355ec33045d7462584f38bf3a8421e72cdb5</x:v>
      </x:c>
      <x:c r="P253" s="28" t="str"/>
      <x:c r="Q253" s="28" t="str"/>
      <x:c r="R253" s="28" t="str">
        <x:v>[[1812,1877],[1900,1911]]</x:v>
      </x:c>
      <x:c r="S253" s="28" t="str">
        <x:v>Linked candidate's verified PDF-token span</x:v>
      </x:c>
      <x:c r="T253" s="28" t="str">
        <x:v>Verified PDF locator hint</x:v>
      </x:c>
      <x:c r="U253" s="28" t="str">
        <x:v>Appraisal and adoption of a financing mechanism for capital maintenance</x:v>
      </x:c>
      <x:c r="V253" s="28" t="n">
        <x:v>0.999</x:v>
      </x:c>
      <x:c r="W253" s="28" t="n">
        <x:v>0.970729</x:v>
      </x:c>
      <x:c r="X253" s="28" t="n">
        <x:v>0.943123</x:v>
      </x:c>
      <x:c r="Y253" s="28" t="n">
        <x:v>1</x:v>
      </x:c>
      <x:c r="Z253" s="28" t="n">
        <x:v>0.971429</x:v>
      </x:c>
      <x:c r="AA253" s="28" t="str">
        <x:v>High</x:v>
      </x:c>
      <x:c r="AB253" s="28" t="str">
        <x:v>Pass</x:v>
      </x:c>
      <x:c r="AC253" s="28" t="str">
        <x:v>Pending human review</x:v>
      </x:c>
      <x:c r="AD253" s="28" t="str"/>
      <x:c r="AE253" s="28" t="n">
        <x:v>46238.87231481481</x:v>
      </x:c>
    </x:row>
    <x:row r="254" ht="60" customHeight="1">
      <x:c r="A254" s="28" t="str">
        <x:v>ANC-SLE-009-ASP</x:v>
      </x:c>
      <x:c r="B254" s="28" t="str">
        <x:v>SLE-009</x:v>
      </x:c>
      <x:c r="C254" s="28" t="str">
        <x:v>DOC-SLE-WC-2026</x:v>
      </x:c>
      <x:c r="D254" s="28" t="str">
        <x:v>Aspiration</x:v>
      </x:c>
      <x:c r="E254" s="28" t="str">
        <x:v>Text Span</x:v>
      </x:c>
      <x:c r="F254" s="28" t="str">
        <x:v>SLE-009</x:v>
      </x:c>
      <x:c r="G254" s="28" t="str">
        <x:v>PDF p. 11, Priority Action 3</x:v>
      </x:c>
      <x:c r="H254" s="28" t="n">
        <x:v>11</x:v>
      </x:c>
      <x:c r="I254" s="28" t="n">
        <x:v>11</x:v>
      </x:c>
      <x:c r="J254" s="28" t="n">
        <x:v>11</x:v>
      </x:c>
      <x:c r="K254" s="28" t="str">
        <x:v>11</x:v>
      </x:c>
      <x:c r="L254" s="28" t="str">
        <x:v>Narrative priority action</x:v>
      </x:c>
      <x:c r="M254" s="28" t="str">
        <x:v>construction of fecal sludge treatment facilities. The plan encourages market-based sanitation approaches</x:v>
      </x:c>
      <x:c r="N254" s="28" t="str">
        <x:v>construction of fecal sludge treatment facility the plan encourage marketbas sanitation approache</x:v>
      </x:c>
      <x:c r="O254" s="28" t="str">
        <x:v>d4f1d07696aa9ac0d3068b9a5443c973ac4d1eaf889f5d28782d3ec008fa1079</x:v>
      </x:c>
      <x:c r="P254" s="28" t="n">
        <x:v>268</x:v>
      </x:c>
      <x:c r="Q254" s="28" t="n">
        <x:v>373</x:v>
      </x:c>
      <x:c r="R254" s="28" t="str">
        <x:v>[[268,373]]</x:v>
      </x:c>
      <x:c r="S254" s="28" t="str">
        <x:v>Reused verified PDF-token span from candidate anchor</x:v>
      </x:c>
      <x:c r="T254" s="28" t="str">
        <x:v>Original Compact Text</x:v>
      </x:c>
      <x:c r="U254" s="28" t="str">
        <x:v>Market-based sanitation approaches</x:v>
      </x:c>
      <x:c r="V254" s="28" t="n">
        <x:v>0.999</x:v>
      </x:c>
      <x:c r="W254" s="28" t="n">
        <x:v>0.718773</x:v>
      </x:c>
      <x:c r="X254" s="28" t="n">
        <x:v>0.561003</x:v>
      </x:c>
      <x:c r="Y254" s="28" t="n">
        <x:v>1</x:v>
      </x:c>
      <x:c r="Z254" s="28" t="n">
        <x:v>0.472441</x:v>
      </x:c>
      <x:c r="AA254" s="28" t="str">
        <x:v>High</x:v>
      </x:c>
      <x:c r="AB254" s="28" t="str">
        <x:v>Pass</x:v>
      </x:c>
      <x:c r="AC254" s="28" t="str">
        <x:v>Pending human review</x:v>
      </x:c>
      <x:c r="AD254" s="28" t="str"/>
      <x:c r="AE254" s="28" t="n">
        <x:v>46238.87231481481</x:v>
      </x:c>
    </x:row>
    <x:row r="255" ht="60" customHeight="1">
      <x:c r="A255" s="28" t="str">
        <x:v>ANC-SLE-010-ASP</x:v>
      </x:c>
      <x:c r="B255" s="28" t="str">
        <x:v>SLE-010</x:v>
      </x:c>
      <x:c r="C255" s="28" t="str">
        <x:v>DOC-SLE-WC-2026</x:v>
      </x:c>
      <x:c r="D255" s="28" t="str">
        <x:v>Aspiration</x:v>
      </x:c>
      <x:c r="E255" s="28" t="str">
        <x:v>Text Span</x:v>
      </x:c>
      <x:c r="F255" s="28" t="str">
        <x:v>SLE-010</x:v>
      </x:c>
      <x:c r="G255" s="28" t="str">
        <x:v>PDF p. 11, Priority Action 4</x:v>
      </x:c>
      <x:c r="H255" s="28" t="n">
        <x:v>11</x:v>
      </x:c>
      <x:c r="I255" s="28" t="n">
        <x:v>11</x:v>
      </x:c>
      <x:c r="J255" s="28" t="n">
        <x:v>11</x:v>
      </x:c>
      <x:c r="K255" s="28" t="str">
        <x:v>11</x:v>
      </x:c>
      <x:c r="L255" s="28" t="str">
        <x:v>Narrative priority action</x:v>
      </x:c>
      <x:c r="M255" s="28" t="str">
        <x:v>There is a need for a climate-aware water resource monitoring system to enhance forecasting and adaptation strategies.</x:v>
      </x:c>
      <x:c r="N255" s="28" t="str">
        <x:v>there is a need for a climateaware water resource monitor system to enhance forecast and adaptation strategy</x:v>
      </x:c>
      <x:c r="O255" s="28" t="str">
        <x:v>b3505f20061d44d263e3a7da7e5243e1d549a93eb71b04e662213ba0a9945654</x:v>
      </x:c>
      <x:c r="P255" s="28" t="str"/>
      <x:c r="Q255" s="28" t="str"/>
      <x:c r="R255" s="28" t="str">
        <x:v>[[948,998],[999,1066]]</x:v>
      </x:c>
      <x:c r="S255" s="28" t="str">
        <x:v>Reused verified PDF-token span from candidate anchor</x:v>
      </x:c>
      <x:c r="T255" s="28" t="str">
        <x:v>Original Compact Text</x:v>
      </x:c>
      <x:c r="U255" s="28" t="str">
        <x:v>Climate-aware water monitoring system</x:v>
      </x:c>
      <x:c r="V255" s="28" t="n">
        <x:v>0.970981</x:v>
      </x:c>
      <x:c r="W255" s="28" t="n">
        <x:v>0.943123</x:v>
      </x:c>
      <x:c r="X255" s="28" t="n">
        <x:v>0.892368</x:v>
      </x:c>
      <x:c r="Y255" s="28" t="n">
        <x:v>1</x:v>
      </x:c>
      <x:c r="Z255" s="28" t="n">
        <x:v>0.88</x:v>
      </x:c>
      <x:c r="AA255" s="28" t="str">
        <x:v>High</x:v>
      </x:c>
      <x:c r="AB255" s="28" t="str">
        <x:v>Pass</x:v>
      </x:c>
      <x:c r="AC255" s="28" t="str">
        <x:v>Pending human review</x:v>
      </x:c>
      <x:c r="AD255" s="28" t="str"/>
      <x:c r="AE255" s="28" t="n">
        <x:v>46238.87231481481</x:v>
      </x:c>
    </x:row>
    <x:row r="256" ht="60" customHeight="1">
      <x:c r="A256" s="28" t="str">
        <x:v>ANC-SLE-010-MECH-01</x:v>
      </x:c>
      <x:c r="B256" s="28" t="str">
        <x:v>SLE-010</x:v>
      </x:c>
      <x:c r="C256" s="28" t="str">
        <x:v>DOC-SLE-WC-2026</x:v>
      </x:c>
      <x:c r="D256" s="28" t="str">
        <x:v>Explicit Mechanism</x:v>
      </x:c>
      <x:c r="E256" s="28" t="str">
        <x:v>Text Span</x:v>
      </x:c>
      <x:c r="F256" s="28" t="str">
        <x:v>SLE-023</x:v>
      </x:c>
      <x:c r="G256" s="28" t="str">
        <x:v>PDF pp. 15–16, Appendix 1</x:v>
      </x:c>
      <x:c r="H256" s="28" t="n">
        <x:v>15</x:v>
      </x:c>
      <x:c r="I256" s="28" t="n">
        <x:v>16</x:v>
      </x:c>
      <x:c r="J256" s="28" t="n">
        <x:v>15</x:v>
      </x:c>
      <x:c r="K256" s="28" t="str">
        <x:v>15</x:v>
      </x:c>
      <x:c r="L256" s="28" t="str">
        <x:v>Programmatic outlook</x:v>
      </x:c>
      <x:c r="M256" s="28" t="str">
        <x:v>WRM (ii) Provide capacity building support to NWRMA and EPA to monitor and 0.60 0.60 0.00 0.30 0.30 0.00 0.00 0.00 enforce permit conditions on raw water (iii) Establishment of a Dam Safety Unit 2.20 2.20 0.00 2.00 0.20 0.00 0.00 0.00 (iv) Develop guidelines and regulations for dam safety (including 0.20 0.20 0.00 0.00 0.00 0.20 0.00 0.00 operating rules for floods and evacuation plans) (v) An effective water resource assessment and monitoring system</x:v>
      </x:c>
      <x:c r="N256" s="28" t="str">
        <x:v>wrm ii provide capacity build support to nwrma and epa to monitor and 0 60 0 60 0 00 0 30 0 30 0 00 0 00 0 00 enforce permit condition on raw water iii establishment of a dam safety unit 2 20 2 20 0 00 2 00 0 20 0 00 0 00 0 00 iv develop guideline and regulation for dam safety includ 0 20 0 20 0 00 0 00 0 00 0 20 0 00 0 00 operat rule for flood and evacuation plan v an effective water resource assessment and monitor system</x:v>
      </x:c>
      <x:c r="O256" s="28" t="str">
        <x:v>6a9c30c682b665a971a5ce3ca9d5bd4fd7cca113075225d3390891e96a1bc5d7</x:v>
      </x:c>
      <x:c r="P256" s="28" t="str"/>
      <x:c r="Q256" s="28" t="str"/>
      <x:c r="R256" s="28" t="str">
        <x:v>[[2574,2577],[2578,2648],[2688,2692],[2693,2697],[2698,2702],[2703,2707],[2708,2712],[2713,2717],[2718,2722],[2723,2727],[2649,2687],[2728,2768],[2769,2773],[2774,2778],[2779,2783],[2784,2788],[2789,2793],[2794,2798],[2799,2803],[2804,2808],[2809,2874],[2924,2928],[2929,2933],[2934,2938],[2939,2943],[2944,2948],[2949,2953],[2954,2958],[2959,2963],[2875,2923],[2964,3028]]</x:v>
      </x:c>
      <x:c r="S256" s="28" t="str">
        <x:v>Linked candidate's verified PDF-token span</x:v>
      </x:c>
      <x:c r="T256" s="28" t="str">
        <x:v>Original Compact Text</x:v>
      </x:c>
      <x:c r="U256" s="28" t="str">
        <x:v>Water-resource assessment and monitoring system</x:v>
      </x:c>
      <x:c r="V256" s="28" t="n">
        <x:v>0.80094</x:v>
      </x:c>
      <x:c r="W256" s="28" t="n">
        <x:v>0.766637</x:v>
      </x:c>
      <x:c r="X256" s="28" t="n">
        <x:v>0.887064</x:v>
      </x:c>
      <x:c r="Y256" s="28" t="n">
        <x:v>0.675</x:v>
      </x:c>
      <x:c r="Z256" s="28" t="n">
        <x:v>0.938272</x:v>
      </x:c>
      <x:c r="AA256" s="28" t="str">
        <x:v>High</x:v>
      </x:c>
      <x:c r="AB256" s="28" t="str">
        <x:v>Pass</x:v>
      </x:c>
      <x:c r="AC256" s="28" t="str">
        <x:v>Pending human review</x:v>
      </x:c>
      <x:c r="AD256" s="28" t="str"/>
      <x:c r="AE256" s="28" t="n">
        <x:v>46238.87231481481</x:v>
      </x:c>
    </x:row>
    <x:row r="257" ht="60" customHeight="1">
      <x:c r="A257" s="28" t="str">
        <x:v>ANC-SLE-020-ASP</x:v>
      </x:c>
      <x:c r="B257" s="28" t="str">
        <x:v>SLE-020</x:v>
      </x:c>
      <x:c r="C257" s="28" t="str">
        <x:v>DOC-SLE-WC-2026</x:v>
      </x:c>
      <x:c r="D257" s="28" t="str">
        <x:v>Aspiration</x:v>
      </x:c>
      <x:c r="E257" s="28" t="str">
        <x:v>Text Span</x:v>
      </x:c>
      <x:c r="F257" s="28" t="str">
        <x:v>SLE-020</x:v>
      </x:c>
      <x:c r="G257" s="28" t="str">
        <x:v>PDF p. 15, Appendix 1</x:v>
      </x:c>
      <x:c r="H257" s="28" t="n">
        <x:v>15</x:v>
      </x:c>
      <x:c r="I257" s="28" t="n">
        <x:v>15</x:v>
      </x:c>
      <x:c r="J257" s="28" t="n">
        <x:v>15</x:v>
      </x:c>
      <x:c r="K257" s="28" t="str">
        <x:v>15</x:v>
      </x:c>
      <x:c r="L257" s="28" t="str">
        <x:v>Programmatic outlook</x:v>
      </x:c>
      <x:c r="M257" s="28" t="str">
        <x:v>(ii) Provide capacity building support to NWRMA and EPA to monitor and enforce permit conditions on raw water</x:v>
      </x:c>
      <x:c r="N257" s="28" t="str">
        <x:v>ii provide capacity build support to nwrma and epa to monitor and enforce permit condition on raw water</x:v>
      </x:c>
      <x:c r="O257" s="28" t="str">
        <x:v>bcf70087974d9464ecfafc28f8e91a3717fd72c921a217fc0a551488b2a638c0</x:v>
      </x:c>
      <x:c r="P257" s="28" t="str"/>
      <x:c r="Q257" s="28" t="str"/>
      <x:c r="R257" s="28" t="str">
        <x:v>[[2578,2648],[2649,2687]]</x:v>
      </x:c>
      <x:c r="S257" s="28" t="str">
        <x:v>Reused verified PDF-token span from candidate anchor</x:v>
      </x:c>
      <x:c r="T257" s="28" t="str">
        <x:v>Verified PDF locator hint</x:v>
      </x:c>
      <x:c r="U257" s="28" t="str">
        <x:v>Provide capacity building support to NWRMA and EPA to monitor and enforce permit conditions on raw water</x:v>
      </x:c>
      <x:c r="V257" s="28" t="n">
        <x:v>0.999</x:v>
      </x:c>
      <x:c r="W257" s="28" t="n">
        <x:v>1</x:v>
      </x:c>
      <x:c r="X257" s="28" t="n">
        <x:v>1</x:v>
      </x:c>
      <x:c r="Y257" s="28" t="n">
        <x:v>1</x:v>
      </x:c>
      <x:c r="Z257" s="28" t="n">
        <x:v>0.985222</x:v>
      </x:c>
      <x:c r="AA257" s="28" t="str">
        <x:v>High</x:v>
      </x:c>
      <x:c r="AB257" s="28" t="str">
        <x:v>Pass</x:v>
      </x:c>
      <x:c r="AC257" s="28" t="str">
        <x:v>Pending human review</x:v>
      </x:c>
      <x:c r="AD257" s="28" t="str"/>
      <x:c r="AE257" s="28" t="n">
        <x:v>46238.87231481481</x:v>
      </x:c>
    </x:row>
    <x:row r="258" ht="60" customHeight="1">
      <x:c r="A258" s="28" t="str">
        <x:v>ANC-SLE-020-MECH-01</x:v>
      </x:c>
      <x:c r="B258" s="28" t="str">
        <x:v>SLE-020</x:v>
      </x:c>
      <x:c r="C258" s="28" t="str">
        <x:v>DOC-SLE-WC-2026</x:v>
      </x:c>
      <x:c r="D258" s="28" t="str">
        <x:v>Explicit Mechanism</x:v>
      </x:c>
      <x:c r="E258" s="28" t="str">
        <x:v>Text Span</x:v>
      </x:c>
      <x:c r="F258" s="28" t="str">
        <x:v>SLE-019</x:v>
      </x:c>
      <x:c r="G258" s="28" t="str">
        <x:v>PDF p. 15, Appendix 1</x:v>
      </x:c>
      <x:c r="H258" s="28" t="n">
        <x:v>15</x:v>
      </x:c>
      <x:c r="I258" s="28" t="n">
        <x:v>15</x:v>
      </x:c>
      <x:c r="J258" s="28" t="n">
        <x:v>15</x:v>
      </x:c>
      <x:c r="K258" s="28" t="str">
        <x:v>15</x:v>
      </x:c>
      <x:c r="L258" s="28" t="str">
        <x:v>Programmatic outlook</x:v>
      </x:c>
      <x:c r="M258" s="28" t="str">
        <x:v>(i) Assess and review existing water use and groundwater drilling regulations</x:v>
      </x:c>
      <x:c r="N258" s="28" t="str">
        <x:v>i assess and review exist water use and groundwater drill regulation</x:v>
      </x:c>
      <x:c r="O258" s="28" t="str">
        <x:v>936d0bfa49726e859cb1b1d3b614ad3135176363dcdf41e5ad79f357fabc864f</x:v>
      </x:c>
      <x:c r="P258" s="28" t="str"/>
      <x:c r="Q258" s="28" t="str"/>
      <x:c r="R258" s="28" t="str">
        <x:v>[[2403,2468],[2507,2518]]</x:v>
      </x:c>
      <x:c r="S258" s="28" t="str">
        <x:v>Linked candidate's verified PDF-token span</x:v>
      </x:c>
      <x:c r="T258" s="28" t="str">
        <x:v>Original Compact Text</x:v>
      </x:c>
      <x:c r="U258" s="28" t="str">
        <x:v>Review water-use and drilling regulations</x:v>
      </x:c>
      <x:c r="V258" s="28" t="n">
        <x:v>0.683627</x:v>
      </x:c>
      <x:c r="W258" s="28" t="n">
        <x:v>0.689189</x:v>
      </x:c>
      <x:c r="X258" s="28" t="n">
        <x:v>0.649682</x:v>
      </x:c>
      <x:c r="Y258" s="28" t="n">
        <x:v>0.733813</x:v>
      </x:c>
      <x:c r="Z258" s="28" t="n">
        <x:v>0.692308</x:v>
      </x:c>
      <x:c r="AA258" s="28" t="str">
        <x:v>Medium</x:v>
      </x:c>
      <x:c r="AB258" s="28" t="str">
        <x:v>Pass</x:v>
      </x:c>
      <x:c r="AC258" s="28" t="str">
        <x:v>Pending human review</x:v>
      </x:c>
      <x:c r="AD258" s="28" t="str"/>
      <x:c r="AE258" s="28" t="n">
        <x:v>46238.87231481481</x:v>
      </x:c>
    </x:row>
    <x:row r="259" ht="60" customHeight="1">
      <x:c r="A259" s="28" t="str">
        <x:v>ANC-SLE-037-ASP</x:v>
      </x:c>
      <x:c r="B259" s="28" t="str">
        <x:v>SLE-037</x:v>
      </x:c>
      <x:c r="C259" s="28" t="str">
        <x:v>DOC-SLE-WC-2026</x:v>
      </x:c>
      <x:c r="D259" s="28" t="str">
        <x:v>Aspiration</x:v>
      </x:c>
      <x:c r="E259" s="28" t="str">
        <x:v>Text Span</x:v>
      </x:c>
      <x:c r="F259" s="28" t="str">
        <x:v>SLE-037</x:v>
      </x:c>
      <x:c r="G259" s="28" t="str">
        <x:v>PDF p. 17, Appendix 1</x:v>
      </x:c>
      <x:c r="H259" s="28" t="n">
        <x:v>17</x:v>
      </x:c>
      <x:c r="I259" s="28" t="n">
        <x:v>17</x:v>
      </x:c>
      <x:c r="J259" s="28" t="n">
        <x:v>17</x:v>
      </x:c>
      <x:c r="K259" s="28" t="str">
        <x:v>17</x:v>
      </x:c>
      <x:c r="L259" s="28" t="str">
        <x:v>Programmatic outlook</x:v>
      </x:c>
      <x:c r="M259" s="28" t="str">
        <x:v>(v) Address overlapping regulatory functions that blur clarity in</x:v>
      </x:c>
      <x:c r="N259" s="28" t="str">
        <x:v>v address overlapp regulatory function that blur clarity in</x:v>
      </x:c>
      <x:c r="O259" s="28" t="str">
        <x:v>14c39cd3a939be402bc233659dedcfc4389df7e015f22f0b39e90c3b2450f01c</x:v>
      </x:c>
      <x:c r="P259" s="28" t="n">
        <x:v>560</x:v>
      </x:c>
      <x:c r="Q259" s="28" t="n">
        <x:v>625</x:v>
      </x:c>
      <x:c r="R259" s="28" t="str">
        <x:v>[[560,625]]</x:v>
      </x:c>
      <x:c r="S259" s="28" t="str">
        <x:v>Reused verified PDF-token span from candidate anchor</x:v>
      </x:c>
      <x:c r="T259" s="28" t="str">
        <x:v>Original Compact Text</x:v>
      </x:c>
      <x:c r="U259" s="28" t="str">
        <x:v>Address overlapping regulatory functions</x:v>
      </x:c>
      <x:c r="V259" s="28" t="n">
        <x:v>0.999</x:v>
      </x:c>
      <x:c r="W259" s="28" t="n">
        <x:v>0.91654</x:v>
      </x:c>
      <x:c r="X259" s="28" t="n">
        <x:v>0.845938</x:v>
      </x:c>
      <x:c r="Y259" s="28" t="n">
        <x:v>1</x:v>
      </x:c>
      <x:c r="Z259" s="28" t="n">
        <x:v>0.757895</x:v>
      </x:c>
      <x:c r="AA259" s="28" t="str">
        <x:v>High</x:v>
      </x:c>
      <x:c r="AB259" s="28" t="str">
        <x:v>Pass</x:v>
      </x:c>
      <x:c r="AC259" s="28" t="str">
        <x:v>Pending human review</x:v>
      </x:c>
      <x:c r="AD259" s="28" t="str"/>
      <x:c r="AE259" s="28" t="n">
        <x:v>46238.87231481481</x:v>
      </x:c>
    </x:row>
    <x:row r="260" ht="60" customHeight="1">
      <x:c r="A260" s="28" t="str">
        <x:v>ANC-SLE-041-ASP</x:v>
      </x:c>
      <x:c r="B260" s="28" t="str">
        <x:v>SLE-041</x:v>
      </x:c>
      <x:c r="C260" s="28" t="str">
        <x:v>DOC-SLE-WC-2026</x:v>
      </x:c>
      <x:c r="D260" s="28" t="str">
        <x:v>Aspiration</x:v>
      </x:c>
      <x:c r="E260" s="28" t="str">
        <x:v>Text Span</x:v>
      </x:c>
      <x:c r="F260" s="28" t="str">
        <x:v>SLE-041</x:v>
      </x:c>
      <x:c r="G260" s="28" t="str">
        <x:v>PDF p. 17, Appendix 1</x:v>
      </x:c>
      <x:c r="H260" s="28" t="n">
        <x:v>17</x:v>
      </x:c>
      <x:c r="I260" s="28" t="n">
        <x:v>17</x:v>
      </x:c>
      <x:c r="J260" s="28" t="n">
        <x:v>17</x:v>
      </x:c>
      <x:c r="K260" s="28" t="str">
        <x:v>17</x:v>
      </x:c>
      <x:c r="L260" s="28" t="str">
        <x:v>Programmatic outlook</x:v>
      </x:c>
      <x:c r="M260" s="28" t="str">
        <x:v>(iv) Improve and enhance the enforcement of the Water sector legislation and standards</x:v>
      </x:c>
      <x:c r="N260" s="28" t="str">
        <x:v>iv improve and enhance the enforcement of the water sector legislation and standard</x:v>
      </x:c>
      <x:c r="O260" s="28" t="str">
        <x:v>c7effc2a7aeef6dffb04b935d7bcb5671011f2ec6b7fb980804c26f54bb63a9b</x:v>
      </x:c>
      <x:c r="P260" s="28" t="str"/>
      <x:c r="Q260" s="28" t="str"/>
      <x:c r="R260" s="28" t="str">
        <x:v>[[1139,1211],[1253,1266]]</x:v>
      </x:c>
      <x:c r="S260" s="28" t="str">
        <x:v>Reused verified PDF-token span from candidate anchor</x:v>
      </x:c>
      <x:c r="T260" s="28" t="str">
        <x:v>Original Compact Text</x:v>
      </x:c>
      <x:c r="U260" s="28" t="str">
        <x:v>Enhance legislation and standards enforcement</x:v>
      </x:c>
      <x:c r="V260" s="28" t="n">
        <x:v>0.91348</x:v>
      </x:c>
      <x:c r="W260" s="28" t="n">
        <x:v>1</x:v>
      </x:c>
      <x:c r="X260" s="28" t="n">
        <x:v>1</x:v>
      </x:c>
      <x:c r="Y260" s="28" t="n">
        <x:v>1</x:v>
      </x:c>
      <x:c r="Z260" s="28" t="n">
        <x:v>0.503937</x:v>
      </x:c>
      <x:c r="AA260" s="28" t="str">
        <x:v>High</x:v>
      </x:c>
      <x:c r="AB260" s="28" t="str">
        <x:v>Pass</x:v>
      </x:c>
      <x:c r="AC260" s="28" t="str">
        <x:v>Pending human review</x:v>
      </x:c>
      <x:c r="AD260" s="28" t="str"/>
      <x:c r="AE260" s="28" t="n">
        <x:v>46238.87231481481</x:v>
      </x:c>
    </x:row>
    <x:row r="261" ht="60" customHeight="1">
      <x:c r="A261" s="28" t="str">
        <x:v>ANC-SLE-052-ASP</x:v>
      </x:c>
      <x:c r="B261" s="28" t="str">
        <x:v>SLE-052</x:v>
      </x:c>
      <x:c r="C261" s="28" t="str">
        <x:v>DOC-SLE-WC-2026</x:v>
      </x:c>
      <x:c r="D261" s="28" t="str">
        <x:v>Aspiration</x:v>
      </x:c>
      <x:c r="E261" s="28" t="str">
        <x:v>Text Span</x:v>
      </x:c>
      <x:c r="F261" s="28" t="str">
        <x:v>SLE-052</x:v>
      </x:c>
      <x:c r="G261" s="28" t="str">
        <x:v>PDF p. 8, goals</x:v>
      </x:c>
      <x:c r="H261" s="28" t="n">
        <x:v>8</x:v>
      </x:c>
      <x:c r="I261" s="28" t="n">
        <x:v>8</x:v>
      </x:c>
      <x:c r="J261" s="28" t="n">
        <x:v>8</x:v>
      </x:c>
      <x:c r="K261" s="28" t="str">
        <x:v>8</x:v>
      </x:c>
      <x:c r="L261" s="28" t="str">
        <x:v>Reform aspiration</x:v>
      </x:c>
      <x:c r="M261" s="28" t="str">
        <x:v>Institutional strengthening and capacity building for all water sector institutions.</x:v>
      </x:c>
      <x:c r="N261" s="28" t="str">
        <x:v>institutional strengthen and capacity build for all water sector institution</x:v>
      </x:c>
      <x:c r="O261" s="28" t="str">
        <x:v>2a3e54856c3c5dc76ef426899455bb9a3457ce5a1eb73d082718c72f0d69dbd4</x:v>
      </x:c>
      <x:c r="P261" s="28" t="n">
        <x:v>2427</x:v>
      </x:c>
      <x:c r="Q261" s="28" t="n">
        <x:v>2511</x:v>
      </x:c>
      <x:c r="R261" s="28" t="str">
        <x:v>[[2427,2511]]</x:v>
      </x:c>
      <x:c r="S261" s="28" t="str">
        <x:v>Reused verified PDF-token span from candidate anchor</x:v>
      </x:c>
      <x:c r="T261" s="28" t="str">
        <x:v>Original Compact Text</x:v>
      </x:c>
      <x:c r="U261" s="28" t="str">
        <x:v>Strengthen all sector institutions</x:v>
      </x:c>
      <x:c r="V261" s="28" t="n">
        <x:v>0.99041</x:v>
      </x:c>
      <x:c r="W261" s="28" t="n">
        <x:v>1</x:v>
      </x:c>
      <x:c r="X261" s="28" t="n">
        <x:v>1</x:v>
      </x:c>
      <x:c r="Y261" s="28" t="n">
        <x:v>1</x:v>
      </x:c>
      <x:c r="Z261" s="28" t="n">
        <x:v>0.721311</x:v>
      </x:c>
      <x:c r="AA261" s="28" t="str">
        <x:v>High</x:v>
      </x:c>
      <x:c r="AB261" s="28" t="str">
        <x:v>Pass</x:v>
      </x:c>
      <x:c r="AC261" s="28" t="str">
        <x:v>Pending human review</x:v>
      </x:c>
      <x:c r="AD261" s="28" t="str"/>
      <x:c r="AE261" s="28" t="n">
        <x:v>46238.87231481481</x:v>
      </x:c>
    </x:row>
    <x:row r="262" ht="60" customHeight="1">
      <x:c r="A262" s="28" t="str">
        <x:v>ANC-SLE-052-MECH-01</x:v>
      </x:c>
      <x:c r="B262" s="28" t="str">
        <x:v>SLE-052</x:v>
      </x:c>
      <x:c r="C262" s="28" t="str">
        <x:v>DOC-SLE-WC-2026</x:v>
      </x:c>
      <x:c r="D262" s="28" t="str">
        <x:v>Explicit Mechanism</x:v>
      </x:c>
      <x:c r="E262" s="28" t="str">
        <x:v>Text Span</x:v>
      </x:c>
      <x:c r="F262" s="28" t="str">
        <x:v>SLE-032</x:v>
      </x:c>
      <x:c r="G262" s="28" t="str">
        <x:v>PDF p. 16, Appendix 1</x:v>
      </x:c>
      <x:c r="H262" s="28" t="n">
        <x:v>16</x:v>
      </x:c>
      <x:c r="I262" s="28" t="n">
        <x:v>16</x:v>
      </x:c>
      <x:c r="J262" s="28" t="n">
        <x:v>16</x:v>
      </x:c>
      <x:c r="K262" s="28" t="str">
        <x:v>16</x:v>
      </x:c>
      <x:c r="L262" s="28" t="str">
        <x:v>Programmatic outlook</x:v>
      </x:c>
      <x:c r="M262" s="28" t="str">
        <x:v>(i) Operationalization of the transfer of the WASH mandate from the MoH to the MWRS</x:v>
      </x:c>
      <x:c r="N262" s="28" t="str">
        <x:v>i operationalization of the transfer of the wash mandate from the moh to the mwrs</x:v>
      </x:c>
      <x:c r="O262" s="28" t="str">
        <x:v>56722195f7643d9a9d55a33b6352f1b81e398148428fd427af6a2a2834948a57</x:v>
      </x:c>
      <x:c r="P262" s="28" t="str"/>
      <x:c r="Q262" s="28" t="str"/>
      <x:c r="R262" s="28" t="str">
        <x:v>[[3359,3426],[3494,3509]]</x:v>
      </x:c>
      <x:c r="S262" s="28" t="str">
        <x:v>Linked candidate's verified PDF-token span</x:v>
      </x:c>
      <x:c r="T262" s="28" t="str">
        <x:v>Original Compact Text</x:v>
      </x:c>
      <x:c r="U262" s="28" t="str">
        <x:v>Transfer WASH mandate to MWRS</x:v>
      </x:c>
      <x:c r="V262" s="28" t="n">
        <x:v>0.850222</x:v>
      </x:c>
      <x:c r="W262" s="28" t="n">
        <x:v>0.897959</x:v>
      </x:c>
      <x:c r="X262" s="28" t="n">
        <x:v>0.814815</x:v>
      </x:c>
      <x:c r="Y262" s="28" t="n">
        <x:v>1</x:v>
      </x:c>
      <x:c r="Z262" s="28" t="n">
        <x:v>0.527273</x:v>
      </x:c>
      <x:c r="AA262" s="28" t="str">
        <x:v>High</x:v>
      </x:c>
      <x:c r="AB262" s="28" t="str">
        <x:v>Pass</x:v>
      </x:c>
      <x:c r="AC262" s="28" t="str">
        <x:v>Pending human review</x:v>
      </x:c>
      <x:c r="AD262" s="28" t="str"/>
      <x:c r="AE262" s="28" t="n">
        <x:v>46238.87231481481</x:v>
      </x:c>
    </x:row>
    <x:row r="263" ht="60" customHeight="1">
      <x:c r="A263" s="28" t="str">
        <x:v>ANC-SLE-052-MECH-02</x:v>
      </x:c>
      <x:c r="B263" s="28" t="str">
        <x:v>SLE-052</x:v>
      </x:c>
      <x:c r="C263" s="28" t="str">
        <x:v>DOC-SLE-WC-2026</x:v>
      </x:c>
      <x:c r="D263" s="28" t="str">
        <x:v>Explicit Mechanism</x:v>
      </x:c>
      <x:c r="E263" s="28" t="str">
        <x:v>Text Span</x:v>
      </x:c>
      <x:c r="F263" s="28" t="str">
        <x:v>SLE-035</x:v>
      </x:c>
      <x:c r="G263" s="28" t="str">
        <x:v>PDF p. 17, Appendix 1</x:v>
      </x:c>
      <x:c r="H263" s="28" t="n">
        <x:v>17</x:v>
      </x:c>
      <x:c r="I263" s="28" t="n">
        <x:v>17</x:v>
      </x:c>
      <x:c r="J263" s="28" t="n">
        <x:v>17</x:v>
      </x:c>
      <x:c r="K263" s="28" t="str">
        <x:v>17</x:v>
      </x:c>
      <x:c r="L263" s="28" t="str">
        <x:v>Programmatic outlook</x:v>
      </x:c>
      <x:c r="M263" s="28" t="str">
        <x:v>0.10 0.10 0.00 0.05 0.05 0.00 0.00 0.00 (iv) Ensure a functioning inter-ministerial platform for water sector 0.10 0.10 0.00 0.020 0.020 0.020 0.020 0.020 planning and development.</x:v>
      </x:c>
      <x:c r="N263" s="28" t="str">
        <x:v>0 10 0 10 0 00 0 05 0 05 0 00 0 00 0 00 iv ensure a function interministerial platform for water sector 0 10 0 10 0 00 0 020 0 020 0 020 0 020 0 020 plann and development</x:v>
      </x:c>
      <x:c r="O263" s="28" t="str">
        <x:v>fa3d2f84de933dc9bf461bd56638cd4ccb88f0091b978f5670eb2fb36cb263af</x:v>
      </x:c>
      <x:c r="P263" s="28" t="str"/>
      <x:c r="Q263" s="28" t="str"/>
      <x:c r="R263" s="28" t="str">
        <x:v>[[280,284],[285,289],[290,294],[295,299],[300,304],[305,309],[310,314],[315,319],[320,389],[390,394],[395,399],[400,404],[405,410],[411,416],[417,422],[423,428],[429,434],[435,460]]</x:v>
      </x:c>
      <x:c r="S263" s="28" t="str">
        <x:v>Linked candidate's verified PDF-token span</x:v>
      </x:c>
      <x:c r="T263" s="28" t="str">
        <x:v>Original Compact Text</x:v>
      </x:c>
      <x:c r="U263" s="28" t="str">
        <x:v>Inter-ministerial water platform</x:v>
      </x:c>
      <x:c r="V263" s="28" t="n">
        <x:v>0.999</x:v>
      </x:c>
      <x:c r="W263" s="28" t="n">
        <x:v>1</x:v>
      </x:c>
      <x:c r="X263" s="28" t="n">
        <x:v>1</x:v>
      </x:c>
      <x:c r="Y263" s="28" t="n">
        <x:v>1</x:v>
      </x:c>
      <x:c r="Z263" s="28" t="n">
        <x:v>0.892857</x:v>
      </x:c>
      <x:c r="AA263" s="28" t="str">
        <x:v>High</x:v>
      </x:c>
      <x:c r="AB263" s="28" t="str">
        <x:v>Pass</x:v>
      </x:c>
      <x:c r="AC263" s="28" t="str">
        <x:v>Pending human review</x:v>
      </x:c>
      <x:c r="AD263" s="28" t="str"/>
      <x:c r="AE263" s="28" t="n">
        <x:v>46238.87231481481</x:v>
      </x:c>
    </x:row>
    <x:row r="264" ht="60" customHeight="1">
      <x:c r="A264" s="28" t="str">
        <x:v>ANC-SLE-052-MECH-03</x:v>
      </x:c>
      <x:c r="B264" s="28" t="str">
        <x:v>SLE-052</x:v>
      </x:c>
      <x:c r="C264" s="28" t="str">
        <x:v>DOC-SLE-WC-2026</x:v>
      </x:c>
      <x:c r="D264" s="28" t="str">
        <x:v>Explicit Mechanism</x:v>
      </x:c>
      <x:c r="E264" s="28" t="str">
        <x:v>Text Span</x:v>
      </x:c>
      <x:c r="F264" s="28" t="str">
        <x:v>SLE-046</x:v>
      </x:c>
      <x:c r="G264" s="28" t="str">
        <x:v>PDF pp. 17–18, Appendix 1</x:v>
      </x:c>
      <x:c r="H264" s="28" t="n">
        <x:v>17</x:v>
      </x:c>
      <x:c r="I264" s="28" t="n">
        <x:v>18</x:v>
      </x:c>
      <x:c r="J264" s="28" t="n">
        <x:v>18</x:v>
      </x:c>
      <x:c r="K264" s="28" t="str">
        <x:v>18</x:v>
      </x:c>
      <x:c r="L264" s="28" t="str">
        <x:v>Programmatic outlook</x:v>
      </x:c>
      <x:c r="M264" s="28" t="str">
        <x:v>0.30 0.30 0.00 0.10 0.10 0.10 0.00 0.00 (iv) Monitor the implementation of the activities outlined in the 0.50 0.50 0.00 0.10 0.10 0.10 0.10 0.10 NWASHSDP to inform policy (v)Design and implementation of framework for collaborating with 0.10 0.10 0.00 0.02 0.02 0,02 0.02 0.00 MLGCA in WASH delivery (vi)Rolling out an M&amp;E system for all local councils 1.30 1.30 0.00 0.50 0.20 0.20 0.20 0.20 Gender, Equity (3) empower both sexes (i) Carry</x:v>
      </x:c>
      <x:c r="N264" s="28" t="str">
        <x:v>0 30 0 30 0 00 0 10 0 10 0 10 0 00 0 00 iv monitor the implementation of the activity outlin in the 0 50 0 50 0 00 0 10 0 10 0 10 0 10 0 10 nwashsdp to inform policy v design and implementation of framework for collaborat with 0 10 0 10 0 00 0 02 0 02 0 02 0 02 0 00 mlgca in wash delivery vi roll out an m e system for all local council 1 30 1 30 0 00 0 50 0 20 0 20 0 20 0 20 gender equity 3 empower both sexe i carry</x:v>
      </x:c>
      <x:c r="O264" s="28" t="str">
        <x:v>727861730dcac496150fb609aa7c320ad0c0ec555fbc63235a806bbb79b09556</x:v>
      </x:c>
      <x:c r="P264" s="28" t="str"/>
      <x:c r="Q264" s="28" t="str"/>
      <x:c r="R264" s="28" t="str">
        <x:v>[[276,280],[281,285],[286,290],[291,295],[296,300],[301,305],[306,310],[311,315],[316,381],[408,412],[413,417],[418,422],[423,427],[428,432],[433,437],[438,442],[443,447],[382,407],[448,512],[536,540],[541,545],[546,550],[551,555],[556,560],[561,565],[566,570],[571,575],[513,535],[576,628],[629,633],[634,638],[639,643],[644,648],[649,653],[654,658],[659,663],[664,668],[669,683],[684,706],[707,716]]</x:v>
      </x:c>
      <x:c r="S264" s="28" t="str">
        <x:v>Linked candidate's verified PDF-token span</x:v>
      </x:c>
      <x:c r="T264" s="28" t="str">
        <x:v>Tier 2 Label</x:v>
      </x:c>
      <x:c r="U264" s="28" t="str">
        <x:v>National sector M&amp;E system</x:v>
      </x:c>
      <x:c r="V264" s="28" t="n">
        <x:v>0.730186</x:v>
      </x:c>
      <x:c r="W264" s="28" t="n">
        <x:v>1</x:v>
      </x:c>
      <x:c r="X264" s="28" t="n">
        <x:v>1</x:v>
      </x:c>
      <x:c r="Y264" s="28" t="n">
        <x:v>1</x:v>
      </x:c>
      <x:c r="Z264" s="28" t="n">
        <x:v>0.52381</x:v>
      </x:c>
      <x:c r="AA264" s="28" t="str">
        <x:v>Medium</x:v>
      </x:c>
      <x:c r="AB264" s="28" t="str">
        <x:v>Pass</x:v>
      </x:c>
      <x:c r="AC264" s="28" t="str">
        <x:v>Pending human review</x:v>
      </x:c>
      <x:c r="AD264" s="28" t="str"/>
      <x:c r="AE264" s="28" t="n">
        <x:v>46238.87231481481</x:v>
      </x:c>
    </x:row>
    <x:row r="265" ht="60" customHeight="1">
      <x:c r="A265" s="28" t="str">
        <x:v>ANC-SLE-053-ASP</x:v>
      </x:c>
      <x:c r="B265" s="28" t="str">
        <x:v>SLE-053</x:v>
      </x:c>
      <x:c r="C265" s="28" t="str">
        <x:v>DOC-SLE-WC-2026</x:v>
      </x:c>
      <x:c r="D265" s="28" t="str">
        <x:v>Aspiration</x:v>
      </x:c>
      <x:c r="E265" s="28" t="str">
        <x:v>Text Span</x:v>
      </x:c>
      <x:c r="F265" s="28" t="str">
        <x:v>SLE-053</x:v>
      </x:c>
      <x:c r="G265" s="28" t="str">
        <x:v>PDF p. 8, goals</x:v>
      </x:c>
      <x:c r="H265" s="28" t="n">
        <x:v>8</x:v>
      </x:c>
      <x:c r="I265" s="28" t="n">
        <x:v>8</x:v>
      </x:c>
      <x:c r="J265" s="28" t="n">
        <x:v>8</x:v>
      </x:c>
      <x:c r="K265" s="28" t="str">
        <x:v>8</x:v>
      </x:c>
      <x:c r="L265" s="28" t="str">
        <x:v>Reform aspiration</x:v>
      </x:c>
      <x:c r="M265" s="28" t="str">
        <x:v>Improving water, sanitation, and hygiene sector financing.</x:v>
      </x:c>
      <x:c r="N265" s="28" t="str">
        <x:v>improv water sanitation and hygiene sector financ</x:v>
      </x:c>
      <x:c r="O265" s="28" t="str">
        <x:v>2e48f30b727bfc715b4798cc114d444695bd39321342503c20858d8ef5a59dd8</x:v>
      </x:c>
      <x:c r="P265" s="28" t="n">
        <x:v>2515</x:v>
      </x:c>
      <x:c r="Q265" s="28" t="n">
        <x:v>2573</x:v>
      </x:c>
      <x:c r="R265" s="28" t="str">
        <x:v>[[2515,2573]]</x:v>
      </x:c>
      <x:c r="S265" s="28" t="str">
        <x:v>Reused verified PDF-token span from candidate anchor</x:v>
      </x:c>
      <x:c r="T265" s="28" t="str">
        <x:v>Original Compact Text</x:v>
      </x:c>
      <x:c r="U265" s="28" t="str">
        <x:v>Improve WASH sector financing</x:v>
      </x:c>
      <x:c r="V265" s="28" t="n">
        <x:v>0.681136</x:v>
      </x:c>
      <x:c r="W265" s="28" t="n">
        <x:v>0.712644</x:v>
      </x:c>
      <x:c r="X265" s="28" t="n">
        <x:v>1</x:v>
      </x:c>
      <x:c r="Y265" s="28" t="n">
        <x:v>0.553571</x:v>
      </x:c>
      <x:c r="Z265" s="28" t="n">
        <x:v>0.666667</x:v>
      </x:c>
      <x:c r="AA265" s="28" t="str">
        <x:v>Medium</x:v>
      </x:c>
      <x:c r="AB265" s="28" t="str">
        <x:v>Pass</x:v>
      </x:c>
      <x:c r="AC265" s="28" t="str">
        <x:v>Pending human review</x:v>
      </x:c>
      <x:c r="AD265" s="28" t="str"/>
      <x:c r="AE265" s="28" t="n">
        <x:v>46238.87231481481</x:v>
      </x:c>
    </x:row>
    <x:row r="266" ht="60" customHeight="1">
      <x:c r="A266" s="28" t="str">
        <x:v>ANC-SLE-053-MECH-01</x:v>
      </x:c>
      <x:c r="B266" s="28" t="str">
        <x:v>SLE-053</x:v>
      </x:c>
      <x:c r="C266" s="28" t="str">
        <x:v>DOC-SLE-WC-2026</x:v>
      </x:c>
      <x:c r="D266" s="28" t="str">
        <x:v>Explicit Mechanism</x:v>
      </x:c>
      <x:c r="E266" s="28" t="str">
        <x:v>Text Span</x:v>
      </x:c>
      <x:c r="F266" s="28" t="str">
        <x:v>SLE-039</x:v>
      </x:c>
      <x:c r="G266" s="28" t="str">
        <x:v>PDF p. 17, Appendix 1</x:v>
      </x:c>
      <x:c r="H266" s="28" t="n">
        <x:v>17</x:v>
      </x:c>
      <x:c r="I266" s="28" t="n">
        <x:v>17</x:v>
      </x:c>
      <x:c r="J266" s="28" t="n">
        <x:v>17</x:v>
      </x:c>
      <x:c r="K266" s="28" t="str">
        <x:v>17</x:v>
      </x:c>
      <x:c r="L266" s="28" t="str">
        <x:v>Programmatic outlook</x:v>
      </x:c>
      <x:c r="M266" s="28" t="str">
        <x:v>(ii) Advocate and acquire a dedicated budget disbursement line for WASH at the sub-national level</x:v>
      </x:c>
      <x:c r="N266" s="28" t="str">
        <x:v>ii advocate and acquire a dedicat budget disbursement line for wash at the subnational level</x:v>
      </x:c>
      <x:c r="O266" s="28" t="str">
        <x:v>0633031e1a57b9d590b581a873a3fbb0d4d1bf4e82a2f666b78c1283df98be9b</x:v>
      </x:c>
      <x:c r="P266" s="28" t="str"/>
      <x:c r="Q266" s="28" t="str"/>
      <x:c r="R266" s="28" t="str">
        <x:v>[[874,940],[1006,1036]]</x:v>
      </x:c>
      <x:c r="S266" s="28" t="str">
        <x:v>Linked candidate's verified PDF-token span</x:v>
      </x:c>
      <x:c r="T266" s="28" t="str">
        <x:v>Original Compact Text</x:v>
      </x:c>
      <x:c r="U266" s="28" t="str">
        <x:v>Dedicated subnational WASH budget line</x:v>
      </x:c>
      <x:c r="V266" s="28" t="n">
        <x:v>0.796824</x:v>
      </x:c>
      <x:c r="W266" s="28" t="n">
        <x:v>0.854111</x:v>
      </x:c>
      <x:c r="X266" s="28" t="n">
        <x:v>0.74537</x:v>
      </x:c>
      <x:c r="Y266" s="28" t="n">
        <x:v>1</x:v>
      </x:c>
      <x:c r="Z266" s="28" t="n">
        <x:v>0.34375</x:v>
      </x:c>
      <x:c r="AA266" s="28" t="str">
        <x:v>High</x:v>
      </x:c>
      <x:c r="AB266" s="28" t="str">
        <x:v>Pass</x:v>
      </x:c>
      <x:c r="AC266" s="28" t="str">
        <x:v>Pending human review</x:v>
      </x:c>
      <x:c r="AD266" s="28" t="str"/>
      <x:c r="AE266" s="28" t="n">
        <x:v>46238.87231481481</x:v>
      </x:c>
    </x:row>
    <x:row r="267" ht="60" customHeight="1">
      <x:c r="A267" s="28" t="str">
        <x:v>ANC-SLE-053-MECH-02</x:v>
      </x:c>
      <x:c r="B267" s="28" t="str">
        <x:v>SLE-053</x:v>
      </x:c>
      <x:c r="C267" s="28" t="str">
        <x:v>DOC-SLE-WC-2026</x:v>
      </x:c>
      <x:c r="D267" s="28" t="str">
        <x:v>Explicit Mechanism</x:v>
      </x:c>
      <x:c r="E267" s="28" t="str">
        <x:v>Text Span</x:v>
      </x:c>
      <x:c r="F267" s="28" t="str">
        <x:v>SLE-042</x:v>
      </x:c>
      <x:c r="G267" s="28" t="str">
        <x:v>PDF p. 17, Appendix 1</x:v>
      </x:c>
      <x:c r="H267" s="28" t="n">
        <x:v>17</x:v>
      </x:c>
      <x:c r="I267" s="28" t="n">
        <x:v>17</x:v>
      </x:c>
      <x:c r="J267" s="28" t="n">
        <x:v>17</x:v>
      </x:c>
      <x:c r="K267" s="28" t="str">
        <x:v>17</x:v>
      </x:c>
      <x:c r="L267" s="28" t="str">
        <x:v>Programmatic outlook</x:v>
      </x:c>
      <x:c r="M267" s="28" t="str">
        <x:v>acquire a dedicated budget disbursement line for 0.10 0.10 0.00 0.05 0.05 0.00 0.00 0.00 policies and legislation WASH at the sub-national level (iii) Finalize the update of the National Water Sector Policy 0.20 0.20 0.00 0.10 0.10 0.00 0.00 0.00 (iv) Improve and enhance the enforcement of the Water sector legislation 0.04 0.04 0.00 0.00 0.00 0.00 0.00 0.040 and standards Finance (1) Periodic review of (i) Carry out quarterly review of water tariffs</x:v>
      </x:c>
      <x:c r="N267" s="28" t="str">
        <x:v>acquire a dedicat budget disbursement line for 0 10 0 10 0 00 0 05 0 05 0 00 0 00 0 00 policy and legislation wash at the subnational level iii finalize the update of the national water sector policy 0 20 0 20 0 00 0 10 0 10 0 00 0 00 0 00 iv improve and enhance the enforcement of the water sector legislation 0 04 0 04 0 00 0 00 0 00 0 00 0 00 0 040 and standard finance 1 periodic review of i carry out quarterly review of water tariff</x:v>
      </x:c>
      <x:c r="O267" s="28" t="str">
        <x:v>eecb65be0783cbcfe1062806f27ca43f336086bb024efc247b5d06c16d97d80e</x:v>
      </x:c>
      <x:c r="P267" s="28" t="str"/>
      <x:c r="Q267" s="28" t="str"/>
      <x:c r="R267" s="28" t="str">
        <x:v>[[892,940],[941,945],[946,950],[951,955],[956,960],[961,965],[966,970],[971,975],[976,980],[981,1005],[1006,1036],[1037,1098],[1099,1103],[1104,1108],[1109,1113],[1114,1118],[1119,1123],[1124,1128],[1129,1133],[1134,1138],[1139,1211],[1212,1216],[1217,1221],[1222,1226],[1227,1231],[1232,1236],[1237,1241],[1242,1246],[1247,1252],[1253,1266],[1267,1274],[1275,1297],[1298,1345]]</x:v>
      </x:c>
      <x:c r="S267" s="28" t="str">
        <x:v>Linked candidate's verified PDF-token span</x:v>
      </x:c>
      <x:c r="T267" s="28" t="str">
        <x:v>Original Compact Text</x:v>
      </x:c>
      <x:c r="U267" s="28" t="str">
        <x:v>Quarterly automatic tariff review</x:v>
      </x:c>
      <x:c r="V267" s="28" t="n">
        <x:v>0.782987</x:v>
      </x:c>
      <x:c r="W267" s="28" t="n">
        <x:v>0.836066</x:v>
      </x:c>
      <x:c r="X267" s="28" t="n">
        <x:v>1</x:v>
      </x:c>
      <x:c r="Y267" s="28" t="n">
        <x:v>0.71831</x:v>
      </x:c>
      <x:c r="Z267" s="28" t="n">
        <x:v>0.615385</x:v>
      </x:c>
      <x:c r="AA267" s="28" t="str">
        <x:v>High</x:v>
      </x:c>
      <x:c r="AB267" s="28" t="str">
        <x:v>Pass</x:v>
      </x:c>
      <x:c r="AC267" s="28" t="str">
        <x:v>Pending human review</x:v>
      </x:c>
      <x:c r="AD267" s="28" t="str"/>
      <x:c r="AE267" s="28" t="n">
        <x:v>46238.87231481481</x:v>
      </x:c>
    </x:row>
    <x:row r="268" ht="60" customHeight="1">
      <x:c r="A268" s="28" t="str">
        <x:v>ANC-SLE-053-MECH-03</x:v>
      </x:c>
      <x:c r="B268" s="28" t="str">
        <x:v>SLE-053</x:v>
      </x:c>
      <x:c r="C268" s="28" t="str">
        <x:v>DOC-SLE-WC-2026</x:v>
      </x:c>
      <x:c r="D268" s="28" t="str">
        <x:v>Explicit Mechanism</x:v>
      </x:c>
      <x:c r="E268" s="28" t="str">
        <x:v>Text Span</x:v>
      </x:c>
      <x:c r="F268" s="28" t="str">
        <x:v>SLE-043</x:v>
      </x:c>
      <x:c r="G268" s="28" t="str">
        <x:v>PDF p. 17, Appendix 1</x:v>
      </x:c>
      <x:c r="H268" s="28" t="n">
        <x:v>17</x:v>
      </x:c>
      <x:c r="I268" s="28" t="n">
        <x:v>17</x:v>
      </x:c>
      <x:c r="J268" s="28" t="n">
        <x:v>17</x:v>
      </x:c>
      <x:c r="K268" s="28" t="str">
        <x:v>17</x:v>
      </x:c>
      <x:c r="L268" s="28" t="str">
        <x:v>Programmatic outlook</x:v>
      </x:c>
      <x:c r="M268" s="28" t="str">
        <x:v>(ii) Implement a framework on private sector participation in the water sector, including financing (BOO, BOT, etc.)</x:v>
      </x:c>
      <x:c r="N268" s="28" t="str">
        <x:v>ii implement a framework on private sector participation in the water sector includ financ boo bot etc</x:v>
      </x:c>
      <x:c r="O268" s="28" t="str">
        <x:v>824a3f7628da1696e5d3bcce4de71db9c1cc0a57ab9dcac12f915a0132109334</x:v>
      </x:c>
      <x:c r="P268" s="28" t="str"/>
      <x:c r="Q268" s="28" t="str"/>
      <x:c r="R268" s="28" t="str">
        <x:v>[[1558,1629],[1655,1699]]</x:v>
      </x:c>
      <x:c r="S268" s="28" t="str">
        <x:v>Linked candidate's verified PDF-token span</x:v>
      </x:c>
      <x:c r="T268" s="28" t="str">
        <x:v>Verified PDF locator hint</x:v>
      </x:c>
      <x:c r="U268" s="28" t="str">
        <x:v>Implement a framework on private sector participation in the water sector, including financing</x:v>
      </x:c>
      <x:c r="V268" s="28" t="n">
        <x:v>0.999</x:v>
      </x:c>
      <x:c r="W268" s="28" t="n">
        <x:v>0.901138</x:v>
      </x:c>
      <x:c r="X268" s="28" t="n">
        <x:v>0.820065</x:v>
      </x:c>
      <x:c r="Y268" s="28" t="n">
        <x:v>1</x:v>
      </x:c>
      <x:c r="Z268" s="28" t="n">
        <x:v>0.920635</x:v>
      </x:c>
      <x:c r="AA268" s="28" t="str">
        <x:v>High</x:v>
      </x:c>
      <x:c r="AB268" s="28" t="str">
        <x:v>Pass</x:v>
      </x:c>
      <x:c r="AC268" s="28" t="str">
        <x:v>Pending human review</x:v>
      </x:c>
      <x:c r="AD268" s="28" t="str"/>
      <x:c r="AE268" s="28" t="n">
        <x:v>46238.87231481481</x:v>
      </x:c>
    </x:row>
    <x:row r="269" ht="60" customHeight="1">
      <x:c r="A269" s="28" t="str">
        <x:v>ANC-SLE-053-MECH-04</x:v>
      </x:c>
      <x:c r="B269" s="28" t="str">
        <x:v>SLE-053</x:v>
      </x:c>
      <x:c r="C269" s="28" t="str">
        <x:v>DOC-SLE-WC-2026</x:v>
      </x:c>
      <x:c r="D269" s="28" t="str">
        <x:v>Explicit Mechanism</x:v>
      </x:c>
      <x:c r="E269" s="28" t="str">
        <x:v>Text Span</x:v>
      </x:c>
      <x:c r="F269" s="28" t="str">
        <x:v>SLE-044</x:v>
      </x:c>
      <x:c r="G269" s="28" t="str">
        <x:v>PDF p. 17, Appendix 1</x:v>
      </x:c>
      <x:c r="H269" s="28" t="n">
        <x:v>17</x:v>
      </x:c>
      <x:c r="I269" s="28" t="n">
        <x:v>17</x:v>
      </x:c>
      <x:c r="J269" s="28" t="n">
        <x:v>17</x:v>
      </x:c>
      <x:c r="K269" s="28" t="str">
        <x:v>17</x:v>
      </x:c>
      <x:c r="L269" s="28" t="str">
        <x:v>Programmatic outlook</x:v>
      </x:c>
      <x:c r="M269" s="28" t="str">
        <x:v>(iii) Appraisal and adoption of a financing mechanism for capital maintenance</x:v>
      </x:c>
      <x:c r="N269" s="28" t="str">
        <x:v>iii appraisal and adoption of a financ mechanism for capital maintenance</x:v>
      </x:c>
      <x:c r="O269" s="28" t="str">
        <x:v>26cec172e13555273b5ccd6fd561355ec33045d7462584f38bf3a8421e72cdb5</x:v>
      </x:c>
      <x:c r="P269" s="28" t="str"/>
      <x:c r="Q269" s="28" t="str"/>
      <x:c r="R269" s="28" t="str">
        <x:v>[[1812,1877],[1900,1911]]</x:v>
      </x:c>
      <x:c r="S269" s="28" t="str">
        <x:v>Linked candidate's verified PDF-token span</x:v>
      </x:c>
      <x:c r="T269" s="28" t="str">
        <x:v>Verified PDF locator hint</x:v>
      </x:c>
      <x:c r="U269" s="28" t="str">
        <x:v>Appraisal and adoption of a financing mechanism for capital maintenance</x:v>
      </x:c>
      <x:c r="V269" s="28" t="n">
        <x:v>0.999</x:v>
      </x:c>
      <x:c r="W269" s="28" t="n">
        <x:v>0.970729</x:v>
      </x:c>
      <x:c r="X269" s="28" t="n">
        <x:v>0.943123</x:v>
      </x:c>
      <x:c r="Y269" s="28" t="n">
        <x:v>1</x:v>
      </x:c>
      <x:c r="Z269" s="28" t="n">
        <x:v>0.971429</x:v>
      </x:c>
      <x:c r="AA269" s="28" t="str">
        <x:v>High</x:v>
      </x:c>
      <x:c r="AB269" s="28" t="str">
        <x:v>Pass</x:v>
      </x:c>
      <x:c r="AC269" s="28" t="str">
        <x:v>Pending human review</x:v>
      </x:c>
      <x:c r="AD269" s="28" t="str"/>
      <x:c r="AE269" s="28" t="n">
        <x:v>46238.87231481481</x:v>
      </x:c>
    </x:row>
    <x:row r="270" ht="60" customHeight="1">
      <x:c r="A270" s="28" t="str">
        <x:v>ANC-SLE-054-ASP</x:v>
      </x:c>
      <x:c r="B270" s="28" t="str">
        <x:v>SLE-054</x:v>
      </x:c>
      <x:c r="C270" s="28" t="str">
        <x:v>DOC-SLE-WC-2026</x:v>
      </x:c>
      <x:c r="D270" s="28" t="str">
        <x:v>Aspiration</x:v>
      </x:c>
      <x:c r="E270" s="28" t="str">
        <x:v>Text Span</x:v>
      </x:c>
      <x:c r="F270" s="28" t="str">
        <x:v>SLE-054</x:v>
      </x:c>
      <x:c r="G270" s="28" t="str">
        <x:v>PDF p. 10, Priority Action 1</x:v>
      </x:c>
      <x:c r="H270" s="28" t="n">
        <x:v>10</x:v>
      </x:c>
      <x:c r="I270" s="28" t="n">
        <x:v>10</x:v>
      </x:c>
      <x:c r="J270" s="28" t="n">
        <x:v>10</x:v>
      </x:c>
      <x:c r="K270" s="28" t="str">
        <x:v>10</x:v>
      </x:c>
      <x:c r="L270" s="28" t="str">
        <x:v>Reform aspiration</x:v>
      </x:c>
      <x:c r="M270" s="28" t="str">
        <x:v>This priority will improve service delivery performance, customer engagement, and promote cost- recovery.</x:v>
      </x:c>
      <x:c r="N270" s="28" t="str">
        <x:v>this priority will improve service delivery performance customer engagement and promote cost recovery</x:v>
      </x:c>
      <x:c r="O270" s="28" t="str">
        <x:v>45b8d5f90b6119104b1a3d0d6abf5fbb56126acaefadb134bfb7692d555e4a49</x:v>
      </x:c>
      <x:c r="P270" s="28" t="str"/>
      <x:c r="Q270" s="28" t="str"/>
      <x:c r="R270" s="28" t="str">
        <x:v>[[1762,1857],[1858,1867]]</x:v>
      </x:c>
      <x:c r="S270" s="28" t="str">
        <x:v>Reused verified PDF-token span from candidate anchor</x:v>
      </x:c>
      <x:c r="T270" s="28" t="str">
        <x:v>Original Compact Text</x:v>
      </x:c>
      <x:c r="U270" s="28" t="str">
        <x:v>Improve customer engagement and cost recovery</x:v>
      </x:c>
      <x:c r="V270" s="28" t="n">
        <x:v>0.980695</x:v>
      </x:c>
      <x:c r="W270" s="28" t="n">
        <x:v>0.95382</x:v>
      </x:c>
      <x:c r="X270" s="28" t="n">
        <x:v>0.911717</x:v>
      </x:c>
      <x:c r="Y270" s="28" t="n">
        <x:v>1</x:v>
      </x:c>
      <x:c r="Z270" s="28" t="n">
        <x:v>0.822222</x:v>
      </x:c>
      <x:c r="AA270" s="28" t="str">
        <x:v>High</x:v>
      </x:c>
      <x:c r="AB270" s="28" t="str">
        <x:v>Pass</x:v>
      </x:c>
      <x:c r="AC270" s="28" t="str">
        <x:v>Pending human review</x:v>
      </x:c>
      <x:c r="AD270" s="28" t="str"/>
      <x:c r="AE270" s="28" t="n">
        <x:v>46238.87231481481</x:v>
      </x:c>
    </x:row>
    <x:row r="271" ht="60" customHeight="1">
      <x:c r="A271" s="28" t="str">
        <x:v>ANC-SLE-054-MECH-01</x:v>
      </x:c>
      <x:c r="B271" s="28" t="str">
        <x:v>SLE-054</x:v>
      </x:c>
      <x:c r="C271" s="28" t="str">
        <x:v>DOC-SLE-WC-2026</x:v>
      </x:c>
      <x:c r="D271" s="28" t="str">
        <x:v>Explicit Mechanism</x:v>
      </x:c>
      <x:c r="E271" s="28" t="str">
        <x:v>Text Span</x:v>
      </x:c>
      <x:c r="F271" s="28" t="str">
        <x:v>SLE-042</x:v>
      </x:c>
      <x:c r="G271" s="28" t="str">
        <x:v>PDF p. 17, Appendix 1</x:v>
      </x:c>
      <x:c r="H271" s="28" t="n">
        <x:v>17</x:v>
      </x:c>
      <x:c r="I271" s="28" t="n">
        <x:v>17</x:v>
      </x:c>
      <x:c r="J271" s="28" t="n">
        <x:v>17</x:v>
      </x:c>
      <x:c r="K271" s="28" t="str">
        <x:v>17</x:v>
      </x:c>
      <x:c r="L271" s="28" t="str">
        <x:v>Programmatic outlook</x:v>
      </x:c>
      <x:c r="M271" s="28" t="str">
        <x:v>acquire a dedicated budget disbursement line for 0.10 0.10 0.00 0.05 0.05 0.00 0.00 0.00 policies and legislation WASH at the sub-national level (iii) Finalize the update of the National Water Sector Policy 0.20 0.20 0.00 0.10 0.10 0.00 0.00 0.00 (iv) Improve and enhance the enforcement of the Water sector legislation 0.04 0.04 0.00 0.00 0.00 0.00 0.00 0.040 and standards Finance (1) Periodic review of (i) Carry out quarterly review of water tariffs</x:v>
      </x:c>
      <x:c r="N271" s="28" t="str">
        <x:v>acquire a dedicat budget disbursement line for 0 10 0 10 0 00 0 05 0 05 0 00 0 00 0 00 policy and legislation wash at the subnational level iii finalize the update of the national water sector policy 0 20 0 20 0 00 0 10 0 10 0 00 0 00 0 00 iv improve and enhance the enforcement of the water sector legislation 0 04 0 04 0 00 0 00 0 00 0 00 0 00 0 040 and standard finance 1 periodic review of i carry out quarterly review of water tariff</x:v>
      </x:c>
      <x:c r="O271" s="28" t="str">
        <x:v>eecb65be0783cbcfe1062806f27ca43f336086bb024efc247b5d06c16d97d80e</x:v>
      </x:c>
      <x:c r="P271" s="28" t="str"/>
      <x:c r="Q271" s="28" t="str"/>
      <x:c r="R271" s="28" t="str">
        <x:v>[[892,940],[941,945],[946,950],[951,955],[956,960],[961,965],[966,970],[971,975],[976,980],[981,1005],[1006,1036],[1037,1098],[1099,1103],[1104,1108],[1109,1113],[1114,1118],[1119,1123],[1124,1128],[1129,1133],[1134,1138],[1139,1211],[1212,1216],[1217,1221],[1222,1226],[1227,1231],[1232,1236],[1237,1241],[1242,1246],[1247,1252],[1253,1266],[1267,1274],[1275,1297],[1298,1345]]</x:v>
      </x:c>
      <x:c r="S271" s="28" t="str">
        <x:v>Linked candidate's verified PDF-token span</x:v>
      </x:c>
      <x:c r="T271" s="28" t="str">
        <x:v>Original Compact Text</x:v>
      </x:c>
      <x:c r="U271" s="28" t="str">
        <x:v>Quarterly automatic tariff review</x:v>
      </x:c>
      <x:c r="V271" s="28" t="n">
        <x:v>0.782987</x:v>
      </x:c>
      <x:c r="W271" s="28" t="n">
        <x:v>0.836066</x:v>
      </x:c>
      <x:c r="X271" s="28" t="n">
        <x:v>1</x:v>
      </x:c>
      <x:c r="Y271" s="28" t="n">
        <x:v>0.71831</x:v>
      </x:c>
      <x:c r="Z271" s="28" t="n">
        <x:v>0.615385</x:v>
      </x:c>
      <x:c r="AA271" s="28" t="str">
        <x:v>High</x:v>
      </x:c>
      <x:c r="AB271" s="28" t="str">
        <x:v>Pass</x:v>
      </x:c>
      <x:c r="AC271" s="28" t="str">
        <x:v>Pending human review</x:v>
      </x:c>
      <x:c r="AD271" s="28" t="str"/>
      <x:c r="AE271" s="28" t="n">
        <x:v>46238.87231481481</x:v>
      </x:c>
    </x:row>
    <x:row r="272" ht="60" customHeight="1">
      <x:c r="A272" s="28" t="str">
        <x:v>ANC-SLE-055-ASP</x:v>
      </x:c>
      <x:c r="B272" s="28" t="str">
        <x:v>SLE-055</x:v>
      </x:c>
      <x:c r="C272" s="28" t="str">
        <x:v>DOC-SLE-WC-2026</x:v>
      </x:c>
      <x:c r="D272" s="28" t="str">
        <x:v>Aspiration</x:v>
      </x:c>
      <x:c r="E272" s="28" t="str">
        <x:v>Text Span</x:v>
      </x:c>
      <x:c r="F272" s="28" t="str">
        <x:v>SLE-055</x:v>
      </x:c>
      <x:c r="G272" s="28" t="str">
        <x:v>PDF p. 11, Priority Action 3</x:v>
      </x:c>
      <x:c r="H272" s="28" t="n">
        <x:v>11</x:v>
      </x:c>
      <x:c r="I272" s="28" t="n">
        <x:v>11</x:v>
      </x:c>
      <x:c r="J272" s="28" t="n">
        <x:v>11</x:v>
      </x:c>
      <x:c r="K272" s="28" t="str">
        <x:v>11</x:v>
      </x:c>
      <x:c r="L272" s="28" t="str">
        <x:v>Reform aspiration</x:v>
      </x:c>
      <x:c r="M272" s="28" t="str">
        <x:v>Priority Action 3: Invest in Inclusive Sanitation and Hygiene Services with a Gender-responsive</x:v>
      </x:c>
      <x:c r="N272" s="28" t="str">
        <x:v>priority action 3 invest in inclusive sanitation and hygiene service with a genderresponsive</x:v>
      </x:c>
      <x:c r="O272" s="28" t="str">
        <x:v>1ce4684f46b731ff5bf804fa2dd234dc3382524781ca35efafd445ede758ce96</x:v>
      </x:c>
      <x:c r="P272" s="28" t="n">
        <x:v>0</x:v>
      </x:c>
      <x:c r="Q272" s="28" t="n">
        <x:v>95</x:v>
      </x:c>
      <x:c r="R272" s="28" t="str">
        <x:v>[[0,95]]</x:v>
      </x:c>
      <x:c r="S272" s="28" t="str">
        <x:v>Reused verified PDF-token span from candidate anchor</x:v>
      </x:c>
      <x:c r="T272" s="28" t="str">
        <x:v>Original Compact Text</x:v>
      </x:c>
      <x:c r="U272" s="28" t="str">
        <x:v>Gender-responsive inclusive sanitation</x:v>
      </x:c>
      <x:c r="V272" s="28" t="n">
        <x:v>0.744319</x:v>
      </x:c>
      <x:c r="W272" s="28" t="n">
        <x:v>0.777328</x:v>
      </x:c>
      <x:c r="X272" s="28" t="n">
        <x:v>0.635762</x:v>
      </x:c>
      <x:c r="Y272" s="28" t="n">
        <x:v>1</x:v>
      </x:c>
      <x:c r="Z272" s="28" t="n">
        <x:v>0.387597</x:v>
      </x:c>
      <x:c r="AA272" s="28" t="str">
        <x:v>Medium</x:v>
      </x:c>
      <x:c r="AB272" s="28" t="str">
        <x:v>Pass</x:v>
      </x:c>
      <x:c r="AC272" s="28" t="str">
        <x:v>Pending human review</x:v>
      </x:c>
      <x:c r="AD272" s="28" t="str"/>
      <x:c r="AE272" s="28" t="n">
        <x:v>46238.87231481481</x:v>
      </x:c>
    </x:row>
    <x:row r="273" ht="60" customHeight="1">
      <x:c r="A273" s="28" t="str">
        <x:v>ANC-SLE-056-ASP</x:v>
      </x:c>
      <x:c r="B273" s="28" t="str">
        <x:v>SLE-056</x:v>
      </x:c>
      <x:c r="C273" s="28" t="str">
        <x:v>DOC-SLE-WC-2026</x:v>
      </x:c>
      <x:c r="D273" s="28" t="str">
        <x:v>Aspiration</x:v>
      </x:c>
      <x:c r="E273" s="28" t="str">
        <x:v>Table Cell/Row</x:v>
      </x:c>
      <x:c r="F273" s="28" t="str">
        <x:v>SLE-056</x:v>
      </x:c>
      <x:c r="G273" s="28" t="str">
        <x:v>PDF p. 9, Table 1</x:v>
      </x:c>
      <x:c r="H273" s="28" t="n">
        <x:v>9</x:v>
      </x:c>
      <x:c r="I273" s="28" t="n">
        <x:v>9</x:v>
      </x:c>
      <x:c r="J273" s="28" t="n">
        <x:v>9</x:v>
      </x:c>
      <x:c r="K273" s="28" t="str">
        <x:v>9</x:v>
      </x:c>
      <x:c r="L273" s="28" t="str">
        <x:v>Target table</x:v>
      </x:c>
      <x:c r="M273" s="28" t="str">
        <x:v>Achieve 90% access to at least basic water services</x:v>
      </x:c>
      <x:c r="N273" s="28" t="str">
        <x:v>achieve 90 access to at least basic water service</x:v>
      </x:c>
      <x:c r="O273" s="28" t="str">
        <x:v>d09fefba583d1543e8715c79d7e753f107dc00c4e08154096cc805480a444097</x:v>
      </x:c>
      <x:c r="P273" s="28" t="n">
        <x:v>1437</x:v>
      </x:c>
      <x:c r="Q273" s="28" t="n">
        <x:v>1488</x:v>
      </x:c>
      <x:c r="R273" s="28" t="str">
        <x:v>[[1437,1488]]</x:v>
      </x:c>
      <x:c r="S273" s="28" t="str">
        <x:v>Reused verified PDF-token span from candidate anchor</x:v>
      </x:c>
      <x:c r="T273" s="28" t="str">
        <x:v>Original Compact Text</x:v>
      </x:c>
      <x:c r="U273" s="28" t="str">
        <x:v>90% basic water access</x:v>
      </x:c>
      <x:c r="V273" s="28" t="n">
        <x:v>0.801497</x:v>
      </x:c>
      <x:c r="W273" s="28" t="n">
        <x:v>0.802867</x:v>
      </x:c>
      <x:c r="X273" s="28" t="n">
        <x:v>0.670659</x:v>
      </x:c>
      <x:c r="Y273" s="28" t="n">
        <x:v>1</x:v>
      </x:c>
      <x:c r="Z273" s="28" t="n">
        <x:v>0.485714</x:v>
      </x:c>
      <x:c r="AA273" s="28" t="str">
        <x:v>High</x:v>
      </x:c>
      <x:c r="AB273" s="28" t="str">
        <x:v>Pass</x:v>
      </x:c>
      <x:c r="AC273" s="28" t="str">
        <x:v>Pending human review</x:v>
      </x:c>
      <x:c r="AD273" s="28" t="str"/>
      <x:c r="AE273" s="28" t="n">
        <x:v>46238.87231481481</x:v>
      </x:c>
    </x:row>
    <x:row r="274" ht="60" customHeight="1">
      <x:c r="A274" s="28" t="str">
        <x:v>ANC-SLE-057-ASP</x:v>
      </x:c>
      <x:c r="B274" s="28" t="str">
        <x:v>SLE-057</x:v>
      </x:c>
      <x:c r="C274" s="28" t="str">
        <x:v>DOC-SLE-WC-2026</x:v>
      </x:c>
      <x:c r="D274" s="28" t="str">
        <x:v>Aspiration</x:v>
      </x:c>
      <x:c r="E274" s="28" t="str">
        <x:v>Table Cell/Row</x:v>
      </x:c>
      <x:c r="F274" s="28" t="str">
        <x:v>SLE-057</x:v>
      </x:c>
      <x:c r="G274" s="28" t="str">
        <x:v>PDF p. 9, Table 1</x:v>
      </x:c>
      <x:c r="H274" s="28" t="n">
        <x:v>9</x:v>
      </x:c>
      <x:c r="I274" s="28" t="n">
        <x:v>9</x:v>
      </x:c>
      <x:c r="J274" s="28" t="n">
        <x:v>9</x:v>
      </x:c>
      <x:c r="K274" s="28" t="str">
        <x:v>9</x:v>
      </x:c>
      <x:c r="L274" s="28" t="str">
        <x:v>Target table</x:v>
      </x:c>
      <x:c r="M274" s="28" t="str">
        <x:v>Sanitation access</x:v>
      </x:c>
      <x:c r="N274" s="28" t="str">
        <x:v>sanitation access</x:v>
      </x:c>
      <x:c r="O274" s="28" t="str">
        <x:v>08f564f0a154dff457abf8a8497f8d39fba02545c5336bc68ba0ae891abb174c</x:v>
      </x:c>
      <x:c r="P274" s="28" t="n">
        <x:v>1538</x:v>
      </x:c>
      <x:c r="Q274" s="28" t="n">
        <x:v>1555</x:v>
      </x:c>
      <x:c r="R274" s="28" t="str">
        <x:v>[[1538,1555]]</x:v>
      </x:c>
      <x:c r="S274" s="28" t="str">
        <x:v>Reused verified PDF-token span from candidate anchor</x:v>
      </x:c>
      <x:c r="T274" s="28" t="str">
        <x:v>Original Compact Text</x:v>
      </x:c>
      <x:c r="U274" s="28" t="str">
        <x:v>76% sanitation access</x:v>
      </x:c>
      <x:c r="V274" s="28" t="n">
        <x:v>0.843599</x:v>
      </x:c>
      <x:c r="W274" s="28" t="n">
        <x:v>0.855491</x:v>
      </x:c>
      <x:c r="X274" s="28" t="n">
        <x:v>1</x:v>
      </x:c>
      <x:c r="Y274" s="28" t="n">
        <x:v>0.747475</x:v>
      </x:c>
      <x:c r="Z274" s="28" t="n">
        <x:v>0.918919</x:v>
      </x:c>
      <x:c r="AA274" s="28" t="str">
        <x:v>High</x:v>
      </x:c>
      <x:c r="AB274" s="28" t="str">
        <x:v>Pass</x:v>
      </x:c>
      <x:c r="AC274" s="28" t="str">
        <x:v>Pending human review</x:v>
      </x:c>
      <x:c r="AD274" s="28" t="str"/>
      <x:c r="AE274" s="28" t="n">
        <x:v>46238.87231481481</x:v>
      </x:c>
    </x:row>
    <x:row r="275" ht="60" customHeight="1">
      <x:c r="A275" s="28" t="str">
        <x:v>ANC-SLE-058-ASP</x:v>
      </x:c>
      <x:c r="B275" s="28" t="str">
        <x:v>SLE-058</x:v>
      </x:c>
      <x:c r="C275" s="28" t="str">
        <x:v>DOC-SLE-WC-2026</x:v>
      </x:c>
      <x:c r="D275" s="28" t="str">
        <x:v>Aspiration</x:v>
      </x:c>
      <x:c r="E275" s="28" t="str">
        <x:v>Table Cell/Row</x:v>
      </x:c>
      <x:c r="F275" s="28" t="str">
        <x:v>SLE-058</x:v>
      </x:c>
      <x:c r="G275" s="28" t="str">
        <x:v>PDF pp. 9–10, Table 1</x:v>
      </x:c>
      <x:c r="H275" s="28" t="n">
        <x:v>9</x:v>
      </x:c>
      <x:c r="I275" s="28" t="n">
        <x:v>10</x:v>
      </x:c>
      <x:c r="J275" s="28" t="n">
        <x:v>9</x:v>
      </x:c>
      <x:c r="K275" s="28" t="str">
        <x:v>9</x:v>
      </x:c>
      <x:c r="L275" s="28" t="str">
        <x:v>Target table</x:v>
      </x:c>
      <x:c r="M275" s="28" t="str">
        <x:v>Provide at least basic water services to 60% of schools</x:v>
      </x:c>
      <x:c r="N275" s="28" t="str">
        <x:v>provide at least basic water service to 60 of school</x:v>
      </x:c>
      <x:c r="O275" s="28" t="str">
        <x:v>015facf08b839b28e55dbd7d9d4da3c784f0b2fdea33bcf2e077af297650a045</x:v>
      </x:c>
      <x:c r="P275" s="28" t="n">
        <x:v>2471</x:v>
      </x:c>
      <x:c r="Q275" s="28" t="n">
        <x:v>2526</x:v>
      </x:c>
      <x:c r="R275" s="28" t="str">
        <x:v>[[2471,2526]]</x:v>
      </x:c>
      <x:c r="S275" s="28" t="str">
        <x:v>Reused verified PDF-token span from candidate anchor</x:v>
      </x:c>
      <x:c r="T275" s="28" t="str">
        <x:v>Verified PDF locator hint</x:v>
      </x:c>
      <x:c r="U275" s="28" t="str">
        <x:v>Provide at least basic water services to 60% of schools</x:v>
      </x:c>
      <x:c r="V275" s="28" t="n">
        <x:v>0.999</x:v>
      </x:c>
      <x:c r="W275" s="28" t="n">
        <x:v>1</x:v>
      </x:c>
      <x:c r="X275" s="28" t="n">
        <x:v>1</x:v>
      </x:c>
      <x:c r="Y275" s="28" t="n">
        <x:v>1</x:v>
      </x:c>
      <x:c r="Z275" s="28" t="n">
        <x:v>1</x:v>
      </x:c>
      <x:c r="AA275" s="28" t="str">
        <x:v>High</x:v>
      </x:c>
      <x:c r="AB275" s="28" t="str">
        <x:v>Pass</x:v>
      </x:c>
      <x:c r="AC275" s="28" t="str">
        <x:v>Pending human review</x:v>
      </x:c>
      <x:c r="AD275" s="28" t="str"/>
      <x:c r="AE275" s="28" t="n">
        <x:v>46238.87231481481</x:v>
      </x:c>
    </x:row>
    <x:row r="276" ht="60" customHeight="1">
      <x:c r="A276" s="29" t="str">
        <x:v>ANC-SLE-059-ASP</x:v>
      </x:c>
      <x:c r="B276" s="29" t="str">
        <x:v>SLE-059</x:v>
      </x:c>
      <x:c r="C276" s="29" t="str">
        <x:v>DOC-SLE-WC-2026</x:v>
      </x:c>
      <x:c r="D276" s="29" t="str">
        <x:v>Aspiration</x:v>
      </x:c>
      <x:c r="E276" s="29" t="str">
        <x:v>Table Cell/Row</x:v>
      </x:c>
      <x:c r="F276" s="29" t="str">
        <x:v>SLE-059</x:v>
      </x:c>
      <x:c r="G276" s="29" t="str">
        <x:v>PDF p. 9, Table 1</x:v>
      </x:c>
      <x:c r="H276" s="29" t="n">
        <x:v>9</x:v>
      </x:c>
      <x:c r="I276" s="29" t="n">
        <x:v>9</x:v>
      </x:c>
      <x:c r="J276" s="29" t="n">
        <x:v>9</x:v>
      </x:c>
      <x:c r="K276" s="29" t="str">
        <x:v>9</x:v>
      </x:c>
      <x:c r="L276" s="29" t="str">
        <x:v>Target table</x:v>
      </x:c>
      <x:c r="M276" s="29" t="str">
        <x:v>River basin restoration</x:v>
      </x:c>
      <x:c r="N276" s="29" t="str">
        <x:v>river basin restoration</x:v>
      </x:c>
      <x:c r="O276" s="29" t="str">
        <x:v>259a116747614214a0f600a667557d8d68bd5e0296c4b9fd62b2c73296c70d79</x:v>
      </x:c>
      <x:c r="P276" s="29" t="str"/>
      <x:c r="Q276" s="29" t="str"/>
      <x:c r="R276" s="29" t="str">
        <x:v>[[2008,2019],[2102,2113]]</x:v>
      </x:c>
      <x:c r="S276" s="29" t="str">
        <x:v>Reused verified PDF-token span from candidate anchor</x:v>
      </x:c>
      <x:c r="T276" s="29" t="str">
        <x:v>Tier 2 Label</x:v>
      </x:c>
      <x:c r="U276" s="29" t="str">
        <x:v>Basin restoration</x:v>
      </x:c>
      <x:c r="V276" s="29" t="n">
        <x:v>0.78925</x:v>
      </x:c>
      <x:c r="W276" s="29" t="n">
        <x:v>0.914992</x:v>
      </x:c>
      <x:c r="X276" s="29" t="n">
        <x:v>0.843305</x:v>
      </x:c>
      <x:c r="Y276" s="29" t="n">
        <x:v>1</x:v>
      </x:c>
      <x:c r="Z276" s="29" t="n">
        <x:v>0.85</x:v>
      </x:c>
      <x:c r="AA276" s="29" t="str">
        <x:v>High</x:v>
      </x:c>
      <x:c r="AB276" s="29" t="str">
        <x:v>Pass</x:v>
      </x:c>
      <x:c r="AC276" s="29" t="str">
        <x:v>Pending human review</x:v>
      </x:c>
      <x:c r="AD276" s="29" t="str"/>
      <x:c r="AE276" s="29" t="n">
        <x:v>46238.87231481481</x:v>
      </x:c>
    </x:row>
  </x:sheetData>
  <x:mergeCells>
    <x:mergeCell ref="A1:AE1"/>
    <x:mergeCell ref="A2:AE2"/>
  </x:mergeCells>
  <x:conditionalFormatting sqref="AA5:AA276">
    <x:cfRule type="containsText" dxfId="3" priority="1" operator="containsText" text="High"/>
    <x:cfRule type="containsText" dxfId="4" priority="2" operator="containsText" text="Medium"/>
    <x:cfRule type="containsText" dxfId="5" priority="3" operator="containsText" text="Low"/>
  </x:conditionalFormatting>
  <x:conditionalFormatting sqref="D5:D276">
    <x:cfRule type="containsText" dxfId="6" priority="4" operator="containsText" text="Aspiration"/>
    <x:cfRule type="containsText" dxfId="7" priority="5" operator="containsText" text="Explicit Mechanism"/>
  </x:conditionalFormatting>
  <x:dataValidations count="1">
    <x:dataValidation type="list" sqref="AC5:AC276">
      <x:formula1>"Pending human review,Review in progress,Accepted,Corrected,Rejected,Needs adjudication"</x:formula1>
    </x:dataValidation>
  </x:dataValidations>
  <x:pageMargins left="0.7" right="0.7" top="0.75" bottom="0.75" header="0.3" footer="0.3"/>
  <x:tableParts count="1">
    <x:tablePart xmlns:r="http://schemas.openxmlformats.org/officeDocument/2006/relationships" r:id="R769ba3fa647e413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1" hidden="0" customWidth="1"/>
    <x:col min="2" max="2" width="25" hidden="0" customWidth="1"/>
    <x:col min="3" max="3" width="13" hidden="0" customWidth="1"/>
    <x:col min="4" max="4" width="13" hidden="0" customWidth="1"/>
    <x:col min="5" max="5" width="13" hidden="0" customWidth="1"/>
    <x:col min="6" max="6" width="13" hidden="0" customWidth="1"/>
    <x:col min="7" max="7" width="13" hidden="0" customWidth="1"/>
    <x:col min="8" max="8" width="18" hidden="0" customWidth="1"/>
    <x:col min="9" max="9" width="18" hidden="0" customWidth="1"/>
    <x:col min="10" max="10" width="18" hidden="0" customWidth="1"/>
    <x:col min="11" max="11" width="18" hidden="0" customWidth="1"/>
    <x:col min="12" max="12" width="18" hidden="0" customWidth="1"/>
    <x:col min="13" max="13" width="19" hidden="0" customWidth="1"/>
    <x:col min="14" max="14" width="18" hidden="0" customWidth="1"/>
    <x:col min="15" max="15" width="18" hidden="0" customWidth="1"/>
  </x:cols>
  <x:sheetData>
    <x:row r="1" ht="31" customHeight="1">
      <x:c r="A1" s="23" t="str">
        <x:v>Anchor Rectangles — Replit/PDF.js Highlight Coordinates</x:v>
      </x:c>
      <x:c r="B1" s="23"/>
      <x:c r="C1" s="23"/>
      <x:c r="D1" s="23"/>
      <x:c r="E1" s="23"/>
      <x:c r="F1" s="23"/>
      <x:c r="G1" s="23"/>
      <x:c r="H1" s="23"/>
      <x:c r="I1" s="23"/>
      <x:c r="J1" s="23"/>
      <x:c r="K1" s="23"/>
      <x:c r="L1" s="23"/>
      <x:c r="M1" s="23"/>
      <x:c r="N1" s="23"/>
      <x:c r="O1" s="23"/>
    </x:row>
    <x:row r="2" ht="32" customHeight="1">
      <x:c r="A2" s="24" t="str">
        <x:v>Coordinates use a top-left origin. Normalized coordinates are preferred for browser rendering at any zoom level.</x:v>
      </x:c>
      <x:c r="B2" s="24"/>
      <x:c r="C2" s="24"/>
      <x:c r="D2" s="24"/>
      <x:c r="E2" s="24"/>
      <x:c r="F2" s="24"/>
      <x:c r="G2" s="24"/>
      <x:c r="H2" s="24"/>
      <x:c r="I2" s="24"/>
      <x:c r="J2" s="24"/>
      <x:c r="K2" s="24"/>
      <x:c r="L2" s="24"/>
      <x:c r="M2" s="24"/>
      <x:c r="N2" s="24"/>
      <x:c r="O2" s="24"/>
    </x:row>
    <x:row r="3">
      <x:c r="A3" s="25"/>
      <x:c r="B3" s="25"/>
      <x:c r="C3" s="25"/>
      <x:c r="D3" s="25"/>
      <x:c r="E3" s="25"/>
      <x:c r="F3" s="25"/>
      <x:c r="G3" s="25"/>
      <x:c r="H3" s="25"/>
      <x:c r="I3" s="25"/>
      <x:c r="J3" s="25"/>
      <x:c r="K3" s="25"/>
      <x:c r="L3" s="25"/>
      <x:c r="M3" s="25"/>
      <x:c r="N3" s="25"/>
      <x:c r="O3" s="25"/>
    </x:row>
    <x:row r="4" ht="40" customHeight="1">
      <x:c r="A4" s="26" t="str">
        <x:v>rectangle_id</x:v>
      </x:c>
      <x:c r="B4" s="26" t="str">
        <x:v>anchor_id</x:v>
      </x:c>
      <x:c r="C4" s="26" t="str">
        <x:v>page_number</x:v>
      </x:c>
      <x:c r="D4" s="26" t="str">
        <x:v>x0</x:v>
      </x:c>
      <x:c r="E4" s="26" t="str">
        <x:v>y0</x:v>
      </x:c>
      <x:c r="F4" s="26" t="str">
        <x:v>x1</x:v>
      </x:c>
      <x:c r="G4" s="26" t="str">
        <x:v>y1</x:v>
      </x:c>
      <x:c r="H4" s="26" t="str">
        <x:v>x0_normalized</x:v>
      </x:c>
      <x:c r="I4" s="26" t="str">
        <x:v>y0_normalized</x:v>
      </x:c>
      <x:c r="J4" s="26" t="str">
        <x:v>x1_normalized</x:v>
      </x:c>
      <x:c r="K4" s="26" t="str">
        <x:v>y1_normalized</x:v>
      </x:c>
      <x:c r="L4" s="26" t="str">
        <x:v>page_width_points</x:v>
      </x:c>
      <x:c r="M4" s="26" t="str">
        <x:v>page_height_points</x:v>
      </x:c>
      <x:c r="N4" s="26" t="str">
        <x:v>coordinate_origin</x:v>
      </x:c>
      <x:c r="O4" s="26" t="str">
        <x:v>coordinate_unit</x:v>
      </x:c>
    </x:row>
    <x:row r="5" ht="22" customHeight="1">
      <x:c r="A5" s="27" t="str">
        <x:v>ANC-CAM-001-01-R01</x:v>
      </x:c>
      <x:c r="B5" s="27" t="str">
        <x:v>ANC-CAM-001-01</x:v>
      </x:c>
      <x:c r="C5" s="27" t="n">
        <x:v>6</x:v>
      </x:c>
      <x:c r="D5" s="46" t="n">
        <x:v>243</x:v>
      </x:c>
      <x:c r="E5" s="46" t="n">
        <x:v>152.53</x:v>
      </x:c>
      <x:c r="F5" s="46" t="n">
        <x:v>538.772</x:v>
      </x:c>
      <x:c r="G5" s="46" t="n">
        <x:v>166.716</x:v>
      </x:c>
      <x:c r="H5" s="49" t="n">
        <x:v>0.397059</x:v>
      </x:c>
      <x:c r="I5" s="49" t="n">
        <x:v>0.192588</x:v>
      </x:c>
      <x:c r="J5" s="49" t="n">
        <x:v>0.880346</x:v>
      </x:c>
      <x:c r="K5" s="49" t="n">
        <x:v>0.2105</x:v>
      </x:c>
      <x:c r="L5" s="46" t="n">
        <x:v>612</x:v>
      </x:c>
      <x:c r="M5" s="46" t="n">
        <x:v>792</x:v>
      </x:c>
      <x:c r="N5" s="27" t="str">
        <x:v>top-left</x:v>
      </x:c>
      <x:c r="O5" s="27" t="str">
        <x:v>PDF points</x:v>
      </x:c>
    </x:row>
    <x:row r="6" ht="22" customHeight="1">
      <x:c r="A6" s="28" t="str">
        <x:v>ANC-CAM-002-01-R01</x:v>
      </x:c>
      <x:c r="B6" s="28" t="str">
        <x:v>ANC-CAM-002-01</x:v>
      </x:c>
      <x:c r="C6" s="28" t="n">
        <x:v>6</x:v>
      </x:c>
      <x:c r="D6" s="47" t="n">
        <x:v>243</x:v>
      </x:c>
      <x:c r="E6" s="47" t="n">
        <x:v>179.295</x:v>
      </x:c>
      <x:c r="F6" s="47" t="n">
        <x:v>526.901</x:v>
      </x:c>
      <x:c r="G6" s="47" t="n">
        <x:v>193.481</x:v>
      </x:c>
      <x:c r="H6" s="50" t="n">
        <x:v>0.397059</x:v>
      </x:c>
      <x:c r="I6" s="50" t="n">
        <x:v>0.226382</x:v>
      </x:c>
      <x:c r="J6" s="50" t="n">
        <x:v>0.86095</x:v>
      </x:c>
      <x:c r="K6" s="50" t="n">
        <x:v>0.244295</x:v>
      </x:c>
      <x:c r="L6" s="47" t="n">
        <x:v>612</x:v>
      </x:c>
      <x:c r="M6" s="47" t="n">
        <x:v>792</x:v>
      </x:c>
      <x:c r="N6" s="28" t="str">
        <x:v>top-left</x:v>
      </x:c>
      <x:c r="O6" s="28" t="str">
        <x:v>PDF points</x:v>
      </x:c>
    </x:row>
    <x:row r="7" ht="22" customHeight="1">
      <x:c r="A7" s="28" t="str">
        <x:v>ANC-CAM-003-01-R01</x:v>
      </x:c>
      <x:c r="B7" s="28" t="str">
        <x:v>ANC-CAM-003-01</x:v>
      </x:c>
      <x:c r="C7" s="28" t="n">
        <x:v>6</x:v>
      </x:c>
      <x:c r="D7" s="47" t="n">
        <x:v>243.044</x:v>
      </x:c>
      <x:c r="E7" s="47" t="n">
        <x:v>219.602</x:v>
      </x:c>
      <x:c r="F7" s="47" t="n">
        <x:v>495.497</x:v>
      </x:c>
      <x:c r="G7" s="47" t="n">
        <x:v>233.788</x:v>
      </x:c>
      <x:c r="H7" s="50" t="n">
        <x:v>0.397131</x:v>
      </x:c>
      <x:c r="I7" s="50" t="n">
        <x:v>0.277275</x:v>
      </x:c>
      <x:c r="J7" s="50" t="n">
        <x:v>0.809636</x:v>
      </x:c>
      <x:c r="K7" s="50" t="n">
        <x:v>0.295187</x:v>
      </x:c>
      <x:c r="L7" s="47" t="n">
        <x:v>612</x:v>
      </x:c>
      <x:c r="M7" s="47" t="n">
        <x:v>792</x:v>
      </x:c>
      <x:c r="N7" s="28" t="str">
        <x:v>top-left</x:v>
      </x:c>
      <x:c r="O7" s="28" t="str">
        <x:v>PDF points</x:v>
      </x:c>
    </x:row>
    <x:row r="8" ht="22" customHeight="1">
      <x:c r="A8" s="28" t="str">
        <x:v>ANC-CAM-004-01-R01</x:v>
      </x:c>
      <x:c r="B8" s="28" t="str">
        <x:v>ANC-CAM-004-01</x:v>
      </x:c>
      <x:c r="C8" s="28" t="n">
        <x:v>6</x:v>
      </x:c>
      <x:c r="D8" s="47" t="n">
        <x:v>243.044</x:v>
      </x:c>
      <x:c r="E8" s="47" t="n">
        <x:v>259.909</x:v>
      </x:c>
      <x:c r="F8" s="47" t="n">
        <x:v>528.739</x:v>
      </x:c>
      <x:c r="G8" s="47" t="n">
        <x:v>274.095</x:v>
      </x:c>
      <x:c r="H8" s="50" t="n">
        <x:v>0.397131</x:v>
      </x:c>
      <x:c r="I8" s="50" t="n">
        <x:v>0.328168</x:v>
      </x:c>
      <x:c r="J8" s="50" t="n">
        <x:v>0.863953</x:v>
      </x:c>
      <x:c r="K8" s="50" t="n">
        <x:v>0.34608</x:v>
      </x:c>
      <x:c r="L8" s="47" t="n">
        <x:v>612</x:v>
      </x:c>
      <x:c r="M8" s="47" t="n">
        <x:v>792</x:v>
      </x:c>
      <x:c r="N8" s="28" t="str">
        <x:v>top-left</x:v>
      </x:c>
      <x:c r="O8" s="28" t="str">
        <x:v>PDF points</x:v>
      </x:c>
    </x:row>
    <x:row r="9" ht="22" customHeight="1">
      <x:c r="A9" s="28" t="str">
        <x:v>ANC-CAM-005-01-R01</x:v>
      </x:c>
      <x:c r="B9" s="28" t="str">
        <x:v>ANC-CAM-005-01</x:v>
      </x:c>
      <x:c r="C9" s="28" t="n">
        <x:v>6</x:v>
      </x:c>
      <x:c r="D9" s="47" t="n">
        <x:v>243.066</x:v>
      </x:c>
      <x:c r="E9" s="47" t="n">
        <x:v>313.541</x:v>
      </x:c>
      <x:c r="F9" s="47" t="n">
        <x:v>488.042</x:v>
      </x:c>
      <x:c r="G9" s="47" t="n">
        <x:v>327.728</x:v>
      </x:c>
      <x:c r="H9" s="50" t="n">
        <x:v>0.397167</x:v>
      </x:c>
      <x:c r="I9" s="50" t="n">
        <x:v>0.395885</x:v>
      </x:c>
      <x:c r="J9" s="50" t="n">
        <x:v>0.797454</x:v>
      </x:c>
      <x:c r="K9" s="50" t="n">
        <x:v>0.413797</x:v>
      </x:c>
      <x:c r="L9" s="47" t="n">
        <x:v>612</x:v>
      </x:c>
      <x:c r="M9" s="47" t="n">
        <x:v>792</x:v>
      </x:c>
      <x:c r="N9" s="28" t="str">
        <x:v>top-left</x:v>
      </x:c>
      <x:c r="O9" s="28" t="str">
        <x:v>PDF points</x:v>
      </x:c>
    </x:row>
    <x:row r="10" ht="22" customHeight="1">
      <x:c r="A10" s="28" t="str">
        <x:v>ANC-CAM-005-01-R02</x:v>
      </x:c>
      <x:c r="B10" s="28" t="str">
        <x:v>ANC-CAM-005-01</x:v>
      </x:c>
      <x:c r="C10" s="28" t="n">
        <x:v>6</x:v>
      </x:c>
      <x:c r="D10" s="47" t="n">
        <x:v>243.077</x:v>
      </x:c>
      <x:c r="E10" s="47" t="n">
        <x:v>326.977</x:v>
      </x:c>
      <x:c r="F10" s="47" t="n">
        <x:v>530.645</x:v>
      </x:c>
      <x:c r="G10" s="47" t="n">
        <x:v>341.163</x:v>
      </x:c>
      <x:c r="H10" s="50" t="n">
        <x:v>0.397185</x:v>
      </x:c>
      <x:c r="I10" s="50" t="n">
        <x:v>0.41285</x:v>
      </x:c>
      <x:c r="J10" s="50" t="n">
        <x:v>0.867067</x:v>
      </x:c>
      <x:c r="K10" s="50" t="n">
        <x:v>0.430762</x:v>
      </x:c>
      <x:c r="L10" s="47" t="n">
        <x:v>612</x:v>
      </x:c>
      <x:c r="M10" s="47" t="n">
        <x:v>792</x:v>
      </x:c>
      <x:c r="N10" s="28" t="str">
        <x:v>top-left</x:v>
      </x:c>
      <x:c r="O10" s="28" t="str">
        <x:v>PDF points</x:v>
      </x:c>
    </x:row>
    <x:row r="11" ht="22" customHeight="1">
      <x:c r="A11" s="28" t="str">
        <x:v>ANC-CAM-006-01-R01</x:v>
      </x:c>
      <x:c r="B11" s="28" t="str">
        <x:v>ANC-CAM-006-01</x:v>
      </x:c>
      <x:c r="C11" s="28" t="n">
        <x:v>6</x:v>
      </x:c>
      <x:c r="D11" s="47" t="n">
        <x:v>243.077</x:v>
      </x:c>
      <x:c r="E11" s="47" t="n">
        <x:v>353.848</x:v>
      </x:c>
      <x:c r="F11" s="47" t="n">
        <x:v>524.484</x:v>
      </x:c>
      <x:c r="G11" s="47" t="n">
        <x:v>368.035</x:v>
      </x:c>
      <x:c r="H11" s="50" t="n">
        <x:v>0.397185</x:v>
      </x:c>
      <x:c r="I11" s="50" t="n">
        <x:v>0.446778</x:v>
      </x:c>
      <x:c r="J11" s="50" t="n">
        <x:v>0.857</x:v>
      </x:c>
      <x:c r="K11" s="50" t="n">
        <x:v>0.46469</x:v>
      </x:c>
      <x:c r="L11" s="47" t="n">
        <x:v>612</x:v>
      </x:c>
      <x:c r="M11" s="47" t="n">
        <x:v>792</x:v>
      </x:c>
      <x:c r="N11" s="28" t="str">
        <x:v>top-left</x:v>
      </x:c>
      <x:c r="O11" s="28" t="str">
        <x:v>PDF points</x:v>
      </x:c>
    </x:row>
    <x:row r="12" ht="22" customHeight="1">
      <x:c r="A12" s="28" t="str">
        <x:v>ANC-CAM-007-01-R01</x:v>
      </x:c>
      <x:c r="B12" s="28" t="str">
        <x:v>ANC-CAM-007-01</x:v>
      </x:c>
      <x:c r="C12" s="28" t="n">
        <x:v>6</x:v>
      </x:c>
      <x:c r="D12" s="47" t="n">
        <x:v>243.077</x:v>
      </x:c>
      <x:c r="E12" s="47" t="n">
        <x:v>394.155</x:v>
      </x:c>
      <x:c r="F12" s="47" t="n">
        <x:v>517.248</x:v>
      </x:c>
      <x:c r="G12" s="47" t="n">
        <x:v>408.342</x:v>
      </x:c>
      <x:c r="H12" s="50" t="n">
        <x:v>0.397185</x:v>
      </x:c>
      <x:c r="I12" s="50" t="n">
        <x:v>0.497671</x:v>
      </x:c>
      <x:c r="J12" s="50" t="n">
        <x:v>0.845176</x:v>
      </x:c>
      <x:c r="K12" s="50" t="n">
        <x:v>0.515583</x:v>
      </x:c>
      <x:c r="L12" s="47" t="n">
        <x:v>612</x:v>
      </x:c>
      <x:c r="M12" s="47" t="n">
        <x:v>792</x:v>
      </x:c>
      <x:c r="N12" s="28" t="str">
        <x:v>top-left</x:v>
      </x:c>
      <x:c r="O12" s="28" t="str">
        <x:v>PDF points</x:v>
      </x:c>
    </x:row>
    <x:row r="13" ht="22" customHeight="1">
      <x:c r="A13" s="28" t="str">
        <x:v>ANC-CAM-008-01-R01</x:v>
      </x:c>
      <x:c r="B13" s="28" t="str">
        <x:v>ANC-CAM-008-01</x:v>
      </x:c>
      <x:c r="C13" s="28" t="n">
        <x:v>6</x:v>
      </x:c>
      <x:c r="D13" s="47" t="n">
        <x:v>243.088</x:v>
      </x:c>
      <x:c r="E13" s="47" t="n">
        <x:v>434.352</x:v>
      </x:c>
      <x:c r="F13" s="47" t="n">
        <x:v>534.509</x:v>
      </x:c>
      <x:c r="G13" s="47" t="n">
        <x:v>448.538</x:v>
      </x:c>
      <x:c r="H13" s="50" t="n">
        <x:v>0.397203</x:v>
      </x:c>
      <x:c r="I13" s="50" t="n">
        <x:v>0.548424</x:v>
      </x:c>
      <x:c r="J13" s="50" t="n">
        <x:v>0.873381</x:v>
      </x:c>
      <x:c r="K13" s="50" t="n">
        <x:v>0.566336</x:v>
      </x:c>
      <x:c r="L13" s="47" t="n">
        <x:v>612</x:v>
      </x:c>
      <x:c r="M13" s="47" t="n">
        <x:v>792</x:v>
      </x:c>
      <x:c r="N13" s="28" t="str">
        <x:v>top-left</x:v>
      </x:c>
      <x:c r="O13" s="28" t="str">
        <x:v>PDF points</x:v>
      </x:c>
    </x:row>
    <x:row r="14" ht="22" customHeight="1">
      <x:c r="A14" s="28" t="str">
        <x:v>ANC-CAM-009-01-R01</x:v>
      </x:c>
      <x:c r="B14" s="28" t="str">
        <x:v>ANC-CAM-009-01</x:v>
      </x:c>
      <x:c r="C14" s="28" t="n">
        <x:v>6</x:v>
      </x:c>
      <x:c r="D14" s="47" t="n">
        <x:v>243.099</x:v>
      </x:c>
      <x:c r="E14" s="47" t="n">
        <x:v>461.223</x:v>
      </x:c>
      <x:c r="F14" s="47" t="n">
        <x:v>535.668</x:v>
      </x:c>
      <x:c r="G14" s="47" t="n">
        <x:v>475.41</x:v>
      </x:c>
      <x:c r="H14" s="50" t="n">
        <x:v>0.397221</x:v>
      </x:c>
      <x:c r="I14" s="50" t="n">
        <x:v>0.582352</x:v>
      </x:c>
      <x:c r="J14" s="50" t="n">
        <x:v>0.875275</x:v>
      </x:c>
      <x:c r="K14" s="50" t="n">
        <x:v>0.600265</x:v>
      </x:c>
      <x:c r="L14" s="47" t="n">
        <x:v>612</x:v>
      </x:c>
      <x:c r="M14" s="47" t="n">
        <x:v>792</x:v>
      </x:c>
      <x:c r="N14" s="28" t="str">
        <x:v>top-left</x:v>
      </x:c>
      <x:c r="O14" s="28" t="str">
        <x:v>PDF points</x:v>
      </x:c>
    </x:row>
    <x:row r="15" ht="22" customHeight="1">
      <x:c r="A15" s="28" t="str">
        <x:v>ANC-CAM-010-01-R01</x:v>
      </x:c>
      <x:c r="B15" s="28" t="str">
        <x:v>ANC-CAM-010-01</x:v>
      </x:c>
      <x:c r="C15" s="28" t="n">
        <x:v>6</x:v>
      </x:c>
      <x:c r="D15" s="47" t="n">
        <x:v>243</x:v>
      </x:c>
      <x:c r="E15" s="47" t="n">
        <x:v>498.13</x:v>
      </x:c>
      <x:c r="F15" s="47" t="n">
        <x:v>515.821</x:v>
      </x:c>
      <x:c r="G15" s="47" t="n">
        <x:v>512.316</x:v>
      </x:c>
      <x:c r="H15" s="50" t="n">
        <x:v>0.397059</x:v>
      </x:c>
      <x:c r="I15" s="50" t="n">
        <x:v>0.628952</x:v>
      </x:c>
      <x:c r="J15" s="50" t="n">
        <x:v>0.842845</x:v>
      </x:c>
      <x:c r="K15" s="50" t="n">
        <x:v>0.646864</x:v>
      </x:c>
      <x:c r="L15" s="47" t="n">
        <x:v>612</x:v>
      </x:c>
      <x:c r="M15" s="47" t="n">
        <x:v>792</x:v>
      </x:c>
      <x:c r="N15" s="28" t="str">
        <x:v>top-left</x:v>
      </x:c>
      <x:c r="O15" s="28" t="str">
        <x:v>PDF points</x:v>
      </x:c>
    </x:row>
    <x:row r="16" ht="22" customHeight="1">
      <x:c r="A16" s="28" t="str">
        <x:v>ANC-CAM-010-01-R02</x:v>
      </x:c>
      <x:c r="B16" s="28" t="str">
        <x:v>ANC-CAM-010-01</x:v>
      </x:c>
      <x:c r="C16" s="28" t="n">
        <x:v>6</x:v>
      </x:c>
      <x:c r="D16" s="47" t="n">
        <x:v>243</x:v>
      </x:c>
      <x:c r="E16" s="47" t="n">
        <x:v>511.57</x:v>
      </x:c>
      <x:c r="F16" s="47" t="n">
        <x:v>537.202</x:v>
      </x:c>
      <x:c r="G16" s="47" t="n">
        <x:v>525.756</x:v>
      </x:c>
      <x:c r="H16" s="50" t="n">
        <x:v>0.397059</x:v>
      </x:c>
      <x:c r="I16" s="50" t="n">
        <x:v>0.645921</x:v>
      </x:c>
      <x:c r="J16" s="50" t="n">
        <x:v>0.87778</x:v>
      </x:c>
      <x:c r="K16" s="50" t="n">
        <x:v>0.663833</x:v>
      </x:c>
      <x:c r="L16" s="47" t="n">
        <x:v>612</x:v>
      </x:c>
      <x:c r="M16" s="47" t="n">
        <x:v>792</x:v>
      </x:c>
      <x:c r="N16" s="28" t="str">
        <x:v>top-left</x:v>
      </x:c>
      <x:c r="O16" s="28" t="str">
        <x:v>PDF points</x:v>
      </x:c>
    </x:row>
    <x:row r="17" ht="22" customHeight="1">
      <x:c r="A17" s="28" t="str">
        <x:v>ANC-CAM-010-01-R03</x:v>
      </x:c>
      <x:c r="B17" s="28" t="str">
        <x:v>ANC-CAM-010-01</x:v>
      </x:c>
      <x:c r="C17" s="28" t="n">
        <x:v>6</x:v>
      </x:c>
      <x:c r="D17" s="47" t="n">
        <x:v>243</x:v>
      </x:c>
      <x:c r="E17" s="47" t="n">
        <x:v>525.01</x:v>
      </x:c>
      <x:c r="F17" s="47" t="n">
        <x:v>434.56</x:v>
      </x:c>
      <x:c r="G17" s="47" t="n">
        <x:v>539.196</x:v>
      </x:c>
      <x:c r="H17" s="50" t="n">
        <x:v>0.397059</x:v>
      </x:c>
      <x:c r="I17" s="50" t="n">
        <x:v>0.662891</x:v>
      </x:c>
      <x:c r="J17" s="50" t="n">
        <x:v>0.710065</x:v>
      </x:c>
      <x:c r="K17" s="50" t="n">
        <x:v>0.680803</x:v>
      </x:c>
      <x:c r="L17" s="47" t="n">
        <x:v>612</x:v>
      </x:c>
      <x:c r="M17" s="47" t="n">
        <x:v>792</x:v>
      </x:c>
      <x:c r="N17" s="28" t="str">
        <x:v>top-left</x:v>
      </x:c>
      <x:c r="O17" s="28" t="str">
        <x:v>PDF points</x:v>
      </x:c>
    </x:row>
    <x:row r="18" ht="22" customHeight="1">
      <x:c r="A18" s="28" t="str">
        <x:v>ANC-CAM-011-01-R01</x:v>
      </x:c>
      <x:c r="B18" s="28" t="str">
        <x:v>ANC-CAM-011-01</x:v>
      </x:c>
      <x:c r="C18" s="28" t="n">
        <x:v>6</x:v>
      </x:c>
      <x:c r="D18" s="47" t="n">
        <x:v>243</x:v>
      </x:c>
      <x:c r="E18" s="47" t="n">
        <x:v>538.45</x:v>
      </x:c>
      <x:c r="F18" s="47" t="n">
        <x:v>470.711</x:v>
      </x:c>
      <x:c r="G18" s="47" t="n">
        <x:v>552.636</x:v>
      </x:c>
      <x:c r="H18" s="50" t="n">
        <x:v>0.397059</x:v>
      </x:c>
      <x:c r="I18" s="50" t="n">
        <x:v>0.679861</x:v>
      </x:c>
      <x:c r="J18" s="50" t="n">
        <x:v>0.769136</x:v>
      </x:c>
      <x:c r="K18" s="50" t="n">
        <x:v>0.697773</x:v>
      </x:c>
      <x:c r="L18" s="47" t="n">
        <x:v>612</x:v>
      </x:c>
      <x:c r="M18" s="47" t="n">
        <x:v>792</x:v>
      </x:c>
      <x:c r="N18" s="28" t="str">
        <x:v>top-left</x:v>
      </x:c>
      <x:c r="O18" s="28" t="str">
        <x:v>PDF points</x:v>
      </x:c>
    </x:row>
    <x:row r="19" ht="22" customHeight="1">
      <x:c r="A19" s="28" t="str">
        <x:v>ANC-CAM-011-01-R02</x:v>
      </x:c>
      <x:c r="B19" s="28" t="str">
        <x:v>ANC-CAM-011-01</x:v>
      </x:c>
      <x:c r="C19" s="28" t="n">
        <x:v>6</x:v>
      </x:c>
      <x:c r="D19" s="47" t="n">
        <x:v>243</x:v>
      </x:c>
      <x:c r="E19" s="47" t="n">
        <x:v>551.885</x:v>
      </x:c>
      <x:c r="F19" s="47" t="n">
        <x:v>511.848</x:v>
      </x:c>
      <x:c r="G19" s="47" t="n">
        <x:v>566.072</x:v>
      </x:c>
      <x:c r="H19" s="50" t="n">
        <x:v>0.397059</x:v>
      </x:c>
      <x:c r="I19" s="50" t="n">
        <x:v>0.696825</x:v>
      </x:c>
      <x:c r="J19" s="50" t="n">
        <x:v>0.836354</x:v>
      </x:c>
      <x:c r="K19" s="50" t="n">
        <x:v>0.714737</x:v>
      </x:c>
      <x:c r="L19" s="47" t="n">
        <x:v>612</x:v>
      </x:c>
      <x:c r="M19" s="47" t="n">
        <x:v>792</x:v>
      </x:c>
      <x:c r="N19" s="28" t="str">
        <x:v>top-left</x:v>
      </x:c>
      <x:c r="O19" s="28" t="str">
        <x:v>PDF points</x:v>
      </x:c>
    </x:row>
    <x:row r="20" ht="22" customHeight="1">
      <x:c r="A20" s="28" t="str">
        <x:v>ANC-CAM-012-01-R01</x:v>
      </x:c>
      <x:c r="B20" s="28" t="str">
        <x:v>ANC-CAM-012-01</x:v>
      </x:c>
      <x:c r="C20" s="28" t="n">
        <x:v>6</x:v>
      </x:c>
      <x:c r="D20" s="47" t="n">
        <x:v>243</x:v>
      </x:c>
      <x:c r="E20" s="47" t="n">
        <x:v>565.33</x:v>
      </x:c>
      <x:c r="F20" s="47" t="n">
        <x:v>489.582</x:v>
      </x:c>
      <x:c r="G20" s="47" t="n">
        <x:v>579.516</x:v>
      </x:c>
      <x:c r="H20" s="50" t="n">
        <x:v>0.397059</x:v>
      </x:c>
      <x:c r="I20" s="50" t="n">
        <x:v>0.7138</x:v>
      </x:c>
      <x:c r="J20" s="50" t="n">
        <x:v>0.79997</x:v>
      </x:c>
      <x:c r="K20" s="50" t="n">
        <x:v>0.731712</x:v>
      </x:c>
      <x:c r="L20" s="47" t="n">
        <x:v>612</x:v>
      </x:c>
      <x:c r="M20" s="47" t="n">
        <x:v>792</x:v>
      </x:c>
      <x:c r="N20" s="28" t="str">
        <x:v>top-left</x:v>
      </x:c>
      <x:c r="O20" s="28" t="str">
        <x:v>PDF points</x:v>
      </x:c>
    </x:row>
    <x:row r="21" ht="22" customHeight="1">
      <x:c r="A21" s="28" t="str">
        <x:v>ANC-CAM-012-01-R02</x:v>
      </x:c>
      <x:c r="B21" s="28" t="str">
        <x:v>ANC-CAM-012-01</x:v>
      </x:c>
      <x:c r="C21" s="28" t="n">
        <x:v>6</x:v>
      </x:c>
      <x:c r="D21" s="47" t="n">
        <x:v>243</x:v>
      </x:c>
      <x:c r="E21" s="47" t="n">
        <x:v>578.765</x:v>
      </x:c>
      <x:c r="F21" s="47" t="n">
        <x:v>491.655</x:v>
      </x:c>
      <x:c r="G21" s="47" t="n">
        <x:v>592.952</x:v>
      </x:c>
      <x:c r="H21" s="50" t="n">
        <x:v>0.397059</x:v>
      </x:c>
      <x:c r="I21" s="50" t="n">
        <x:v>0.730764</x:v>
      </x:c>
      <x:c r="J21" s="50" t="n">
        <x:v>0.803358</x:v>
      </x:c>
      <x:c r="K21" s="50" t="n">
        <x:v>0.748676</x:v>
      </x:c>
      <x:c r="L21" s="47" t="n">
        <x:v>612</x:v>
      </x:c>
      <x:c r="M21" s="47" t="n">
        <x:v>792</x:v>
      </x:c>
      <x:c r="N21" s="28" t="str">
        <x:v>top-left</x:v>
      </x:c>
      <x:c r="O21" s="28" t="str">
        <x:v>PDF points</x:v>
      </x:c>
    </x:row>
    <x:row r="22" ht="22" customHeight="1">
      <x:c r="A22" s="28" t="str">
        <x:v>ANC-CAM-013-01-R01</x:v>
      </x:c>
      <x:c r="B22" s="28" t="str">
        <x:v>ANC-CAM-013-01</x:v>
      </x:c>
      <x:c r="C22" s="28" t="n">
        <x:v>6</x:v>
      </x:c>
      <x:c r="D22" s="47" t="n">
        <x:v>243</x:v>
      </x:c>
      <x:c r="E22" s="47" t="n">
        <x:v>600.13</x:v>
      </x:c>
      <x:c r="F22" s="47" t="n">
        <x:v>531.779</x:v>
      </x:c>
      <x:c r="G22" s="47" t="n">
        <x:v>614.316</x:v>
      </x:c>
      <x:c r="H22" s="50" t="n">
        <x:v>0.397059</x:v>
      </x:c>
      <x:c r="I22" s="50" t="n">
        <x:v>0.757739</x:v>
      </x:c>
      <x:c r="J22" s="50" t="n">
        <x:v>0.868919</x:v>
      </x:c>
      <x:c r="K22" s="50" t="n">
        <x:v>0.775652</x:v>
      </x:c>
      <x:c r="L22" s="47" t="n">
        <x:v>612</x:v>
      </x:c>
      <x:c r="M22" s="47" t="n">
        <x:v>792</x:v>
      </x:c>
      <x:c r="N22" s="28" t="str">
        <x:v>top-left</x:v>
      </x:c>
      <x:c r="O22" s="28" t="str">
        <x:v>PDF points</x:v>
      </x:c>
    </x:row>
    <x:row r="23" ht="22" customHeight="1">
      <x:c r="A23" s="28" t="str">
        <x:v>ANC-CAM-014-01-R01</x:v>
      </x:c>
      <x:c r="B23" s="28" t="str">
        <x:v>ANC-CAM-014-01</x:v>
      </x:c>
      <x:c r="C23" s="28" t="n">
        <x:v>6</x:v>
      </x:c>
      <x:c r="D23" s="47" t="n">
        <x:v>243.033</x:v>
      </x:c>
      <x:c r="E23" s="47" t="n">
        <x:v>635.049</x:v>
      </x:c>
      <x:c r="F23" s="47" t="n">
        <x:v>533.07</x:v>
      </x:c>
      <x:c r="G23" s="47" t="n">
        <x:v>649.236</x:v>
      </x:c>
      <x:c r="H23" s="50" t="n">
        <x:v>0.397113</x:v>
      </x:c>
      <x:c r="I23" s="50" t="n">
        <x:v>0.80183</x:v>
      </x:c>
      <x:c r="J23" s="50" t="n">
        <x:v>0.87103</x:v>
      </x:c>
      <x:c r="K23" s="50" t="n">
        <x:v>0.819742</x:v>
      </x:c>
      <x:c r="L23" s="47" t="n">
        <x:v>612</x:v>
      </x:c>
      <x:c r="M23" s="47" t="n">
        <x:v>792</x:v>
      </x:c>
      <x:c r="N23" s="28" t="str">
        <x:v>top-left</x:v>
      </x:c>
      <x:c r="O23" s="28" t="str">
        <x:v>PDF points</x:v>
      </x:c>
    </x:row>
    <x:row r="24" ht="22" customHeight="1">
      <x:c r="A24" s="28" t="str">
        <x:v>ANC-CAM-014-01-R02</x:v>
      </x:c>
      <x:c r="B24" s="28" t="str">
        <x:v>ANC-CAM-014-01</x:v>
      </x:c>
      <x:c r="C24" s="28" t="n">
        <x:v>6</x:v>
      </x:c>
      <x:c r="D24" s="47" t="n">
        <x:v>243.033</x:v>
      </x:c>
      <x:c r="E24" s="47" t="n">
        <x:v>648.485</x:v>
      </x:c>
      <x:c r="F24" s="47" t="n">
        <x:v>345.32</x:v>
      </x:c>
      <x:c r="G24" s="47" t="n">
        <x:v>662.671</x:v>
      </x:c>
      <x:c r="H24" s="50" t="n">
        <x:v>0.397113</x:v>
      </x:c>
      <x:c r="I24" s="50" t="n">
        <x:v>0.818794</x:v>
      </x:c>
      <x:c r="J24" s="50" t="n">
        <x:v>0.564248</x:v>
      </x:c>
      <x:c r="K24" s="50" t="n">
        <x:v>0.836706</x:v>
      </x:c>
      <x:c r="L24" s="47" t="n">
        <x:v>612</x:v>
      </x:c>
      <x:c r="M24" s="47" t="n">
        <x:v>792</x:v>
      </x:c>
      <x:c r="N24" s="28" t="str">
        <x:v>top-left</x:v>
      </x:c>
      <x:c r="O24" s="28" t="str">
        <x:v>PDF points</x:v>
      </x:c>
    </x:row>
    <x:row r="25" ht="22" customHeight="1">
      <x:c r="A25" s="28" t="str">
        <x:v>ANC-CAM-015-01-R01</x:v>
      </x:c>
      <x:c r="B25" s="28" t="str">
        <x:v>ANC-CAM-015-01</x:v>
      </x:c>
      <x:c r="C25" s="28" t="n">
        <x:v>7</x:v>
      </x:c>
      <x:c r="D25" s="47" t="n">
        <x:v>243</x:v>
      </x:c>
      <x:c r="E25" s="47" t="n">
        <x:v>127.81</x:v>
      </x:c>
      <x:c r="F25" s="47" t="n">
        <x:v>509.833</x:v>
      </x:c>
      <x:c r="G25" s="47" t="n">
        <x:v>141.996</x:v>
      </x:c>
      <x:c r="H25" s="50" t="n">
        <x:v>0.397059</x:v>
      </x:c>
      <x:c r="I25" s="50" t="n">
        <x:v>0.161376</x:v>
      </x:c>
      <x:c r="J25" s="50" t="n">
        <x:v>0.833061</x:v>
      </x:c>
      <x:c r="K25" s="50" t="n">
        <x:v>0.179288</x:v>
      </x:c>
      <x:c r="L25" s="47" t="n">
        <x:v>612</x:v>
      </x:c>
      <x:c r="M25" s="47" t="n">
        <x:v>792</x:v>
      </x:c>
      <x:c r="N25" s="28" t="str">
        <x:v>top-left</x:v>
      </x:c>
      <x:c r="O25" s="28" t="str">
        <x:v>PDF points</x:v>
      </x:c>
    </x:row>
    <x:row r="26" ht="22" customHeight="1">
      <x:c r="A26" s="28" t="str">
        <x:v>ANC-CAM-015-01-R02</x:v>
      </x:c>
      <x:c r="B26" s="28" t="str">
        <x:v>ANC-CAM-015-01</x:v>
      </x:c>
      <x:c r="C26" s="28" t="n">
        <x:v>7</x:v>
      </x:c>
      <x:c r="D26" s="47" t="n">
        <x:v>243</x:v>
      </x:c>
      <x:c r="E26" s="47" t="n">
        <x:v>141.25</x:v>
      </x:c>
      <x:c r="F26" s="47" t="n">
        <x:v>536.347</x:v>
      </x:c>
      <x:c r="G26" s="47" t="n">
        <x:v>155.436</x:v>
      </x:c>
      <x:c r="H26" s="50" t="n">
        <x:v>0.397059</x:v>
      </x:c>
      <x:c r="I26" s="50" t="n">
        <x:v>0.178345</x:v>
      </x:c>
      <x:c r="J26" s="50" t="n">
        <x:v>0.876384</x:v>
      </x:c>
      <x:c r="K26" s="50" t="n">
        <x:v>0.196258</x:v>
      </x:c>
      <x:c r="L26" s="47" t="n">
        <x:v>612</x:v>
      </x:c>
      <x:c r="M26" s="47" t="n">
        <x:v>792</x:v>
      </x:c>
      <x:c r="N26" s="28" t="str">
        <x:v>top-left</x:v>
      </x:c>
      <x:c r="O26" s="28" t="str">
        <x:v>PDF points</x:v>
      </x:c>
    </x:row>
    <x:row r="27" ht="22" customHeight="1">
      <x:c r="A27" s="28" t="str">
        <x:v>ANC-CAM-016-01-R01</x:v>
      </x:c>
      <x:c r="B27" s="28" t="str">
        <x:v>ANC-CAM-016-01</x:v>
      </x:c>
      <x:c r="C27" s="28" t="n">
        <x:v>7</x:v>
      </x:c>
      <x:c r="D27" s="47" t="n">
        <x:v>243.12</x:v>
      </x:c>
      <x:c r="E27" s="47" t="n">
        <x:v>249.01</x:v>
      </x:c>
      <x:c r="F27" s="47" t="n">
        <x:v>526.384</x:v>
      </x:c>
      <x:c r="G27" s="47" t="n">
        <x:v>263.196</x:v>
      </x:c>
      <x:c r="H27" s="50" t="n">
        <x:v>0.397255</x:v>
      </x:c>
      <x:c r="I27" s="50" t="n">
        <x:v>0.314406</x:v>
      </x:c>
      <x:c r="J27" s="50" t="n">
        <x:v>0.860104</x:v>
      </x:c>
      <x:c r="K27" s="50" t="n">
        <x:v>0.332318</x:v>
      </x:c>
      <x:c r="L27" s="47" t="n">
        <x:v>612</x:v>
      </x:c>
      <x:c r="M27" s="47" t="n">
        <x:v>792</x:v>
      </x:c>
      <x:c r="N27" s="28" t="str">
        <x:v>top-left</x:v>
      </x:c>
      <x:c r="O27" s="28" t="str">
        <x:v>PDF points</x:v>
      </x:c>
    </x:row>
    <x:row r="28" ht="22" customHeight="1">
      <x:c r="A28" s="28" t="str">
        <x:v>ANC-CAM-017-01-R01</x:v>
      </x:c>
      <x:c r="B28" s="28" t="str">
        <x:v>ANC-CAM-017-01</x:v>
      </x:c>
      <x:c r="C28" s="28" t="n">
        <x:v>7</x:v>
      </x:c>
      <x:c r="D28" s="47" t="n">
        <x:v>243.12</x:v>
      </x:c>
      <x:c r="E28" s="47" t="n">
        <x:v>275.89</x:v>
      </x:c>
      <x:c r="F28" s="47" t="n">
        <x:v>528.826</x:v>
      </x:c>
      <x:c r="G28" s="47" t="n">
        <x:v>290.076</x:v>
      </x:c>
      <x:c r="H28" s="50" t="n">
        <x:v>0.397255</x:v>
      </x:c>
      <x:c r="I28" s="50" t="n">
        <x:v>0.348345</x:v>
      </x:c>
      <x:c r="J28" s="50" t="n">
        <x:v>0.864095</x:v>
      </x:c>
      <x:c r="K28" s="50" t="n">
        <x:v>0.366258</x:v>
      </x:c>
      <x:c r="L28" s="47" t="n">
        <x:v>612</x:v>
      </x:c>
      <x:c r="M28" s="47" t="n">
        <x:v>792</x:v>
      </x:c>
      <x:c r="N28" s="28" t="str">
        <x:v>top-left</x:v>
      </x:c>
      <x:c r="O28" s="28" t="str">
        <x:v>PDF points</x:v>
      </x:c>
    </x:row>
    <x:row r="29" ht="22" customHeight="1">
      <x:c r="A29" s="28" t="str">
        <x:v>ANC-CAM-017-01-R02</x:v>
      </x:c>
      <x:c r="B29" s="28" t="str">
        <x:v>ANC-CAM-017-01</x:v>
      </x:c>
      <x:c r="C29" s="28" t="n">
        <x:v>7</x:v>
      </x:c>
      <x:c r="D29" s="47" t="n">
        <x:v>243.142</x:v>
      </x:c>
      <x:c r="E29" s="47" t="n">
        <x:v>289.325</x:v>
      </x:c>
      <x:c r="F29" s="47" t="n">
        <x:v>496.364</x:v>
      </x:c>
      <x:c r="G29" s="47" t="n">
        <x:v>303.512</x:v>
      </x:c>
      <x:c r="H29" s="50" t="n">
        <x:v>0.397291</x:v>
      </x:c>
      <x:c r="I29" s="50" t="n">
        <x:v>0.36531</x:v>
      </x:c>
      <x:c r="J29" s="50" t="n">
        <x:v>0.811053</x:v>
      </x:c>
      <x:c r="K29" s="50" t="n">
        <x:v>0.383222</x:v>
      </x:c>
      <x:c r="L29" s="47" t="n">
        <x:v>612</x:v>
      </x:c>
      <x:c r="M29" s="47" t="n">
        <x:v>792</x:v>
      </x:c>
      <x:c r="N29" s="28" t="str">
        <x:v>top-left</x:v>
      </x:c>
      <x:c r="O29" s="28" t="str">
        <x:v>PDF points</x:v>
      </x:c>
    </x:row>
    <x:row r="30" ht="22" customHeight="1">
      <x:c r="A30" s="28" t="str">
        <x:v>ANC-CAM-018-01-R01</x:v>
      </x:c>
      <x:c r="B30" s="28" t="str">
        <x:v>ANC-CAM-018-01</x:v>
      </x:c>
      <x:c r="C30" s="28" t="n">
        <x:v>7</x:v>
      </x:c>
      <x:c r="D30" s="47" t="n">
        <x:v>243.12</x:v>
      </x:c>
      <x:c r="E30" s="47" t="n">
        <x:v>316.21</x:v>
      </x:c>
      <x:c r="F30" s="47" t="n">
        <x:v>529.24</x:v>
      </x:c>
      <x:c r="G30" s="47" t="n">
        <x:v>330.396</x:v>
      </x:c>
      <x:c r="H30" s="50" t="n">
        <x:v>0.397255</x:v>
      </x:c>
      <x:c r="I30" s="50" t="n">
        <x:v>0.399255</x:v>
      </x:c>
      <x:c r="J30" s="50" t="n">
        <x:v>0.864772</x:v>
      </x:c>
      <x:c r="K30" s="50" t="n">
        <x:v>0.417167</x:v>
      </x:c>
      <x:c r="L30" s="47" t="n">
        <x:v>612</x:v>
      </x:c>
      <x:c r="M30" s="47" t="n">
        <x:v>792</x:v>
      </x:c>
      <x:c r="N30" s="28" t="str">
        <x:v>top-left</x:v>
      </x:c>
      <x:c r="O30" s="28" t="str">
        <x:v>PDF points</x:v>
      </x:c>
    </x:row>
    <x:row r="31" ht="22" customHeight="1">
      <x:c r="A31" s="28" t="str">
        <x:v>ANC-CAM-019-01-R01</x:v>
      </x:c>
      <x:c r="B31" s="28" t="str">
        <x:v>ANC-CAM-019-01</x:v>
      </x:c>
      <x:c r="C31" s="28" t="n">
        <x:v>7</x:v>
      </x:c>
      <x:c r="D31" s="47" t="n">
        <x:v>243.12</x:v>
      </x:c>
      <x:c r="E31" s="47" t="n">
        <x:v>356.41</x:v>
      </x:c>
      <x:c r="F31" s="47" t="n">
        <x:v>513.782</x:v>
      </x:c>
      <x:c r="G31" s="47" t="n">
        <x:v>370.596</x:v>
      </x:c>
      <x:c r="H31" s="50" t="n">
        <x:v>0.397255</x:v>
      </x:c>
      <x:c r="I31" s="50" t="n">
        <x:v>0.450012</x:v>
      </x:c>
      <x:c r="J31" s="50" t="n">
        <x:v>0.839513</x:v>
      </x:c>
      <x:c r="K31" s="50" t="n">
        <x:v>0.467924</x:v>
      </x:c>
      <x:c r="L31" s="47" t="n">
        <x:v>612</x:v>
      </x:c>
      <x:c r="M31" s="47" t="n">
        <x:v>792</x:v>
      </x:c>
      <x:c r="N31" s="28" t="str">
        <x:v>top-left</x:v>
      </x:c>
      <x:c r="O31" s="28" t="str">
        <x:v>PDF points</x:v>
      </x:c>
    </x:row>
    <x:row r="32" ht="22" customHeight="1">
      <x:c r="A32" s="28" t="str">
        <x:v>ANC-CAM-020-01-R01</x:v>
      </x:c>
      <x:c r="B32" s="28" t="str">
        <x:v>ANC-CAM-020-01</x:v>
      </x:c>
      <x:c r="C32" s="28" t="n">
        <x:v>11</x:v>
      </x:c>
      <x:c r="D32" s="47" t="n">
        <x:v>227.16</x:v>
      </x:c>
      <x:c r="E32" s="47" t="n">
        <x:v>422.765</x:v>
      </x:c>
      <x:c r="F32" s="47" t="n">
        <x:v>334.85</x:v>
      </x:c>
      <x:c r="G32" s="47" t="n">
        <x:v>436.952</x:v>
      </x:c>
      <x:c r="H32" s="50" t="n">
        <x:v>0.371176</x:v>
      </x:c>
      <x:c r="I32" s="50" t="n">
        <x:v>0.533795</x:v>
      </x:c>
      <x:c r="J32" s="50" t="n">
        <x:v>0.54714</x:v>
      </x:c>
      <x:c r="K32" s="50" t="n">
        <x:v>0.551707</x:v>
      </x:c>
      <x:c r="L32" s="47" t="n">
        <x:v>612</x:v>
      </x:c>
      <x:c r="M32" s="47" t="n">
        <x:v>792</x:v>
      </x:c>
      <x:c r="N32" s="28" t="str">
        <x:v>top-left</x:v>
      </x:c>
      <x:c r="O32" s="28" t="str">
        <x:v>PDF points</x:v>
      </x:c>
    </x:row>
    <x:row r="33" ht="22" customHeight="1">
      <x:c r="A33" s="28" t="str">
        <x:v>ANC-CAM-020-01-R02</x:v>
      </x:c>
      <x:c r="B33" s="28" t="str">
        <x:v>ANC-CAM-020-01</x:v>
      </x:c>
      <x:c r="C33" s="28" t="n">
        <x:v>11</x:v>
      </x:c>
      <x:c r="D33" s="47" t="n">
        <x:v>227.155</x:v>
      </x:c>
      <x:c r="E33" s="47" t="n">
        <x:v>436.21</x:v>
      </x:c>
      <x:c r="F33" s="47" t="n">
        <x:v>353.471</x:v>
      </x:c>
      <x:c r="G33" s="47" t="n">
        <x:v>450.396</x:v>
      </x:c>
      <x:c r="H33" s="50" t="n">
        <x:v>0.371169</x:v>
      </x:c>
      <x:c r="I33" s="50" t="n">
        <x:v>0.55077</x:v>
      </x:c>
      <x:c r="J33" s="50" t="n">
        <x:v>0.577566</x:v>
      </x:c>
      <x:c r="K33" s="50" t="n">
        <x:v>0.568682</x:v>
      </x:c>
      <x:c r="L33" s="47" t="n">
        <x:v>612</x:v>
      </x:c>
      <x:c r="M33" s="47" t="n">
        <x:v>792</x:v>
      </x:c>
      <x:c r="N33" s="28" t="str">
        <x:v>top-left</x:v>
      </x:c>
      <x:c r="O33" s="28" t="str">
        <x:v>PDF points</x:v>
      </x:c>
    </x:row>
    <x:row r="34" ht="22" customHeight="1">
      <x:c r="A34" s="28" t="str">
        <x:v>ANC-CAM-021-01-R01</x:v>
      </x:c>
      <x:c r="B34" s="28" t="str">
        <x:v>ANC-CAM-021-01</x:v>
      </x:c>
      <x:c r="C34" s="28" t="n">
        <x:v>7</x:v>
      </x:c>
      <x:c r="D34" s="47" t="n">
        <x:v>243.12</x:v>
      </x:c>
      <x:c r="E34" s="47" t="n">
        <x:v>441.61</x:v>
      </x:c>
      <x:c r="F34" s="47" t="n">
        <x:v>507.622</x:v>
      </x:c>
      <x:c r="G34" s="47" t="n">
        <x:v>455.796</x:v>
      </x:c>
      <x:c r="H34" s="50" t="n">
        <x:v>0.397255</x:v>
      </x:c>
      <x:c r="I34" s="50" t="n">
        <x:v>0.557588</x:v>
      </x:c>
      <x:c r="J34" s="50" t="n">
        <x:v>0.829448</x:v>
      </x:c>
      <x:c r="K34" s="50" t="n">
        <x:v>0.5755</x:v>
      </x:c>
      <x:c r="L34" s="47" t="n">
        <x:v>612</x:v>
      </x:c>
      <x:c r="M34" s="47" t="n">
        <x:v>792</x:v>
      </x:c>
      <x:c r="N34" s="28" t="str">
        <x:v>top-left</x:v>
      </x:c>
      <x:c r="O34" s="28" t="str">
        <x:v>PDF points</x:v>
      </x:c>
    </x:row>
    <x:row r="35" ht="22" customHeight="1">
      <x:c r="A35" s="28" t="str">
        <x:v>ANC-CAM-021-01-R02</x:v>
      </x:c>
      <x:c r="B35" s="28" t="str">
        <x:v>ANC-CAM-021-01</x:v>
      </x:c>
      <x:c r="C35" s="28" t="n">
        <x:v>7</x:v>
      </x:c>
      <x:c r="D35" s="47" t="n">
        <x:v>243.12</x:v>
      </x:c>
      <x:c r="E35" s="47" t="n">
        <x:v>455.05</x:v>
      </x:c>
      <x:c r="F35" s="47" t="n">
        <x:v>520.675</x:v>
      </x:c>
      <x:c r="G35" s="47" t="n">
        <x:v>469.236</x:v>
      </x:c>
      <x:c r="H35" s="50" t="n">
        <x:v>0.397255</x:v>
      </x:c>
      <x:c r="I35" s="50" t="n">
        <x:v>0.574558</x:v>
      </x:c>
      <x:c r="J35" s="50" t="n">
        <x:v>0.850777</x:v>
      </x:c>
      <x:c r="K35" s="50" t="n">
        <x:v>0.59247</x:v>
      </x:c>
      <x:c r="L35" s="47" t="n">
        <x:v>612</x:v>
      </x:c>
      <x:c r="M35" s="47" t="n">
        <x:v>792</x:v>
      </x:c>
      <x:c r="N35" s="28" t="str">
        <x:v>top-left</x:v>
      </x:c>
      <x:c r="O35" s="28" t="str">
        <x:v>PDF points</x:v>
      </x:c>
    </x:row>
    <x:row r="36" ht="22" customHeight="1">
      <x:c r="A36" s="28" t="str">
        <x:v>ANC-CAM-021-01-R03</x:v>
      </x:c>
      <x:c r="B36" s="28" t="str">
        <x:v>ANC-CAM-021-01</x:v>
      </x:c>
      <x:c r="C36" s="28" t="n">
        <x:v>7</x:v>
      </x:c>
      <x:c r="D36" s="47" t="n">
        <x:v>243.12</x:v>
      </x:c>
      <x:c r="E36" s="47" t="n">
        <x:v>468.485</x:v>
      </x:c>
      <x:c r="F36" s="47" t="n">
        <x:v>536.916</x:v>
      </x:c>
      <x:c r="G36" s="47" t="n">
        <x:v>482.672</x:v>
      </x:c>
      <x:c r="H36" s="50" t="n">
        <x:v>0.397255</x:v>
      </x:c>
      <x:c r="I36" s="50" t="n">
        <x:v>0.591522</x:v>
      </x:c>
      <x:c r="J36" s="50" t="n">
        <x:v>0.877314</x:v>
      </x:c>
      <x:c r="K36" s="50" t="n">
        <x:v>0.609434</x:v>
      </x:c>
      <x:c r="L36" s="47" t="n">
        <x:v>612</x:v>
      </x:c>
      <x:c r="M36" s="47" t="n">
        <x:v>792</x:v>
      </x:c>
      <x:c r="N36" s="28" t="str">
        <x:v>top-left</x:v>
      </x:c>
      <x:c r="O36" s="28" t="str">
        <x:v>PDF points</x:v>
      </x:c>
    </x:row>
    <x:row r="37" ht="22" customHeight="1">
      <x:c r="A37" s="28" t="str">
        <x:v>ANC-CAM-021-01-R04</x:v>
      </x:c>
      <x:c r="B37" s="28" t="str">
        <x:v>ANC-CAM-021-01</x:v>
      </x:c>
      <x:c r="C37" s="28" t="n">
        <x:v>7</x:v>
      </x:c>
      <x:c r="D37" s="47" t="n">
        <x:v>243.12</x:v>
      </x:c>
      <x:c r="E37" s="47" t="n">
        <x:v>481.921</x:v>
      </x:c>
      <x:c r="F37" s="47" t="n">
        <x:v>507.517</x:v>
      </x:c>
      <x:c r="G37" s="47" t="n">
        <x:v>496.107</x:v>
      </x:c>
      <x:c r="H37" s="50" t="n">
        <x:v>0.397255</x:v>
      </x:c>
      <x:c r="I37" s="50" t="n">
        <x:v>0.608486</x:v>
      </x:c>
      <x:c r="J37" s="50" t="n">
        <x:v>0.829276</x:v>
      </x:c>
      <x:c r="K37" s="50" t="n">
        <x:v>0.626398</x:v>
      </x:c>
      <x:c r="L37" s="47" t="n">
        <x:v>612</x:v>
      </x:c>
      <x:c r="M37" s="47" t="n">
        <x:v>792</x:v>
      </x:c>
      <x:c r="N37" s="28" t="str">
        <x:v>top-left</x:v>
      </x:c>
      <x:c r="O37" s="28" t="str">
        <x:v>PDF points</x:v>
      </x:c>
    </x:row>
    <x:row r="38" ht="22" customHeight="1">
      <x:c r="A38" s="28" t="str">
        <x:v>ANC-CAM-022-01-R01</x:v>
      </x:c>
      <x:c r="B38" s="28" t="str">
        <x:v>ANC-CAM-022-01</x:v>
      </x:c>
      <x:c r="C38" s="28" t="n">
        <x:v>7</x:v>
      </x:c>
      <x:c r="D38" s="47" t="n">
        <x:v>243.12</x:v>
      </x:c>
      <x:c r="E38" s="47" t="n">
        <x:v>503.29</x:v>
      </x:c>
      <x:c r="F38" s="47" t="n">
        <x:v>533.392</x:v>
      </x:c>
      <x:c r="G38" s="47" t="n">
        <x:v>517.476</x:v>
      </x:c>
      <x:c r="H38" s="50" t="n">
        <x:v>0.397255</x:v>
      </x:c>
      <x:c r="I38" s="50" t="n">
        <x:v>0.635467</x:v>
      </x:c>
      <x:c r="J38" s="50" t="n">
        <x:v>0.871556</x:v>
      </x:c>
      <x:c r="K38" s="50" t="n">
        <x:v>0.653379</x:v>
      </x:c>
      <x:c r="L38" s="47" t="n">
        <x:v>612</x:v>
      </x:c>
      <x:c r="M38" s="47" t="n">
        <x:v>792</x:v>
      </x:c>
      <x:c r="N38" s="28" t="str">
        <x:v>top-left</x:v>
      </x:c>
      <x:c r="O38" s="28" t="str">
        <x:v>PDF points</x:v>
      </x:c>
    </x:row>
    <x:row r="39" ht="22" customHeight="1">
      <x:c r="A39" s="28" t="str">
        <x:v>ANC-CAM-022-01-R02</x:v>
      </x:c>
      <x:c r="B39" s="28" t="str">
        <x:v>ANC-CAM-022-01</x:v>
      </x:c>
      <x:c r="C39" s="28" t="n">
        <x:v>7</x:v>
      </x:c>
      <x:c r="D39" s="47" t="n">
        <x:v>243.12</x:v>
      </x:c>
      <x:c r="E39" s="47" t="n">
        <x:v>516.725</x:v>
      </x:c>
      <x:c r="F39" s="47" t="n">
        <x:v>510.509</x:v>
      </x:c>
      <x:c r="G39" s="47" t="n">
        <x:v>530.912</x:v>
      </x:c>
      <x:c r="H39" s="50" t="n">
        <x:v>0.397255</x:v>
      </x:c>
      <x:c r="I39" s="50" t="n">
        <x:v>0.652431</x:v>
      </x:c>
      <x:c r="J39" s="50" t="n">
        <x:v>0.834165</x:v>
      </x:c>
      <x:c r="K39" s="50" t="n">
        <x:v>0.670343</x:v>
      </x:c>
      <x:c r="L39" s="47" t="n">
        <x:v>612</x:v>
      </x:c>
      <x:c r="M39" s="47" t="n">
        <x:v>792</x:v>
      </x:c>
      <x:c r="N39" s="28" t="str">
        <x:v>top-left</x:v>
      </x:c>
      <x:c r="O39" s="28" t="str">
        <x:v>PDF points</x:v>
      </x:c>
    </x:row>
    <x:row r="40" ht="22" customHeight="1">
      <x:c r="A40" s="28" t="str">
        <x:v>ANC-CAM-023-01-R01</x:v>
      </x:c>
      <x:c r="B40" s="28" t="str">
        <x:v>ANC-CAM-023-01</x:v>
      </x:c>
      <x:c r="C40" s="28" t="n">
        <x:v>7</x:v>
      </x:c>
      <x:c r="D40" s="47" t="n">
        <x:v>243.84</x:v>
      </x:c>
      <x:c r="E40" s="47" t="n">
        <x:v>651.37</x:v>
      </x:c>
      <x:c r="F40" s="47" t="n">
        <x:v>523.234</x:v>
      </x:c>
      <x:c r="G40" s="47" t="n">
        <x:v>665.556</x:v>
      </x:c>
      <x:c r="H40" s="50" t="n">
        <x:v>0.398431</x:v>
      </x:c>
      <x:c r="I40" s="50" t="n">
        <x:v>0.822436</x:v>
      </x:c>
      <x:c r="J40" s="50" t="n">
        <x:v>0.854957</x:v>
      </x:c>
      <x:c r="K40" s="50" t="n">
        <x:v>0.840349</x:v>
      </x:c>
      <x:c r="L40" s="47" t="n">
        <x:v>612</x:v>
      </x:c>
      <x:c r="M40" s="47" t="n">
        <x:v>792</x:v>
      </x:c>
      <x:c r="N40" s="28" t="str">
        <x:v>top-left</x:v>
      </x:c>
      <x:c r="O40" s="28" t="str">
        <x:v>PDF points</x:v>
      </x:c>
    </x:row>
    <x:row r="41" ht="22" customHeight="1">
      <x:c r="A41" s="28" t="str">
        <x:v>ANC-CAM-024-01-R01</x:v>
      </x:c>
      <x:c r="B41" s="28" t="str">
        <x:v>ANC-CAM-024-01</x:v>
      </x:c>
      <x:c r="C41" s="28" t="n">
        <x:v>8</x:v>
      </x:c>
      <x:c r="D41" s="47" t="n">
        <x:v>241.32</x:v>
      </x:c>
      <x:c r="E41" s="47" t="n">
        <x:v>119.29</x:v>
      </x:c>
      <x:c r="F41" s="47" t="n">
        <x:v>515.093</x:v>
      </x:c>
      <x:c r="G41" s="47" t="n">
        <x:v>133.476</x:v>
      </x:c>
      <x:c r="H41" s="50" t="n">
        <x:v>0.394314</x:v>
      </x:c>
      <x:c r="I41" s="50" t="n">
        <x:v>0.150618</x:v>
      </x:c>
      <x:c r="J41" s="50" t="n">
        <x:v>0.841655</x:v>
      </x:c>
      <x:c r="K41" s="50" t="n">
        <x:v>0.16853</x:v>
      </x:c>
      <x:c r="L41" s="47" t="n">
        <x:v>612</x:v>
      </x:c>
      <x:c r="M41" s="47" t="n">
        <x:v>792</x:v>
      </x:c>
      <x:c r="N41" s="28" t="str">
        <x:v>top-left</x:v>
      </x:c>
      <x:c r="O41" s="28" t="str">
        <x:v>PDF points</x:v>
      </x:c>
    </x:row>
    <x:row r="42" ht="22" customHeight="1">
      <x:c r="A42" s="28" t="str">
        <x:v>ANC-CAM-025-01-R01</x:v>
      </x:c>
      <x:c r="B42" s="28" t="str">
        <x:v>ANC-CAM-025-01</x:v>
      </x:c>
      <x:c r="C42" s="28" t="n">
        <x:v>8</x:v>
      </x:c>
      <x:c r="D42" s="47" t="n">
        <x:v>241.32</x:v>
      </x:c>
      <x:c r="E42" s="47" t="n">
        <x:v>183.01</x:v>
      </x:c>
      <x:c r="F42" s="47" t="n">
        <x:v>486.945</x:v>
      </x:c>
      <x:c r="G42" s="47" t="n">
        <x:v>197.196</x:v>
      </x:c>
      <x:c r="H42" s="50" t="n">
        <x:v>0.394314</x:v>
      </x:c>
      <x:c r="I42" s="50" t="n">
        <x:v>0.231073</x:v>
      </x:c>
      <x:c r="J42" s="50" t="n">
        <x:v>0.795662</x:v>
      </x:c>
      <x:c r="K42" s="50" t="n">
        <x:v>0.248985</x:v>
      </x:c>
      <x:c r="L42" s="47" t="n">
        <x:v>612</x:v>
      </x:c>
      <x:c r="M42" s="47" t="n">
        <x:v>792</x:v>
      </x:c>
      <x:c r="N42" s="28" t="str">
        <x:v>top-left</x:v>
      </x:c>
      <x:c r="O42" s="28" t="str">
        <x:v>PDF points</x:v>
      </x:c>
    </x:row>
    <x:row r="43" ht="22" customHeight="1">
      <x:c r="A43" s="28" t="str">
        <x:v>ANC-CAM-025-01-R02</x:v>
      </x:c>
      <x:c r="B43" s="28" t="str">
        <x:v>ANC-CAM-025-01</x:v>
      </x:c>
      <x:c r="C43" s="28" t="n">
        <x:v>8</x:v>
      </x:c>
      <x:c r="D43" s="47" t="n">
        <x:v>241.32</x:v>
      </x:c>
      <x:c r="E43" s="47" t="n">
        <x:v>196.45</x:v>
      </x:c>
      <x:c r="F43" s="47" t="n">
        <x:v>479.077</x:v>
      </x:c>
      <x:c r="G43" s="47" t="n">
        <x:v>210.636</x:v>
      </x:c>
      <x:c r="H43" s="50" t="n">
        <x:v>0.394314</x:v>
      </x:c>
      <x:c r="I43" s="50" t="n">
        <x:v>0.248042</x:v>
      </x:c>
      <x:c r="J43" s="50" t="n">
        <x:v>0.782806</x:v>
      </x:c>
      <x:c r="K43" s="50" t="n">
        <x:v>0.265955</x:v>
      </x:c>
      <x:c r="L43" s="47" t="n">
        <x:v>612</x:v>
      </x:c>
      <x:c r="M43" s="47" t="n">
        <x:v>792</x:v>
      </x:c>
      <x:c r="N43" s="28" t="str">
        <x:v>top-left</x:v>
      </x:c>
      <x:c r="O43" s="28" t="str">
        <x:v>PDF points</x:v>
      </x:c>
    </x:row>
    <x:row r="44" ht="22" customHeight="1">
      <x:c r="A44" s="28" t="str">
        <x:v>ANC-CAM-026-01-R01</x:v>
      </x:c>
      <x:c r="B44" s="28" t="str">
        <x:v>ANC-CAM-026-01</x:v>
      </x:c>
      <x:c r="C44" s="28" t="n">
        <x:v>10</x:v>
      </x:c>
      <x:c r="D44" s="47" t="n">
        <x:v>227.155</x:v>
      </x:c>
      <x:c r="E44" s="47" t="n">
        <x:v>179.518</x:v>
      </x:c>
      <x:c r="F44" s="47" t="n">
        <x:v>330.396</x:v>
      </x:c>
      <x:c r="G44" s="47" t="n">
        <x:v>193.704</x:v>
      </x:c>
      <x:c r="H44" s="50" t="n">
        <x:v>0.371169</x:v>
      </x:c>
      <x:c r="I44" s="50" t="n">
        <x:v>0.226664</x:v>
      </x:c>
      <x:c r="J44" s="50" t="n">
        <x:v>0.539862</x:v>
      </x:c>
      <x:c r="K44" s="50" t="n">
        <x:v>0.244576</x:v>
      </x:c>
      <x:c r="L44" s="47" t="n">
        <x:v>612</x:v>
      </x:c>
      <x:c r="M44" s="47" t="n">
        <x:v>792</x:v>
      </x:c>
      <x:c r="N44" s="28" t="str">
        <x:v>top-left</x:v>
      </x:c>
      <x:c r="O44" s="28" t="str">
        <x:v>PDF points</x:v>
      </x:c>
    </x:row>
    <x:row r="45" ht="22" customHeight="1">
      <x:c r="A45" s="28" t="str">
        <x:v>ANC-CAM-026-01-R02</x:v>
      </x:c>
      <x:c r="B45" s="28" t="str">
        <x:v>ANC-CAM-026-01</x:v>
      </x:c>
      <x:c r="C45" s="28" t="n">
        <x:v>10</x:v>
      </x:c>
      <x:c r="D45" s="47" t="n">
        <x:v>227.155</x:v>
      </x:c>
      <x:c r="E45" s="47" t="n">
        <x:v>192.953</x:v>
      </x:c>
      <x:c r="F45" s="47" t="n">
        <x:v>343.068</x:v>
      </x:c>
      <x:c r="G45" s="47" t="n">
        <x:v>207.14</x:v>
      </x:c>
      <x:c r="H45" s="50" t="n">
        <x:v>0.371169</x:v>
      </x:c>
      <x:c r="I45" s="50" t="n">
        <x:v>0.243628</x:v>
      </x:c>
      <x:c r="J45" s="50" t="n">
        <x:v>0.560568</x:v>
      </x:c>
      <x:c r="K45" s="50" t="n">
        <x:v>0.26154</x:v>
      </x:c>
      <x:c r="L45" s="47" t="n">
        <x:v>612</x:v>
      </x:c>
      <x:c r="M45" s="47" t="n">
        <x:v>792</x:v>
      </x:c>
      <x:c r="N45" s="28" t="str">
        <x:v>top-left</x:v>
      </x:c>
      <x:c r="O45" s="28" t="str">
        <x:v>PDF points</x:v>
      </x:c>
    </x:row>
    <x:row r="46" ht="22" customHeight="1">
      <x:c r="A46" s="28" t="str">
        <x:v>ANC-CAM-027-01-R01</x:v>
      </x:c>
      <x:c r="B46" s="28" t="str">
        <x:v>ANC-CAM-027-01</x:v>
      </x:c>
      <x:c r="C46" s="28" t="n">
        <x:v>10</x:v>
      </x:c>
      <x:c r="D46" s="47" t="n">
        <x:v>377.28</x:v>
      </x:c>
      <x:c r="E46" s="47" t="n">
        <x:v>71.65</x:v>
      </x:c>
      <x:c r="F46" s="47" t="n">
        <x:v>432.615</x:v>
      </x:c>
      <x:c r="G46" s="47" t="n">
        <x:v>85.836</x:v>
      </x:c>
      <x:c r="H46" s="50" t="n">
        <x:v>0.616471</x:v>
      </x:c>
      <x:c r="I46" s="50" t="n">
        <x:v>0.090467</x:v>
      </x:c>
      <x:c r="J46" s="50" t="n">
        <x:v>0.706887</x:v>
      </x:c>
      <x:c r="K46" s="50" t="n">
        <x:v>0.108379</x:v>
      </x:c>
      <x:c r="L46" s="47" t="n">
        <x:v>612</x:v>
      </x:c>
      <x:c r="M46" s="47" t="n">
        <x:v>792</x:v>
      </x:c>
      <x:c r="N46" s="28" t="str">
        <x:v>top-left</x:v>
      </x:c>
      <x:c r="O46" s="28" t="str">
        <x:v>PDF points</x:v>
      </x:c>
    </x:row>
    <x:row r="47" ht="22" customHeight="1">
      <x:c r="A47" s="28" t="str">
        <x:v>ANC-CAM-027-01-R02</x:v>
      </x:c>
      <x:c r="B47" s="28" t="str">
        <x:v>ANC-CAM-027-01</x:v>
      </x:c>
      <x:c r="C47" s="28" t="n">
        <x:v>10</x:v>
      </x:c>
      <x:c r="D47" s="47" t="n">
        <x:v>77.64</x:v>
      </x:c>
      <x:c r="E47" s="47" t="n">
        <x:v>85.57</x:v>
      </x:c>
      <x:c r="F47" s="47" t="n">
        <x:v>176.913</x:v>
      </x:c>
      <x:c r="G47" s="47" t="n">
        <x:v>99.756</x:v>
      </x:c>
      <x:c r="H47" s="50" t="n">
        <x:v>0.126863</x:v>
      </x:c>
      <x:c r="I47" s="50" t="n">
        <x:v>0.108042</x:v>
      </x:c>
      <x:c r="J47" s="50" t="n">
        <x:v>0.289074</x:v>
      </x:c>
      <x:c r="K47" s="50" t="n">
        <x:v>0.125955</x:v>
      </x:c>
      <x:c r="L47" s="47" t="n">
        <x:v>612</x:v>
      </x:c>
      <x:c r="M47" s="47" t="n">
        <x:v>792</x:v>
      </x:c>
      <x:c r="N47" s="28" t="str">
        <x:v>top-left</x:v>
      </x:c>
      <x:c r="O47" s="28" t="str">
        <x:v>PDF points</x:v>
      </x:c>
    </x:row>
    <x:row r="48" ht="22" customHeight="1">
      <x:c r="A48" s="28" t="str">
        <x:v>ANC-CAM-027-01-R03</x:v>
      </x:c>
      <x:c r="B48" s="28" t="str">
        <x:v>ANC-CAM-027-01</x:v>
      </x:c>
      <x:c r="C48" s="28" t="n">
        <x:v>10</x:v>
      </x:c>
      <x:c r="D48" s="47" t="n">
        <x:v>77.64</x:v>
      </x:c>
      <x:c r="E48" s="47" t="n">
        <x:v>99.01</x:v>
      </x:c>
      <x:c r="F48" s="47" t="n">
        <x:v>146.102</x:v>
      </x:c>
      <x:c r="G48" s="47" t="n">
        <x:v>113.196</x:v>
      </x:c>
      <x:c r="H48" s="50" t="n">
        <x:v>0.126863</x:v>
      </x:c>
      <x:c r="I48" s="50" t="n">
        <x:v>0.125012</x:v>
      </x:c>
      <x:c r="J48" s="50" t="n">
        <x:v>0.238729</x:v>
      </x:c>
      <x:c r="K48" s="50" t="n">
        <x:v>0.142924</x:v>
      </x:c>
      <x:c r="L48" s="47" t="n">
        <x:v>612</x:v>
      </x:c>
      <x:c r="M48" s="47" t="n">
        <x:v>792</x:v>
      </x:c>
      <x:c r="N48" s="28" t="str">
        <x:v>top-left</x:v>
      </x:c>
      <x:c r="O48" s="28" t="str">
        <x:v>PDF points</x:v>
      </x:c>
    </x:row>
    <x:row r="49" ht="22" customHeight="1">
      <x:c r="A49" s="28" t="str">
        <x:v>ANC-CAM-027-01-R04</x:v>
      </x:c>
      <x:c r="B49" s="28" t="str">
        <x:v>ANC-CAM-027-01</x:v>
      </x:c>
      <x:c r="C49" s="28" t="n">
        <x:v>10</x:v>
      </x:c>
      <x:c r="D49" s="47" t="n">
        <x:v>77.64</x:v>
      </x:c>
      <x:c r="E49" s="47" t="n">
        <x:v>112.445</x:v>
      </x:c>
      <x:c r="F49" s="47" t="n">
        <x:v>170.607</x:v>
      </x:c>
      <x:c r="G49" s="47" t="n">
        <x:v>126.632</x:v>
      </x:c>
      <x:c r="H49" s="50" t="n">
        <x:v>0.126863</x:v>
      </x:c>
      <x:c r="I49" s="50" t="n">
        <x:v>0.141976</x:v>
      </x:c>
      <x:c r="J49" s="50" t="n">
        <x:v>0.278769</x:v>
      </x:c>
      <x:c r="K49" s="50" t="n">
        <x:v>0.159888</x:v>
      </x:c>
      <x:c r="L49" s="47" t="n">
        <x:v>612</x:v>
      </x:c>
      <x:c r="M49" s="47" t="n">
        <x:v>792</x:v>
      </x:c>
      <x:c r="N49" s="28" t="str">
        <x:v>top-left</x:v>
      </x:c>
      <x:c r="O49" s="28" t="str">
        <x:v>PDF points</x:v>
      </x:c>
    </x:row>
    <x:row r="50" ht="22" customHeight="1">
      <x:c r="A50" s="28" t="str">
        <x:v>ANC-CAM-027-01-R05</x:v>
      </x:c>
      <x:c r="B50" s="28" t="str">
        <x:v>ANC-CAM-027-01</x:v>
      </x:c>
      <x:c r="C50" s="28" t="n">
        <x:v>10</x:v>
      </x:c>
      <x:c r="D50" s="47" t="n">
        <x:v>77.64</x:v>
      </x:c>
      <x:c r="E50" s="47" t="n">
        <x:v>125.881</x:v>
      </x:c>
      <x:c r="F50" s="47" t="n">
        <x:v>179.229</x:v>
      </x:c>
      <x:c r="G50" s="47" t="n">
        <x:v>140.067</x:v>
      </x:c>
      <x:c r="H50" s="50" t="n">
        <x:v>0.126863</x:v>
      </x:c>
      <x:c r="I50" s="50" t="n">
        <x:v>0.158941</x:v>
      </x:c>
      <x:c r="J50" s="50" t="n">
        <x:v>0.292858</x:v>
      </x:c>
      <x:c r="K50" s="50" t="n">
        <x:v>0.176853</x:v>
      </x:c>
      <x:c r="L50" s="47" t="n">
        <x:v>612</x:v>
      </x:c>
      <x:c r="M50" s="47" t="n">
        <x:v>792</x:v>
      </x:c>
      <x:c r="N50" s="28" t="str">
        <x:v>top-left</x:v>
      </x:c>
      <x:c r="O50" s="28" t="str">
        <x:v>PDF points</x:v>
      </x:c>
    </x:row>
    <x:row r="51" ht="22" customHeight="1">
      <x:c r="A51" s="28" t="str">
        <x:v>ANC-CAM-027-01-R06</x:v>
      </x:c>
      <x:c r="B51" s="28" t="str">
        <x:v>ANC-CAM-027-01</x:v>
      </x:c>
      <x:c r="C51" s="28" t="n">
        <x:v>10</x:v>
      </x:c>
      <x:c r="D51" s="47" t="n">
        <x:v>209.16</x:v>
      </x:c>
      <x:c r="E51" s="47" t="n">
        <x:v>85.57</x:v>
      </x:c>
      <x:c r="F51" s="47" t="n">
        <x:v>212.914</x:v>
      </x:c>
      <x:c r="G51" s="47" t="n">
        <x:v>99.756</x:v>
      </x:c>
      <x:c r="H51" s="50" t="n">
        <x:v>0.341765</x:v>
      </x:c>
      <x:c r="I51" s="50" t="n">
        <x:v>0.108042</x:v>
      </x:c>
      <x:c r="J51" s="50" t="n">
        <x:v>0.347898</x:v>
      </x:c>
      <x:c r="K51" s="50" t="n">
        <x:v>0.125955</x:v>
      </x:c>
      <x:c r="L51" s="47" t="n">
        <x:v>612</x:v>
      </x:c>
      <x:c r="M51" s="47" t="n">
        <x:v>792</x:v>
      </x:c>
      <x:c r="N51" s="28" t="str">
        <x:v>top-left</x:v>
      </x:c>
      <x:c r="O51" s="28" t="str">
        <x:v>PDF points</x:v>
      </x:c>
    </x:row>
    <x:row r="52" ht="22" customHeight="1">
      <x:c r="A52" s="28" t="str">
        <x:v>ANC-CAM-027-01-R07</x:v>
      </x:c>
      <x:c r="B52" s="28" t="str">
        <x:v>ANC-CAM-027-01</x:v>
      </x:c>
      <x:c r="C52" s="28" t="n">
        <x:v>10</x:v>
      </x:c>
      <x:c r="D52" s="47" t="n">
        <x:v>227.16</x:v>
      </x:c>
      <x:c r="E52" s="47" t="n">
        <x:v>85.57</x:v>
      </x:c>
      <x:c r="F52" s="47" t="n">
        <x:v>333.774</x:v>
      </x:c>
      <x:c r="G52" s="47" t="n">
        <x:v>99.756</x:v>
      </x:c>
      <x:c r="H52" s="50" t="n">
        <x:v>0.371176</x:v>
      </x:c>
      <x:c r="I52" s="50" t="n">
        <x:v>0.108042</x:v>
      </x:c>
      <x:c r="J52" s="50" t="n">
        <x:v>0.545383</x:v>
      </x:c>
      <x:c r="K52" s="50" t="n">
        <x:v>0.125955</x:v>
      </x:c>
      <x:c r="L52" s="47" t="n">
        <x:v>612</x:v>
      </x:c>
      <x:c r="M52" s="47" t="n">
        <x:v>792</x:v>
      </x:c>
      <x:c r="N52" s="28" t="str">
        <x:v>top-left</x:v>
      </x:c>
      <x:c r="O52" s="28" t="str">
        <x:v>PDF points</x:v>
      </x:c>
    </x:row>
    <x:row r="53" ht="22" customHeight="1">
      <x:c r="A53" s="28" t="str">
        <x:v>ANC-CAM-027-01-R08</x:v>
      </x:c>
      <x:c r="B53" s="28" t="str">
        <x:v>ANC-CAM-027-01</x:v>
      </x:c>
      <x:c r="C53" s="28" t="n">
        <x:v>10</x:v>
      </x:c>
      <x:c r="D53" s="47" t="n">
        <x:v>227.16</x:v>
      </x:c>
      <x:c r="E53" s="47" t="n">
        <x:v>99.01</x:v>
      </x:c>
      <x:c r="F53" s="47" t="n">
        <x:v>304.285</x:v>
      </x:c>
      <x:c r="G53" s="47" t="n">
        <x:v>113.196</x:v>
      </x:c>
      <x:c r="H53" s="50" t="n">
        <x:v>0.371176</x:v>
      </x:c>
      <x:c r="I53" s="50" t="n">
        <x:v>0.125012</x:v>
      </x:c>
      <x:c r="J53" s="50" t="n">
        <x:v>0.497198</x:v>
      </x:c>
      <x:c r="K53" s="50" t="n">
        <x:v>0.142924</x:v>
      </x:c>
      <x:c r="L53" s="47" t="n">
        <x:v>612</x:v>
      </x:c>
      <x:c r="M53" s="47" t="n">
        <x:v>792</x:v>
      </x:c>
      <x:c r="N53" s="28" t="str">
        <x:v>top-left</x:v>
      </x:c>
      <x:c r="O53" s="28" t="str">
        <x:v>PDF points</x:v>
      </x:c>
    </x:row>
    <x:row r="54" ht="22" customHeight="1">
      <x:c r="A54" s="28" t="str">
        <x:v>ANC-CAM-027-01-R09</x:v>
      </x:c>
      <x:c r="B54" s="28" t="str">
        <x:v>ANC-CAM-027-01</x:v>
      </x:c>
      <x:c r="C54" s="28" t="n">
        <x:v>10</x:v>
      </x:c>
      <x:c r="D54" s="47" t="n">
        <x:v>209.16</x:v>
      </x:c>
      <x:c r="E54" s="47" t="n">
        <x:v>112.45</x:v>
      </x:c>
      <x:c r="F54" s="47" t="n">
        <x:v>212.914</x:v>
      </x:c>
      <x:c r="G54" s="47" t="n">
        <x:v>126.636</x:v>
      </x:c>
      <x:c r="H54" s="50" t="n">
        <x:v>0.341765</x:v>
      </x:c>
      <x:c r="I54" s="50" t="n">
        <x:v>0.141982</x:v>
      </x:c>
      <x:c r="J54" s="50" t="n">
        <x:v>0.347898</x:v>
      </x:c>
      <x:c r="K54" s="50" t="n">
        <x:v>0.159894</x:v>
      </x:c>
      <x:c r="L54" s="47" t="n">
        <x:v>612</x:v>
      </x:c>
      <x:c r="M54" s="47" t="n">
        <x:v>792</x:v>
      </x:c>
      <x:c r="N54" s="28" t="str">
        <x:v>top-left</x:v>
      </x:c>
      <x:c r="O54" s="28" t="str">
        <x:v>PDF points</x:v>
      </x:c>
    </x:row>
    <x:row r="55" ht="22" customHeight="1">
      <x:c r="A55" s="28" t="str">
        <x:v>ANC-CAM-027-01-R10</x:v>
      </x:c>
      <x:c r="B55" s="28" t="str">
        <x:v>ANC-CAM-027-01</x:v>
      </x:c>
      <x:c r="C55" s="28" t="n">
        <x:v>10</x:v>
      </x:c>
      <x:c r="D55" s="47" t="n">
        <x:v>227.155</x:v>
      </x:c>
      <x:c r="E55" s="47" t="n">
        <x:v>112.45</x:v>
      </x:c>
      <x:c r="F55" s="47" t="n">
        <x:v>350.929</x:v>
      </x:c>
      <x:c r="G55" s="47" t="n">
        <x:v>126.636</x:v>
      </x:c>
      <x:c r="H55" s="50" t="n">
        <x:v>0.371169</x:v>
      </x:c>
      <x:c r="I55" s="50" t="n">
        <x:v>0.141982</x:v>
      </x:c>
      <x:c r="J55" s="50" t="n">
        <x:v>0.573413</x:v>
      </x:c>
      <x:c r="K55" s="50" t="n">
        <x:v>0.159894</x:v>
      </x:c>
      <x:c r="L55" s="47" t="n">
        <x:v>612</x:v>
      </x:c>
      <x:c r="M55" s="47" t="n">
        <x:v>792</x:v>
      </x:c>
      <x:c r="N55" s="28" t="str">
        <x:v>top-left</x:v>
      </x:c>
      <x:c r="O55" s="28" t="str">
        <x:v>PDF points</x:v>
      </x:c>
    </x:row>
    <x:row r="56" ht="22" customHeight="1">
      <x:c r="A56" s="28" t="str">
        <x:v>ANC-CAM-027-01-R11</x:v>
      </x:c>
      <x:c r="B56" s="28" t="str">
        <x:v>ANC-CAM-027-01</x:v>
      </x:c>
      <x:c r="C56" s="28" t="n">
        <x:v>10</x:v>
      </x:c>
      <x:c r="D56" s="47" t="n">
        <x:v>227.155</x:v>
      </x:c>
      <x:c r="E56" s="47" t="n">
        <x:v>125.885</x:v>
      </x:c>
      <x:c r="F56" s="47" t="n">
        <x:v>278.226</x:v>
      </x:c>
      <x:c r="G56" s="47" t="n">
        <x:v>140.072</x:v>
      </x:c>
      <x:c r="H56" s="50" t="n">
        <x:v>0.371169</x:v>
      </x:c>
      <x:c r="I56" s="50" t="n">
        <x:v>0.158946</x:v>
      </x:c>
      <x:c r="J56" s="50" t="n">
        <x:v>0.454618</x:v>
      </x:c>
      <x:c r="K56" s="50" t="n">
        <x:v>0.176858</x:v>
      </x:c>
      <x:c r="L56" s="47" t="n">
        <x:v>612</x:v>
      </x:c>
      <x:c r="M56" s="47" t="n">
        <x:v>792</x:v>
      </x:c>
      <x:c r="N56" s="28" t="str">
        <x:v>top-left</x:v>
      </x:c>
      <x:c r="O56" s="28" t="str">
        <x:v>PDF points</x:v>
      </x:c>
    </x:row>
    <x:row r="57" ht="22" customHeight="1">
      <x:c r="A57" s="28" t="str">
        <x:v>ANC-CAM-027-01-R12</x:v>
      </x:c>
      <x:c r="B57" s="28" t="str">
        <x:v>ANC-CAM-027-01</x:v>
      </x:c>
      <x:c r="C57" s="28" t="n">
        <x:v>10</x:v>
      </x:c>
      <x:c r="D57" s="47" t="n">
        <x:v>209.16</x:v>
      </x:c>
      <x:c r="E57" s="47" t="n">
        <x:v>139.321</x:v>
      </x:c>
      <x:c r="F57" s="47" t="n">
        <x:v>212.914</x:v>
      </x:c>
      <x:c r="G57" s="47" t="n">
        <x:v>153.507</x:v>
      </x:c>
      <x:c r="H57" s="50" t="n">
        <x:v>0.341765</x:v>
      </x:c>
      <x:c r="I57" s="50" t="n">
        <x:v>0.17591</x:v>
      </x:c>
      <x:c r="J57" s="50" t="n">
        <x:v>0.347898</x:v>
      </x:c>
      <x:c r="K57" s="50" t="n">
        <x:v>0.193822</x:v>
      </x:c>
      <x:c r="L57" s="47" t="n">
        <x:v>612</x:v>
      </x:c>
      <x:c r="M57" s="47" t="n">
        <x:v>792</x:v>
      </x:c>
      <x:c r="N57" s="28" t="str">
        <x:v>top-left</x:v>
      </x:c>
      <x:c r="O57" s="28" t="str">
        <x:v>PDF points</x:v>
      </x:c>
    </x:row>
    <x:row r="58" ht="22" customHeight="1">
      <x:c r="A58" s="28" t="str">
        <x:v>ANC-CAM-027-01-R13</x:v>
      </x:c>
      <x:c r="B58" s="28" t="str">
        <x:v>ANC-CAM-027-01</x:v>
      </x:c>
      <x:c r="C58" s="28" t="n">
        <x:v>10</x:v>
      </x:c>
      <x:c r="D58" s="47" t="n">
        <x:v>227.155</x:v>
      </x:c>
      <x:c r="E58" s="47" t="n">
        <x:v>139.321</x:v>
      </x:c>
      <x:c r="F58" s="47" t="n">
        <x:v>349.021</x:v>
      </x:c>
      <x:c r="G58" s="47" t="n">
        <x:v>153.507</x:v>
      </x:c>
      <x:c r="H58" s="50" t="n">
        <x:v>0.371169</x:v>
      </x:c>
      <x:c r="I58" s="50" t="n">
        <x:v>0.17591</x:v>
      </x:c>
      <x:c r="J58" s="50" t="n">
        <x:v>0.570296</x:v>
      </x:c>
      <x:c r="K58" s="50" t="n">
        <x:v>0.193822</x:v>
      </x:c>
      <x:c r="L58" s="47" t="n">
        <x:v>612</x:v>
      </x:c>
      <x:c r="M58" s="47" t="n">
        <x:v>792</x:v>
      </x:c>
      <x:c r="N58" s="28" t="str">
        <x:v>top-left</x:v>
      </x:c>
      <x:c r="O58" s="28" t="str">
        <x:v>PDF points</x:v>
      </x:c>
    </x:row>
    <x:row r="59" ht="22" customHeight="1">
      <x:c r="A59" s="28" t="str">
        <x:v>ANC-CAM-027-01-R14</x:v>
      </x:c>
      <x:c r="B59" s="28" t="str">
        <x:v>ANC-CAM-027-01</x:v>
      </x:c>
      <x:c r="C59" s="28" t="n">
        <x:v>10</x:v>
      </x:c>
      <x:c r="D59" s="47" t="n">
        <x:v>227.155</x:v>
      </x:c>
      <x:c r="E59" s="47" t="n">
        <x:v>152.757</x:v>
      </x:c>
      <x:c r="F59" s="47" t="n">
        <x:v>361.035</x:v>
      </x:c>
      <x:c r="G59" s="47" t="n">
        <x:v>166.943</x:v>
      </x:c>
      <x:c r="H59" s="50" t="n">
        <x:v>0.371169</x:v>
      </x:c>
      <x:c r="I59" s="50" t="n">
        <x:v>0.192874</x:v>
      </x:c>
      <x:c r="J59" s="50" t="n">
        <x:v>0.589926</x:v>
      </x:c>
      <x:c r="K59" s="50" t="n">
        <x:v>0.210787</x:v>
      </x:c>
      <x:c r="L59" s="47" t="n">
        <x:v>612</x:v>
      </x:c>
      <x:c r="M59" s="47" t="n">
        <x:v>792</x:v>
      </x:c>
      <x:c r="N59" s="28" t="str">
        <x:v>top-left</x:v>
      </x:c>
      <x:c r="O59" s="28" t="str">
        <x:v>PDF points</x:v>
      </x:c>
    </x:row>
    <x:row r="60" ht="22" customHeight="1">
      <x:c r="A60" s="28" t="str">
        <x:v>ANC-CAM-027-01-R15</x:v>
      </x:c>
      <x:c r="B60" s="28" t="str">
        <x:v>ANC-CAM-027-01</x:v>
      </x:c>
      <x:c r="C60" s="28" t="n">
        <x:v>10</x:v>
      </x:c>
      <x:c r="D60" s="47" t="n">
        <x:v>227.155</x:v>
      </x:c>
      <x:c r="E60" s="47" t="n">
        <x:v>166.192</x:v>
      </x:c>
      <x:c r="F60" s="47" t="n">
        <x:v>322.143</x:v>
      </x:c>
      <x:c r="G60" s="47" t="n">
        <x:v>180.379</x:v>
      </x:c>
      <x:c r="H60" s="50" t="n">
        <x:v>0.371169</x:v>
      </x:c>
      <x:c r="I60" s="50" t="n">
        <x:v>0.209839</x:v>
      </x:c>
      <x:c r="J60" s="50" t="n">
        <x:v>0.526378</x:v>
      </x:c>
      <x:c r="K60" s="50" t="n">
        <x:v>0.227751</x:v>
      </x:c>
      <x:c r="L60" s="47" t="n">
        <x:v>612</x:v>
      </x:c>
      <x:c r="M60" s="47" t="n">
        <x:v>792</x:v>
      </x:c>
      <x:c r="N60" s="28" t="str">
        <x:v>top-left</x:v>
      </x:c>
      <x:c r="O60" s="28" t="str">
        <x:v>PDF points</x:v>
      </x:c>
    </x:row>
    <x:row r="61" ht="22" customHeight="1">
      <x:c r="A61" s="28" t="str">
        <x:v>ANC-CAM-027-01-R16</x:v>
      </x:c>
      <x:c r="B61" s="28" t="str">
        <x:v>ANC-CAM-027-01</x:v>
      </x:c>
      <x:c r="C61" s="28" t="n">
        <x:v>10</x:v>
      </x:c>
      <x:c r="D61" s="47" t="n">
        <x:v>209.16</x:v>
      </x:c>
      <x:c r="E61" s="47" t="n">
        <x:v>179.518</x:v>
      </x:c>
      <x:c r="F61" s="47" t="n">
        <x:v>212.914</x:v>
      </x:c>
      <x:c r="G61" s="47" t="n">
        <x:v>193.704</x:v>
      </x:c>
      <x:c r="H61" s="50" t="n">
        <x:v>0.341765</x:v>
      </x:c>
      <x:c r="I61" s="50" t="n">
        <x:v>0.226664</x:v>
      </x:c>
      <x:c r="J61" s="50" t="n">
        <x:v>0.347898</x:v>
      </x:c>
      <x:c r="K61" s="50" t="n">
        <x:v>0.244576</x:v>
      </x:c>
      <x:c r="L61" s="47" t="n">
        <x:v>612</x:v>
      </x:c>
      <x:c r="M61" s="47" t="n">
        <x:v>792</x:v>
      </x:c>
      <x:c r="N61" s="28" t="str">
        <x:v>top-left</x:v>
      </x:c>
      <x:c r="O61" s="28" t="str">
        <x:v>PDF points</x:v>
      </x:c>
    </x:row>
    <x:row r="62" ht="22" customHeight="1">
      <x:c r="A62" s="28" t="str">
        <x:v>ANC-CAM-027-01-R17</x:v>
      </x:c>
      <x:c r="B62" s="28" t="str">
        <x:v>ANC-CAM-027-01</x:v>
      </x:c>
      <x:c r="C62" s="28" t="n">
        <x:v>10</x:v>
      </x:c>
      <x:c r="D62" s="47" t="n">
        <x:v>227.155</x:v>
      </x:c>
      <x:c r="E62" s="47" t="n">
        <x:v>179.518</x:v>
      </x:c>
      <x:c r="F62" s="47" t="n">
        <x:v>330.396</x:v>
      </x:c>
      <x:c r="G62" s="47" t="n">
        <x:v>193.704</x:v>
      </x:c>
      <x:c r="H62" s="50" t="n">
        <x:v>0.371169</x:v>
      </x:c>
      <x:c r="I62" s="50" t="n">
        <x:v>0.226664</x:v>
      </x:c>
      <x:c r="J62" s="50" t="n">
        <x:v>0.539862</x:v>
      </x:c>
      <x:c r="K62" s="50" t="n">
        <x:v>0.244576</x:v>
      </x:c>
      <x:c r="L62" s="47" t="n">
        <x:v>612</x:v>
      </x:c>
      <x:c r="M62" s="47" t="n">
        <x:v>792</x:v>
      </x:c>
      <x:c r="N62" s="28" t="str">
        <x:v>top-left</x:v>
      </x:c>
      <x:c r="O62" s="28" t="str">
        <x:v>PDF points</x:v>
      </x:c>
    </x:row>
    <x:row r="63" ht="22" customHeight="1">
      <x:c r="A63" s="28" t="str">
        <x:v>ANC-CAM-027-01-R18</x:v>
      </x:c>
      <x:c r="B63" s="28" t="str">
        <x:v>ANC-CAM-027-01</x:v>
      </x:c>
      <x:c r="C63" s="28" t="n">
        <x:v>10</x:v>
      </x:c>
      <x:c r="D63" s="47" t="n">
        <x:v>227.155</x:v>
      </x:c>
      <x:c r="E63" s="47" t="n">
        <x:v>192.953</x:v>
      </x:c>
      <x:c r="F63" s="47" t="n">
        <x:v>343.068</x:v>
      </x:c>
      <x:c r="G63" s="47" t="n">
        <x:v>207.14</x:v>
      </x:c>
      <x:c r="H63" s="50" t="n">
        <x:v>0.371169</x:v>
      </x:c>
      <x:c r="I63" s="50" t="n">
        <x:v>0.243628</x:v>
      </x:c>
      <x:c r="J63" s="50" t="n">
        <x:v>0.560568</x:v>
      </x:c>
      <x:c r="K63" s="50" t="n">
        <x:v>0.26154</x:v>
      </x:c>
      <x:c r="L63" s="47" t="n">
        <x:v>612</x:v>
      </x:c>
      <x:c r="M63" s="47" t="n">
        <x:v>792</x:v>
      </x:c>
      <x:c r="N63" s="28" t="str">
        <x:v>top-left</x:v>
      </x:c>
      <x:c r="O63" s="28" t="str">
        <x:v>PDF points</x:v>
      </x:c>
    </x:row>
    <x:row r="64" ht="22" customHeight="1">
      <x:c r="A64" s="28" t="str">
        <x:v>ANC-CAM-027-01-R19</x:v>
      </x:c>
      <x:c r="B64" s="28" t="str">
        <x:v>ANC-CAM-027-01</x:v>
      </x:c>
      <x:c r="C64" s="28" t="n">
        <x:v>10</x:v>
      </x:c>
      <x:c r="D64" s="47" t="n">
        <x:v>227.155</x:v>
      </x:c>
      <x:c r="E64" s="47" t="n">
        <x:v>206.389</x:v>
      </x:c>
      <x:c r="F64" s="47" t="n">
        <x:v>264.065</x:v>
      </x:c>
      <x:c r="G64" s="47" t="n">
        <x:v>220.575</x:v>
      </x:c>
      <x:c r="H64" s="50" t="n">
        <x:v>0.371169</x:v>
      </x:c>
      <x:c r="I64" s="50" t="n">
        <x:v>0.260592</x:v>
      </x:c>
      <x:c r="J64" s="50" t="n">
        <x:v>0.431479</x:v>
      </x:c>
      <x:c r="K64" s="50" t="n">
        <x:v>0.278504</x:v>
      </x:c>
      <x:c r="L64" s="47" t="n">
        <x:v>612</x:v>
      </x:c>
      <x:c r="M64" s="47" t="n">
        <x:v>792</x:v>
      </x:c>
      <x:c r="N64" s="28" t="str">
        <x:v>top-left</x:v>
      </x:c>
      <x:c r="O64" s="28" t="str">
        <x:v>PDF points</x:v>
      </x:c>
    </x:row>
    <x:row r="65" ht="22" customHeight="1">
      <x:c r="A65" s="28" t="str">
        <x:v>ANC-CAM-027-01-R20</x:v>
      </x:c>
      <x:c r="B65" s="28" t="str">
        <x:v>ANC-CAM-027-01</x:v>
      </x:c>
      <x:c r="C65" s="28" t="n">
        <x:v>10</x:v>
      </x:c>
      <x:c r="D65" s="47" t="n">
        <x:v>209.16</x:v>
      </x:c>
      <x:c r="E65" s="47" t="n">
        <x:v>219.825</x:v>
      </x:c>
      <x:c r="F65" s="47" t="n">
        <x:v>212.914</x:v>
      </x:c>
      <x:c r="G65" s="47" t="n">
        <x:v>234.011</x:v>
      </x:c>
      <x:c r="H65" s="50" t="n">
        <x:v>0.341765</x:v>
      </x:c>
      <x:c r="I65" s="50" t="n">
        <x:v>0.277556</x:v>
      </x:c>
      <x:c r="J65" s="50" t="n">
        <x:v>0.347898</x:v>
      </x:c>
      <x:c r="K65" s="50" t="n">
        <x:v>0.295468</x:v>
      </x:c>
      <x:c r="L65" s="47" t="n">
        <x:v>612</x:v>
      </x:c>
      <x:c r="M65" s="47" t="n">
        <x:v>792</x:v>
      </x:c>
      <x:c r="N65" s="28" t="str">
        <x:v>top-left</x:v>
      </x:c>
      <x:c r="O65" s="28" t="str">
        <x:v>PDF points</x:v>
      </x:c>
    </x:row>
    <x:row r="66" ht="22" customHeight="1">
      <x:c r="A66" s="28" t="str">
        <x:v>ANC-CAM-027-01-R21</x:v>
      </x:c>
      <x:c r="B66" s="28" t="str">
        <x:v>ANC-CAM-027-01</x:v>
      </x:c>
      <x:c r="C66" s="28" t="n">
        <x:v>10</x:v>
      </x:c>
      <x:c r="D66" s="47" t="n">
        <x:v>227.155</x:v>
      </x:c>
      <x:c r="E66" s="47" t="n">
        <x:v>219.825</x:v>
      </x:c>
      <x:c r="F66" s="47" t="n">
        <x:v>356.975</x:v>
      </x:c>
      <x:c r="G66" s="47" t="n">
        <x:v>234.011</x:v>
      </x:c>
      <x:c r="H66" s="50" t="n">
        <x:v>0.371169</x:v>
      </x:c>
      <x:c r="I66" s="50" t="n">
        <x:v>0.277556</x:v>
      </x:c>
      <x:c r="J66" s="50" t="n">
        <x:v>0.583292</x:v>
      </x:c>
      <x:c r="K66" s="50" t="n">
        <x:v>0.295468</x:v>
      </x:c>
      <x:c r="L66" s="47" t="n">
        <x:v>612</x:v>
      </x:c>
      <x:c r="M66" s="47" t="n">
        <x:v>792</x:v>
      </x:c>
      <x:c r="N66" s="28" t="str">
        <x:v>top-left</x:v>
      </x:c>
      <x:c r="O66" s="28" t="str">
        <x:v>PDF points</x:v>
      </x:c>
    </x:row>
    <x:row r="67" ht="22" customHeight="1">
      <x:c r="A67" s="28" t="str">
        <x:v>ANC-CAM-027-01-R22</x:v>
      </x:c>
      <x:c r="B67" s="28" t="str">
        <x:v>ANC-CAM-027-01</x:v>
      </x:c>
      <x:c r="C67" s="28" t="n">
        <x:v>10</x:v>
      </x:c>
      <x:c r="D67" s="47" t="n">
        <x:v>227.155</x:v>
      </x:c>
      <x:c r="E67" s="47" t="n">
        <x:v>233.26</x:v>
      </x:c>
      <x:c r="F67" s="47" t="n">
        <x:v>357.315</x:v>
      </x:c>
      <x:c r="G67" s="47" t="n">
        <x:v>247.447</x:v>
      </x:c>
      <x:c r="H67" s="50" t="n">
        <x:v>0.371169</x:v>
      </x:c>
      <x:c r="I67" s="50" t="n">
        <x:v>0.29452</x:v>
      </x:c>
      <x:c r="J67" s="50" t="n">
        <x:v>0.583847</x:v>
      </x:c>
      <x:c r="K67" s="50" t="n">
        <x:v>0.312433</x:v>
      </x:c>
      <x:c r="L67" s="47" t="n">
        <x:v>612</x:v>
      </x:c>
      <x:c r="M67" s="47" t="n">
        <x:v>792</x:v>
      </x:c>
      <x:c r="N67" s="28" t="str">
        <x:v>top-left</x:v>
      </x:c>
      <x:c r="O67" s="28" t="str">
        <x:v>PDF points</x:v>
      </x:c>
    </x:row>
    <x:row r="68" ht="22" customHeight="1">
      <x:c r="A68" s="28" t="str">
        <x:v>ANC-CAM-027-01-R23</x:v>
      </x:c>
      <x:c r="B68" s="28" t="str">
        <x:v>ANC-CAM-027-01</x:v>
      </x:c>
      <x:c r="C68" s="28" t="n">
        <x:v>10</x:v>
      </x:c>
      <x:c r="D68" s="47" t="n">
        <x:v>227.155</x:v>
      </x:c>
      <x:c r="E68" s="47" t="n">
        <x:v>246.696</x:v>
      </x:c>
      <x:c r="F68" s="47" t="n">
        <x:v>264.785</x:v>
      </x:c>
      <x:c r="G68" s="47" t="n">
        <x:v>260.882</x:v>
      </x:c>
      <x:c r="H68" s="50" t="n">
        <x:v>0.371169</x:v>
      </x:c>
      <x:c r="I68" s="50" t="n">
        <x:v>0.311485</x:v>
      </x:c>
      <x:c r="J68" s="50" t="n">
        <x:v>0.432655</x:v>
      </x:c>
      <x:c r="K68" s="50" t="n">
        <x:v>0.329397</x:v>
      </x:c>
      <x:c r="L68" s="47" t="n">
        <x:v>612</x:v>
      </x:c>
      <x:c r="M68" s="47" t="n">
        <x:v>792</x:v>
      </x:c>
      <x:c r="N68" s="28" t="str">
        <x:v>top-left</x:v>
      </x:c>
      <x:c r="O68" s="28" t="str">
        <x:v>PDF points</x:v>
      </x:c>
    </x:row>
    <x:row r="69" ht="22" customHeight="1">
      <x:c r="A69" s="28" t="str">
        <x:v>ANC-CAM-027-01-R24</x:v>
      </x:c>
      <x:c r="B69" s="28" t="str">
        <x:v>ANC-CAM-027-01</x:v>
      </x:c>
      <x:c r="C69" s="28" t="n">
        <x:v>10</x:v>
      </x:c>
      <x:c r="D69" s="47" t="n">
        <x:v>377.28</x:v>
      </x:c>
      <x:c r="E69" s="47" t="n">
        <x:v>85.57</x:v>
      </x:c>
      <x:c r="F69" s="47" t="n">
        <x:v>381.034</x:v>
      </x:c>
      <x:c r="G69" s="47" t="n">
        <x:v>99.756</x:v>
      </x:c>
      <x:c r="H69" s="50" t="n">
        <x:v>0.616471</x:v>
      </x:c>
      <x:c r="I69" s="50" t="n">
        <x:v>0.108042</x:v>
      </x:c>
      <x:c r="J69" s="50" t="n">
        <x:v>0.622604</x:v>
      </x:c>
      <x:c r="K69" s="50" t="n">
        <x:v>0.125955</x:v>
      </x:c>
      <x:c r="L69" s="47" t="n">
        <x:v>612</x:v>
      </x:c>
      <x:c r="M69" s="47" t="n">
        <x:v>792</x:v>
      </x:c>
      <x:c r="N69" s="28" t="str">
        <x:v>top-left</x:v>
      </x:c>
      <x:c r="O69" s="28" t="str">
        <x:v>PDF points</x:v>
      </x:c>
    </x:row>
    <x:row r="70" ht="22" customHeight="1">
      <x:c r="A70" s="28" t="str">
        <x:v>ANC-CAM-027-01-R25</x:v>
      </x:c>
      <x:c r="B70" s="28" t="str">
        <x:v>ANC-CAM-027-01</x:v>
      </x:c>
      <x:c r="C70" s="28" t="n">
        <x:v>10</x:v>
      </x:c>
      <x:c r="D70" s="47" t="n">
        <x:v>395.28</x:v>
      </x:c>
      <x:c r="E70" s="47" t="n">
        <x:v>85.57</x:v>
      </x:c>
      <x:c r="F70" s="47" t="n">
        <x:v>497.47</x:v>
      </x:c>
      <x:c r="G70" s="47" t="n">
        <x:v>99.756</x:v>
      </x:c>
      <x:c r="H70" s="50" t="n">
        <x:v>0.645882</x:v>
      </x:c>
      <x:c r="I70" s="50" t="n">
        <x:v>0.108042</x:v>
      </x:c>
      <x:c r="J70" s="50" t="n">
        <x:v>0.81286</x:v>
      </x:c>
      <x:c r="K70" s="50" t="n">
        <x:v>0.125955</x:v>
      </x:c>
      <x:c r="L70" s="47" t="n">
        <x:v>612</x:v>
      </x:c>
      <x:c r="M70" s="47" t="n">
        <x:v>792</x:v>
      </x:c>
      <x:c r="N70" s="28" t="str">
        <x:v>top-left</x:v>
      </x:c>
      <x:c r="O70" s="28" t="str">
        <x:v>PDF points</x:v>
      </x:c>
    </x:row>
    <x:row r="71" ht="22" customHeight="1">
      <x:c r="A71" s="28" t="str">
        <x:v>ANC-CAM-027-01-R26</x:v>
      </x:c>
      <x:c r="B71" s="28" t="str">
        <x:v>ANC-CAM-027-01</x:v>
      </x:c>
      <x:c r="C71" s="28" t="n">
        <x:v>10</x:v>
      </x:c>
      <x:c r="D71" s="47" t="n">
        <x:v>395.28</x:v>
      </x:c>
      <x:c r="E71" s="47" t="n">
        <x:v>99.01</x:v>
      </x:c>
      <x:c r="F71" s="47" t="n">
        <x:v>529.964</x:v>
      </x:c>
      <x:c r="G71" s="47" t="n">
        <x:v>113.196</x:v>
      </x:c>
      <x:c r="H71" s="50" t="n">
        <x:v>0.645882</x:v>
      </x:c>
      <x:c r="I71" s="50" t="n">
        <x:v>0.125012</x:v>
      </x:c>
      <x:c r="J71" s="50" t="n">
        <x:v>0.865953</x:v>
      </x:c>
      <x:c r="K71" s="50" t="n">
        <x:v>0.142924</x:v>
      </x:c>
      <x:c r="L71" s="47" t="n">
        <x:v>612</x:v>
      </x:c>
      <x:c r="M71" s="47" t="n">
        <x:v>792</x:v>
      </x:c>
      <x:c r="N71" s="28" t="str">
        <x:v>top-left</x:v>
      </x:c>
      <x:c r="O71" s="28" t="str">
        <x:v>PDF points</x:v>
      </x:c>
    </x:row>
    <x:row r="72" ht="22" customHeight="1">
      <x:c r="A72" s="28" t="str">
        <x:v>ANC-CAM-027-01-R27</x:v>
      </x:c>
      <x:c r="B72" s="28" t="str">
        <x:v>ANC-CAM-027-01</x:v>
      </x:c>
      <x:c r="C72" s="28" t="n">
        <x:v>10</x:v>
      </x:c>
      <x:c r="D72" s="47" t="n">
        <x:v>395.28</x:v>
      </x:c>
      <x:c r="E72" s="47" t="n">
        <x:v>112.45</x:v>
      </x:c>
      <x:c r="F72" s="47" t="n">
        <x:v>427.507</x:v>
      </x:c>
      <x:c r="G72" s="47" t="n">
        <x:v>126.636</x:v>
      </x:c>
      <x:c r="H72" s="50" t="n">
        <x:v>0.645882</x:v>
      </x:c>
      <x:c r="I72" s="50" t="n">
        <x:v>0.141982</x:v>
      </x:c>
      <x:c r="J72" s="50" t="n">
        <x:v>0.698541</x:v>
      </x:c>
      <x:c r="K72" s="50" t="n">
        <x:v>0.159894</x:v>
      </x:c>
      <x:c r="L72" s="47" t="n">
        <x:v>612</x:v>
      </x:c>
      <x:c r="M72" s="47" t="n">
        <x:v>792</x:v>
      </x:c>
      <x:c r="N72" s="28" t="str">
        <x:v>top-left</x:v>
      </x:c>
      <x:c r="O72" s="28" t="str">
        <x:v>PDF points</x:v>
      </x:c>
    </x:row>
    <x:row r="73" ht="22" customHeight="1">
      <x:c r="A73" s="28" t="str">
        <x:v>ANC-CAM-027-01-R28</x:v>
      </x:c>
      <x:c r="B73" s="28" t="str">
        <x:v>ANC-CAM-027-01</x:v>
      </x:c>
      <x:c r="C73" s="28" t="n">
        <x:v>10</x:v>
      </x:c>
      <x:c r="D73" s="47" t="n">
        <x:v>377.28</x:v>
      </x:c>
      <x:c r="E73" s="47" t="n">
        <x:v>125.89</x:v>
      </x:c>
      <x:c r="F73" s="47" t="n">
        <x:v>381.034</x:v>
      </x:c>
      <x:c r="G73" s="47" t="n">
        <x:v>140.076</x:v>
      </x:c>
      <x:c r="H73" s="50" t="n">
        <x:v>0.616471</x:v>
      </x:c>
      <x:c r="I73" s="50" t="n">
        <x:v>0.158951</x:v>
      </x:c>
      <x:c r="J73" s="50" t="n">
        <x:v>0.622604</x:v>
      </x:c>
      <x:c r="K73" s="50" t="n">
        <x:v>0.176864</x:v>
      </x:c>
      <x:c r="L73" s="47" t="n">
        <x:v>612</x:v>
      </x:c>
      <x:c r="M73" s="47" t="n">
        <x:v>792</x:v>
      </x:c>
      <x:c r="N73" s="28" t="str">
        <x:v>top-left</x:v>
      </x:c>
      <x:c r="O73" s="28" t="str">
        <x:v>PDF points</x:v>
      </x:c>
    </x:row>
    <x:row r="74" ht="22" customHeight="1">
      <x:c r="A74" s="28" t="str">
        <x:v>ANC-CAM-027-01-R29</x:v>
      </x:c>
      <x:c r="B74" s="28" t="str">
        <x:v>ANC-CAM-027-01</x:v>
      </x:c>
      <x:c r="C74" s="28" t="n">
        <x:v>10</x:v>
      </x:c>
      <x:c r="D74" s="47" t="n">
        <x:v>395.275</x:v>
      </x:c>
      <x:c r="E74" s="47" t="n">
        <x:v>125.89</x:v>
      </x:c>
      <x:c r="F74" s="47" t="n">
        <x:v>496.044</x:v>
      </x:c>
      <x:c r="G74" s="47" t="n">
        <x:v>140.076</x:v>
      </x:c>
      <x:c r="H74" s="50" t="n">
        <x:v>0.645875</x:v>
      </x:c>
      <x:c r="I74" s="50" t="n">
        <x:v>0.158951</x:v>
      </x:c>
      <x:c r="J74" s="50" t="n">
        <x:v>0.810529</x:v>
      </x:c>
      <x:c r="K74" s="50" t="n">
        <x:v>0.176864</x:v>
      </x:c>
      <x:c r="L74" s="47" t="n">
        <x:v>612</x:v>
      </x:c>
      <x:c r="M74" s="47" t="n">
        <x:v>792</x:v>
      </x:c>
      <x:c r="N74" s="28" t="str">
        <x:v>top-left</x:v>
      </x:c>
      <x:c r="O74" s="28" t="str">
        <x:v>PDF points</x:v>
      </x:c>
    </x:row>
    <x:row r="75" ht="22" customHeight="1">
      <x:c r="A75" s="28" t="str">
        <x:v>ANC-CAM-027-01-R30</x:v>
      </x:c>
      <x:c r="B75" s="28" t="str">
        <x:v>ANC-CAM-027-01</x:v>
      </x:c>
      <x:c r="C75" s="28" t="n">
        <x:v>10</x:v>
      </x:c>
      <x:c r="D75" s="47" t="n">
        <x:v>395.28</x:v>
      </x:c>
      <x:c r="E75" s="47" t="n">
        <x:v>139.33</x:v>
      </x:c>
      <x:c r="F75" s="47" t="n">
        <x:v>520.146</x:v>
      </x:c>
      <x:c r="G75" s="47" t="n">
        <x:v>153.516</x:v>
      </x:c>
      <x:c r="H75" s="50" t="n">
        <x:v>0.645882</x:v>
      </x:c>
      <x:c r="I75" s="50" t="n">
        <x:v>0.175921</x:v>
      </x:c>
      <x:c r="J75" s="50" t="n">
        <x:v>0.849911</x:v>
      </x:c>
      <x:c r="K75" s="50" t="n">
        <x:v>0.193833</x:v>
      </x:c>
      <x:c r="L75" s="47" t="n">
        <x:v>612</x:v>
      </x:c>
      <x:c r="M75" s="47" t="n">
        <x:v>792</x:v>
      </x:c>
      <x:c r="N75" s="28" t="str">
        <x:v>top-left</x:v>
      </x:c>
      <x:c r="O75" s="28" t="str">
        <x:v>PDF points</x:v>
      </x:c>
    </x:row>
    <x:row r="76" ht="22" customHeight="1">
      <x:c r="A76" s="28" t="str">
        <x:v>ANC-CAM-027-01-R31</x:v>
      </x:c>
      <x:c r="B76" s="28" t="str">
        <x:v>ANC-CAM-027-01</x:v>
      </x:c>
      <x:c r="C76" s="28" t="n">
        <x:v>10</x:v>
      </x:c>
      <x:c r="D76" s="47" t="n">
        <x:v>395.28</x:v>
      </x:c>
      <x:c r="E76" s="47" t="n">
        <x:v>152.77</x:v>
      </x:c>
      <x:c r="F76" s="47" t="n">
        <x:v>538.165</x:v>
      </x:c>
      <x:c r="G76" s="47" t="n">
        <x:v>166.956</x:v>
      </x:c>
      <x:c r="H76" s="50" t="n">
        <x:v>0.645882</x:v>
      </x:c>
      <x:c r="I76" s="50" t="n">
        <x:v>0.192891</x:v>
      </x:c>
      <x:c r="J76" s="50" t="n">
        <x:v>0.879355</x:v>
      </x:c>
      <x:c r="K76" s="50" t="n">
        <x:v>0.210803</x:v>
      </x:c>
      <x:c r="L76" s="47" t="n">
        <x:v>612</x:v>
      </x:c>
      <x:c r="M76" s="47" t="n">
        <x:v>792</x:v>
      </x:c>
      <x:c r="N76" s="28" t="str">
        <x:v>top-left</x:v>
      </x:c>
      <x:c r="O76" s="28" t="str">
        <x:v>PDF points</x:v>
      </x:c>
    </x:row>
    <x:row r="77" ht="22" customHeight="1">
      <x:c r="A77" s="28" t="str">
        <x:v>ANC-CAM-027-01-R32</x:v>
      </x:c>
      <x:c r="B77" s="28" t="str">
        <x:v>ANC-CAM-027-01</x:v>
      </x:c>
      <x:c r="C77" s="28" t="n">
        <x:v>10</x:v>
      </x:c>
      <x:c r="D77" s="47" t="n">
        <x:v>395.28</x:v>
      </x:c>
      <x:c r="E77" s="47" t="n">
        <x:v>166.21</x:v>
      </x:c>
      <x:c r="F77" s="47" t="n">
        <x:v>495.318</x:v>
      </x:c>
      <x:c r="G77" s="47" t="n">
        <x:v>180.396</x:v>
      </x:c>
      <x:c r="H77" s="50" t="n">
        <x:v>0.645882</x:v>
      </x:c>
      <x:c r="I77" s="50" t="n">
        <x:v>0.209861</x:v>
      </x:c>
      <x:c r="J77" s="50" t="n">
        <x:v>0.809343</x:v>
      </x:c>
      <x:c r="K77" s="50" t="n">
        <x:v>0.227773</x:v>
      </x:c>
      <x:c r="L77" s="47" t="n">
        <x:v>612</x:v>
      </x:c>
      <x:c r="M77" s="47" t="n">
        <x:v>792</x:v>
      </x:c>
      <x:c r="N77" s="28" t="str">
        <x:v>top-left</x:v>
      </x:c>
      <x:c r="O77" s="28" t="str">
        <x:v>PDF points</x:v>
      </x:c>
    </x:row>
    <x:row r="78" ht="22" customHeight="1">
      <x:c r="A78" s="28" t="str">
        <x:v>ANC-CAM-027-01-R33</x:v>
      </x:c>
      <x:c r="B78" s="28" t="str">
        <x:v>ANC-CAM-027-01</x:v>
      </x:c>
      <x:c r="C78" s="28" t="n">
        <x:v>10</x:v>
      </x:c>
      <x:c r="D78" s="47" t="n">
        <x:v>395.28</x:v>
      </x:c>
      <x:c r="E78" s="47" t="n">
        <x:v>179.53</x:v>
      </x:c>
      <x:c r="F78" s="47" t="n">
        <x:v>483.195</x:v>
      </x:c>
      <x:c r="G78" s="47" t="n">
        <x:v>193.716</x:v>
      </x:c>
      <x:c r="H78" s="50" t="n">
        <x:v>0.645882</x:v>
      </x:c>
      <x:c r="I78" s="50" t="n">
        <x:v>0.226679</x:v>
      </x:c>
      <x:c r="J78" s="50" t="n">
        <x:v>0.789534</x:v>
      </x:c>
      <x:c r="K78" s="50" t="n">
        <x:v>0.244591</x:v>
      </x:c>
      <x:c r="L78" s="47" t="n">
        <x:v>612</x:v>
      </x:c>
      <x:c r="M78" s="47" t="n">
        <x:v>792</x:v>
      </x:c>
      <x:c r="N78" s="28" t="str">
        <x:v>top-left</x:v>
      </x:c>
      <x:c r="O78" s="28" t="str">
        <x:v>PDF points</x:v>
      </x:c>
    </x:row>
    <x:row r="79" ht="22" customHeight="1">
      <x:c r="A79" s="28" t="str">
        <x:v>ANC-CAM-028-01-R01</x:v>
      </x:c>
      <x:c r="B79" s="28" t="str">
        <x:v>ANC-CAM-028-01</x:v>
      </x:c>
      <x:c r="C79" s="28" t="n">
        <x:v>10</x:v>
      </x:c>
      <x:c r="D79" s="47" t="n">
        <x:v>395.275</x:v>
      </x:c>
      <x:c r="E79" s="47" t="n">
        <x:v>125.89</x:v>
      </x:c>
      <x:c r="F79" s="47" t="n">
        <x:v>496.044</x:v>
      </x:c>
      <x:c r="G79" s="47" t="n">
        <x:v>140.076</x:v>
      </x:c>
      <x:c r="H79" s="50" t="n">
        <x:v>0.645875</x:v>
      </x:c>
      <x:c r="I79" s="50" t="n">
        <x:v>0.158951</x:v>
      </x:c>
      <x:c r="J79" s="50" t="n">
        <x:v>0.810529</x:v>
      </x:c>
      <x:c r="K79" s="50" t="n">
        <x:v>0.176864</x:v>
      </x:c>
      <x:c r="L79" s="47" t="n">
        <x:v>612</x:v>
      </x:c>
      <x:c r="M79" s="47" t="n">
        <x:v>792</x:v>
      </x:c>
      <x:c r="N79" s="28" t="str">
        <x:v>top-left</x:v>
      </x:c>
      <x:c r="O79" s="28" t="str">
        <x:v>PDF points</x:v>
      </x:c>
    </x:row>
    <x:row r="80" ht="22" customHeight="1">
      <x:c r="A80" s="28" t="str">
        <x:v>ANC-CAM-028-01-R02</x:v>
      </x:c>
      <x:c r="B80" s="28" t="str">
        <x:v>ANC-CAM-028-01</x:v>
      </x:c>
      <x:c r="C80" s="28" t="n">
        <x:v>10</x:v>
      </x:c>
      <x:c r="D80" s="47" t="n">
        <x:v>395.28</x:v>
      </x:c>
      <x:c r="E80" s="47" t="n">
        <x:v>139.33</x:v>
      </x:c>
      <x:c r="F80" s="47" t="n">
        <x:v>520.146</x:v>
      </x:c>
      <x:c r="G80" s="47" t="n">
        <x:v>153.516</x:v>
      </x:c>
      <x:c r="H80" s="50" t="n">
        <x:v>0.645882</x:v>
      </x:c>
      <x:c r="I80" s="50" t="n">
        <x:v>0.175921</x:v>
      </x:c>
      <x:c r="J80" s="50" t="n">
        <x:v>0.849911</x:v>
      </x:c>
      <x:c r="K80" s="50" t="n">
        <x:v>0.193833</x:v>
      </x:c>
      <x:c r="L80" s="47" t="n">
        <x:v>612</x:v>
      </x:c>
      <x:c r="M80" s="47" t="n">
        <x:v>792</x:v>
      </x:c>
      <x:c r="N80" s="28" t="str">
        <x:v>top-left</x:v>
      </x:c>
      <x:c r="O80" s="28" t="str">
        <x:v>PDF points</x:v>
      </x:c>
    </x:row>
    <x:row r="81" ht="22" customHeight="1">
      <x:c r="A81" s="28" t="str">
        <x:v>ANC-CAM-028-01-R03</x:v>
      </x:c>
      <x:c r="B81" s="28" t="str">
        <x:v>ANC-CAM-028-01</x:v>
      </x:c>
      <x:c r="C81" s="28" t="n">
        <x:v>10</x:v>
      </x:c>
      <x:c r="D81" s="47" t="n">
        <x:v>395.28</x:v>
      </x:c>
      <x:c r="E81" s="47" t="n">
        <x:v>152.77</x:v>
      </x:c>
      <x:c r="F81" s="47" t="n">
        <x:v>538.165</x:v>
      </x:c>
      <x:c r="G81" s="47" t="n">
        <x:v>166.956</x:v>
      </x:c>
      <x:c r="H81" s="50" t="n">
        <x:v>0.645882</x:v>
      </x:c>
      <x:c r="I81" s="50" t="n">
        <x:v>0.192891</x:v>
      </x:c>
      <x:c r="J81" s="50" t="n">
        <x:v>0.879355</x:v>
      </x:c>
      <x:c r="K81" s="50" t="n">
        <x:v>0.210803</x:v>
      </x:c>
      <x:c r="L81" s="47" t="n">
        <x:v>612</x:v>
      </x:c>
      <x:c r="M81" s="47" t="n">
        <x:v>792</x:v>
      </x:c>
      <x:c r="N81" s="28" t="str">
        <x:v>top-left</x:v>
      </x:c>
      <x:c r="O81" s="28" t="str">
        <x:v>PDF points</x:v>
      </x:c>
    </x:row>
    <x:row r="82" ht="22" customHeight="1">
      <x:c r="A82" s="28" t="str">
        <x:v>ANC-CAM-028-01-R04</x:v>
      </x:c>
      <x:c r="B82" s="28" t="str">
        <x:v>ANC-CAM-028-01</x:v>
      </x:c>
      <x:c r="C82" s="28" t="n">
        <x:v>10</x:v>
      </x:c>
      <x:c r="D82" s="47" t="n">
        <x:v>395.28</x:v>
      </x:c>
      <x:c r="E82" s="47" t="n">
        <x:v>166.21</x:v>
      </x:c>
      <x:c r="F82" s="47" t="n">
        <x:v>495.318</x:v>
      </x:c>
      <x:c r="G82" s="47" t="n">
        <x:v>180.396</x:v>
      </x:c>
      <x:c r="H82" s="50" t="n">
        <x:v>0.645882</x:v>
      </x:c>
      <x:c r="I82" s="50" t="n">
        <x:v>0.209861</x:v>
      </x:c>
      <x:c r="J82" s="50" t="n">
        <x:v>0.809343</x:v>
      </x:c>
      <x:c r="K82" s="50" t="n">
        <x:v>0.227773</x:v>
      </x:c>
      <x:c r="L82" s="47" t="n">
        <x:v>612</x:v>
      </x:c>
      <x:c r="M82" s="47" t="n">
        <x:v>792</x:v>
      </x:c>
      <x:c r="N82" s="28" t="str">
        <x:v>top-left</x:v>
      </x:c>
      <x:c r="O82" s="28" t="str">
        <x:v>PDF points</x:v>
      </x:c>
    </x:row>
    <x:row r="83" ht="22" customHeight="1">
      <x:c r="A83" s="28" t="str">
        <x:v>ANC-CAM-028-01-R05</x:v>
      </x:c>
      <x:c r="B83" s="28" t="str">
        <x:v>ANC-CAM-028-01</x:v>
      </x:c>
      <x:c r="C83" s="28" t="n">
        <x:v>10</x:v>
      </x:c>
      <x:c r="D83" s="47" t="n">
        <x:v>395.28</x:v>
      </x:c>
      <x:c r="E83" s="47" t="n">
        <x:v>179.53</x:v>
      </x:c>
      <x:c r="F83" s="47" t="n">
        <x:v>483.195</x:v>
      </x:c>
      <x:c r="G83" s="47" t="n">
        <x:v>193.716</x:v>
      </x:c>
      <x:c r="H83" s="50" t="n">
        <x:v>0.645882</x:v>
      </x:c>
      <x:c r="I83" s="50" t="n">
        <x:v>0.226679</x:v>
      </x:c>
      <x:c r="J83" s="50" t="n">
        <x:v>0.789534</x:v>
      </x:c>
      <x:c r="K83" s="50" t="n">
        <x:v>0.244591</x:v>
      </x:c>
      <x:c r="L83" s="47" t="n">
        <x:v>612</x:v>
      </x:c>
      <x:c r="M83" s="47" t="n">
        <x:v>792</x:v>
      </x:c>
      <x:c r="N83" s="28" t="str">
        <x:v>top-left</x:v>
      </x:c>
      <x:c r="O83" s="28" t="str">
        <x:v>PDF points</x:v>
      </x:c>
    </x:row>
    <x:row r="84" ht="22" customHeight="1">
      <x:c r="A84" s="28" t="str">
        <x:v>ANC-CAM-029-01-R01</x:v>
      </x:c>
      <x:c r="B84" s="28" t="str">
        <x:v>ANC-CAM-029-01</x:v>
      </x:c>
      <x:c r="C84" s="28" t="n">
        <x:v>10</x:v>
      </x:c>
      <x:c r="D84" s="47" t="n">
        <x:v>227.155</x:v>
      </x:c>
      <x:c r="E84" s="47" t="n">
        <x:v>421.81</x:v>
      </x:c>
      <x:c r="F84" s="47" t="n">
        <x:v>330.058</x:v>
      </x:c>
      <x:c r="G84" s="47" t="n">
        <x:v>435.996</x:v>
      </x:c>
      <x:c r="H84" s="50" t="n">
        <x:v>0.371169</x:v>
      </x:c>
      <x:c r="I84" s="50" t="n">
        <x:v>0.532588</x:v>
      </x:c>
      <x:c r="J84" s="50" t="n">
        <x:v>0.53931</x:v>
      </x:c>
      <x:c r="K84" s="50" t="n">
        <x:v>0.5505</x:v>
      </x:c>
      <x:c r="L84" s="47" t="n">
        <x:v>612</x:v>
      </x:c>
      <x:c r="M84" s="47" t="n">
        <x:v>792</x:v>
      </x:c>
      <x:c r="N84" s="28" t="str">
        <x:v>top-left</x:v>
      </x:c>
      <x:c r="O84" s="28" t="str">
        <x:v>PDF points</x:v>
      </x:c>
    </x:row>
    <x:row r="85" ht="22" customHeight="1">
      <x:c r="A85" s="28" t="str">
        <x:v>ANC-CAM-029-01-R02</x:v>
      </x:c>
      <x:c r="B85" s="28" t="str">
        <x:v>ANC-CAM-029-01</x:v>
      </x:c>
      <x:c r="C85" s="28" t="n">
        <x:v>10</x:v>
      </x:c>
      <x:c r="D85" s="47" t="n">
        <x:v>227.155</x:v>
      </x:c>
      <x:c r="E85" s="47" t="n">
        <x:v>435.245</x:v>
      </x:c>
      <x:c r="F85" s="47" t="n">
        <x:v>298.856</x:v>
      </x:c>
      <x:c r="G85" s="47" t="n">
        <x:v>449.432</x:v>
      </x:c>
      <x:c r="H85" s="50" t="n">
        <x:v>0.371169</x:v>
      </x:c>
      <x:c r="I85" s="50" t="n">
        <x:v>0.549552</x:v>
      </x:c>
      <x:c r="J85" s="50" t="n">
        <x:v>0.488326</x:v>
      </x:c>
      <x:c r="K85" s="50" t="n">
        <x:v>0.567464</x:v>
      </x:c>
      <x:c r="L85" s="47" t="n">
        <x:v>612</x:v>
      </x:c>
      <x:c r="M85" s="47" t="n">
        <x:v>792</x:v>
      </x:c>
      <x:c r="N85" s="28" t="str">
        <x:v>top-left</x:v>
      </x:c>
      <x:c r="O85" s="28" t="str">
        <x:v>PDF points</x:v>
      </x:c>
    </x:row>
    <x:row r="86" ht="22" customHeight="1">
      <x:c r="A86" s="28" t="str">
        <x:v>ANC-CAM-029-01-R03</x:v>
      </x:c>
      <x:c r="B86" s="28" t="str">
        <x:v>ANC-CAM-029-01</x:v>
      </x:c>
      <x:c r="C86" s="28" t="n">
        <x:v>10</x:v>
      </x:c>
      <x:c r="D86" s="47" t="n">
        <x:v>227.155</x:v>
      </x:c>
      <x:c r="E86" s="47" t="n">
        <x:v>448.681</x:v>
      </x:c>
      <x:c r="F86" s="47" t="n">
        <x:v>310.513</x:v>
      </x:c>
      <x:c r="G86" s="47" t="n">
        <x:v>462.867</x:v>
      </x:c>
      <x:c r="H86" s="50" t="n">
        <x:v>0.371169</x:v>
      </x:c>
      <x:c r="I86" s="50" t="n">
        <x:v>0.566516</x:v>
      </x:c>
      <x:c r="J86" s="50" t="n">
        <x:v>0.507374</x:v>
      </x:c>
      <x:c r="K86" s="50" t="n">
        <x:v>0.584428</x:v>
      </x:c>
      <x:c r="L86" s="47" t="n">
        <x:v>612</x:v>
      </x:c>
      <x:c r="M86" s="47" t="n">
        <x:v>792</x:v>
      </x:c>
      <x:c r="N86" s="28" t="str">
        <x:v>top-left</x:v>
      </x:c>
      <x:c r="O86" s="28" t="str">
        <x:v>PDF points</x:v>
      </x:c>
    </x:row>
    <x:row r="87" ht="22" customHeight="1">
      <x:c r="A87" s="28" t="str">
        <x:v>ANC-CAM-029-01-R04</x:v>
      </x:c>
      <x:c r="B87" s="28" t="str">
        <x:v>ANC-CAM-029-01</x:v>
      </x:c>
      <x:c r="C87" s="28" t="n">
        <x:v>10</x:v>
      </x:c>
      <x:c r="D87" s="47" t="n">
        <x:v>227.16</x:v>
      </x:c>
      <x:c r="E87" s="47" t="n">
        <x:v>462.01</x:v>
      </x:c>
      <x:c r="F87" s="47" t="n">
        <x:v>357.429</x:v>
      </x:c>
      <x:c r="G87" s="47" t="n">
        <x:v>476.196</x:v>
      </x:c>
      <x:c r="H87" s="50" t="n">
        <x:v>0.371176</x:v>
      </x:c>
      <x:c r="I87" s="50" t="n">
        <x:v>0.583345</x:v>
      </x:c>
      <x:c r="J87" s="50" t="n">
        <x:v>0.584035</x:v>
      </x:c>
      <x:c r="K87" s="50" t="n">
        <x:v>0.601258</x:v>
      </x:c>
      <x:c r="L87" s="47" t="n">
        <x:v>612</x:v>
      </x:c>
      <x:c r="M87" s="47" t="n">
        <x:v>792</x:v>
      </x:c>
      <x:c r="N87" s="28" t="str">
        <x:v>top-left</x:v>
      </x:c>
      <x:c r="O87" s="28" t="str">
        <x:v>PDF points</x:v>
      </x:c>
    </x:row>
    <x:row r="88" ht="22" customHeight="1">
      <x:c r="A88" s="28" t="str">
        <x:v>ANC-CAM-030-01-R01</x:v>
      </x:c>
      <x:c r="B88" s="28" t="str">
        <x:v>ANC-CAM-030-01</x:v>
      </x:c>
      <x:c r="C88" s="28" t="n">
        <x:v>10</x:v>
      </x:c>
      <x:c r="D88" s="47" t="n">
        <x:v>227.16</x:v>
      </x:c>
      <x:c r="E88" s="47" t="n">
        <x:v>273.605</x:v>
      </x:c>
      <x:c r="F88" s="47" t="n">
        <x:v>327.268</x:v>
      </x:c>
      <x:c r="G88" s="47" t="n">
        <x:v>287.792</x:v>
      </x:c>
      <x:c r="H88" s="50" t="n">
        <x:v>0.371176</x:v>
      </x:c>
      <x:c r="I88" s="50" t="n">
        <x:v>0.345461</x:v>
      </x:c>
      <x:c r="J88" s="50" t="n">
        <x:v>0.534752</x:v>
      </x:c>
      <x:c r="K88" s="50" t="n">
        <x:v>0.363373</x:v>
      </x:c>
      <x:c r="L88" s="47" t="n">
        <x:v>612</x:v>
      </x:c>
      <x:c r="M88" s="47" t="n">
        <x:v>792</x:v>
      </x:c>
      <x:c r="N88" s="28" t="str">
        <x:v>top-left</x:v>
      </x:c>
      <x:c r="O88" s="28" t="str">
        <x:v>PDF points</x:v>
      </x:c>
    </x:row>
    <x:row r="89" ht="22" customHeight="1">
      <x:c r="A89" s="28" t="str">
        <x:v>ANC-CAM-030-01-R02</x:v>
      </x:c>
      <x:c r="B89" s="28" t="str">
        <x:v>ANC-CAM-030-01</x:v>
      </x:c>
      <x:c r="C89" s="28" t="n">
        <x:v>10</x:v>
      </x:c>
      <x:c r="D89" s="47" t="n">
        <x:v>227.16</x:v>
      </x:c>
      <x:c r="E89" s="47" t="n">
        <x:v>287.041</x:v>
      </x:c>
      <x:c r="F89" s="47" t="n">
        <x:v>345.545</x:v>
      </x:c>
      <x:c r="G89" s="47" t="n">
        <x:v>301.227</x:v>
      </x:c>
      <x:c r="H89" s="50" t="n">
        <x:v>0.371176</x:v>
      </x:c>
      <x:c r="I89" s="50" t="n">
        <x:v>0.362425</x:v>
      </x:c>
      <x:c r="J89" s="50" t="n">
        <x:v>0.564616</x:v>
      </x:c>
      <x:c r="K89" s="50" t="n">
        <x:v>0.380338</x:v>
      </x:c>
      <x:c r="L89" s="47" t="n">
        <x:v>612</x:v>
      </x:c>
      <x:c r="M89" s="47" t="n">
        <x:v>792</x:v>
      </x:c>
      <x:c r="N89" s="28" t="str">
        <x:v>top-left</x:v>
      </x:c>
      <x:c r="O89" s="28" t="str">
        <x:v>PDF points</x:v>
      </x:c>
    </x:row>
    <x:row r="90" ht="22" customHeight="1">
      <x:c r="A90" s="28" t="str">
        <x:v>ANC-CAM-030-01-R03</x:v>
      </x:c>
      <x:c r="B90" s="28" t="str">
        <x:v>ANC-CAM-030-01</x:v>
      </x:c>
      <x:c r="C90" s="28" t="n">
        <x:v>10</x:v>
      </x:c>
      <x:c r="D90" s="47" t="n">
        <x:v>227.16</x:v>
      </x:c>
      <x:c r="E90" s="47" t="n">
        <x:v>300.37</x:v>
      </x:c>
      <x:c r="F90" s="47" t="n">
        <x:v>302.111</x:v>
      </x:c>
      <x:c r="G90" s="47" t="n">
        <x:v>314.556</x:v>
      </x:c>
      <x:c r="H90" s="50" t="n">
        <x:v>0.371176</x:v>
      </x:c>
      <x:c r="I90" s="50" t="n">
        <x:v>0.379255</x:v>
      </x:c>
      <x:c r="J90" s="50" t="n">
        <x:v>0.493645</x:v>
      </x:c>
      <x:c r="K90" s="50" t="n">
        <x:v>0.397167</x:v>
      </x:c>
      <x:c r="L90" s="47" t="n">
        <x:v>612</x:v>
      </x:c>
      <x:c r="M90" s="47" t="n">
        <x:v>792</x:v>
      </x:c>
      <x:c r="N90" s="28" t="str">
        <x:v>top-left</x:v>
      </x:c>
      <x:c r="O90" s="28" t="str">
        <x:v>PDF points</x:v>
      </x:c>
    </x:row>
    <x:row r="91" ht="22" customHeight="1">
      <x:c r="A91" s="28" t="str">
        <x:v>ANC-CAM-030-01-R04</x:v>
      </x:c>
      <x:c r="B91" s="28" t="str">
        <x:v>ANC-CAM-030-01</x:v>
      </x:c>
      <x:c r="C91" s="28" t="n">
        <x:v>10</x:v>
      </x:c>
      <x:c r="D91" s="47" t="n">
        <x:v>77.64</x:v>
      </x:c>
      <x:c r="E91" s="47" t="n">
        <x:v>314.41</x:v>
      </x:c>
      <x:c r="F91" s="47" t="n">
        <x:v>143.806</x:v>
      </x:c>
      <x:c r="G91" s="47" t="n">
        <x:v>328.596</x:v>
      </x:c>
      <x:c r="H91" s="50" t="n">
        <x:v>0.126863</x:v>
      </x:c>
      <x:c r="I91" s="50" t="n">
        <x:v>0.396982</x:v>
      </x:c>
      <x:c r="J91" s="50" t="n">
        <x:v>0.234977</x:v>
      </x:c>
      <x:c r="K91" s="50" t="n">
        <x:v>0.414894</x:v>
      </x:c>
      <x:c r="L91" s="47" t="n">
        <x:v>612</x:v>
      </x:c>
      <x:c r="M91" s="47" t="n">
        <x:v>792</x:v>
      </x:c>
      <x:c r="N91" s="28" t="str">
        <x:v>top-left</x:v>
      </x:c>
      <x:c r="O91" s="28" t="str">
        <x:v>PDF points</x:v>
      </x:c>
    </x:row>
    <x:row r="92" ht="22" customHeight="1">
      <x:c r="A92" s="28" t="str">
        <x:v>ANC-CAM-030-01-R05</x:v>
      </x:c>
      <x:c r="B92" s="28" t="str">
        <x:v>ANC-CAM-030-01</x:v>
      </x:c>
      <x:c r="C92" s="28" t="n">
        <x:v>10</x:v>
      </x:c>
      <x:c r="D92" s="47" t="n">
        <x:v>77.64</x:v>
      </x:c>
      <x:c r="E92" s="47" t="n">
        <x:v>327.73</x:v>
      </x:c>
      <x:c r="F92" s="47" t="n">
        <x:v>195.654</x:v>
      </x:c>
      <x:c r="G92" s="47" t="n">
        <x:v>341.916</x:v>
      </x:c>
      <x:c r="H92" s="50" t="n">
        <x:v>0.126863</x:v>
      </x:c>
      <x:c r="I92" s="50" t="n">
        <x:v>0.4138</x:v>
      </x:c>
      <x:c r="J92" s="50" t="n">
        <x:v>0.319697</x:v>
      </x:c>
      <x:c r="K92" s="50" t="n">
        <x:v>0.431712</x:v>
      </x:c>
      <x:c r="L92" s="47" t="n">
        <x:v>612</x:v>
      </x:c>
      <x:c r="M92" s="47" t="n">
        <x:v>792</x:v>
      </x:c>
      <x:c r="N92" s="28" t="str">
        <x:v>top-left</x:v>
      </x:c>
      <x:c r="O92" s="28" t="str">
        <x:v>PDF points</x:v>
      </x:c>
    </x:row>
    <x:row r="93" ht="22" customHeight="1">
      <x:c r="A93" s="28" t="str">
        <x:v>ANC-CAM-030-01-R06</x:v>
      </x:c>
      <x:c r="B93" s="28" t="str">
        <x:v>ANC-CAM-030-01</x:v>
      </x:c>
      <x:c r="C93" s="28" t="n">
        <x:v>10</x:v>
      </x:c>
      <x:c r="D93" s="47" t="n">
        <x:v>77.64</x:v>
      </x:c>
      <x:c r="E93" s="47" t="n">
        <x:v>341.165</x:v>
      </x:c>
      <x:c r="F93" s="47" t="n">
        <x:v>169.769</x:v>
      </x:c>
      <x:c r="G93" s="47" t="n">
        <x:v>355.352</x:v>
      </x:c>
      <x:c r="H93" s="50" t="n">
        <x:v>0.126863</x:v>
      </x:c>
      <x:c r="I93" s="50" t="n">
        <x:v>0.430764</x:v>
      </x:c>
      <x:c r="J93" s="50" t="n">
        <x:v>0.2774</x:v>
      </x:c>
      <x:c r="K93" s="50" t="n">
        <x:v>0.448676</x:v>
      </x:c>
      <x:c r="L93" s="47" t="n">
        <x:v>612</x:v>
      </x:c>
      <x:c r="M93" s="47" t="n">
        <x:v>792</x:v>
      </x:c>
      <x:c r="N93" s="28" t="str">
        <x:v>top-left</x:v>
      </x:c>
      <x:c r="O93" s="28" t="str">
        <x:v>PDF points</x:v>
      </x:c>
    </x:row>
    <x:row r="94" ht="22" customHeight="1">
      <x:c r="A94" s="28" t="str">
        <x:v>ANC-CAM-030-01-R07</x:v>
      </x:c>
      <x:c r="B94" s="28" t="str">
        <x:v>ANC-CAM-030-01</x:v>
      </x:c>
      <x:c r="C94" s="28" t="n">
        <x:v>10</x:v>
      </x:c>
      <x:c r="D94" s="47" t="n">
        <x:v>209.16</x:v>
      </x:c>
      <x:c r="E94" s="47" t="n">
        <x:v>314.41</x:v>
      </x:c>
      <x:c r="F94" s="47" t="n">
        <x:v>212.914</x:v>
      </x:c>
      <x:c r="G94" s="47" t="n">
        <x:v>328.596</x:v>
      </x:c>
      <x:c r="H94" s="50" t="n">
        <x:v>0.341765</x:v>
      </x:c>
      <x:c r="I94" s="50" t="n">
        <x:v>0.396982</x:v>
      </x:c>
      <x:c r="J94" s="50" t="n">
        <x:v>0.347898</x:v>
      </x:c>
      <x:c r="K94" s="50" t="n">
        <x:v>0.414894</x:v>
      </x:c>
      <x:c r="L94" s="47" t="n">
        <x:v>612</x:v>
      </x:c>
      <x:c r="M94" s="47" t="n">
        <x:v>792</x:v>
      </x:c>
      <x:c r="N94" s="28" t="str">
        <x:v>top-left</x:v>
      </x:c>
      <x:c r="O94" s="28" t="str">
        <x:v>PDF points</x:v>
      </x:c>
    </x:row>
    <x:row r="95" ht="22" customHeight="1">
      <x:c r="A95" s="28" t="str">
        <x:v>ANC-CAM-030-01-R08</x:v>
      </x:c>
      <x:c r="B95" s="28" t="str">
        <x:v>ANC-CAM-030-01</x:v>
      </x:c>
      <x:c r="C95" s="28" t="n">
        <x:v>10</x:v>
      </x:c>
      <x:c r="D95" s="47" t="n">
        <x:v>227.16</x:v>
      </x:c>
      <x:c r="E95" s="47" t="n">
        <x:v>314.41</x:v>
      </x:c>
      <x:c r="F95" s="47" t="n">
        <x:v>360.184</x:v>
      </x:c>
      <x:c r="G95" s="47" t="n">
        <x:v>328.596</x:v>
      </x:c>
      <x:c r="H95" s="50" t="n">
        <x:v>0.371176</x:v>
      </x:c>
      <x:c r="I95" s="50" t="n">
        <x:v>0.396982</x:v>
      </x:c>
      <x:c r="J95" s="50" t="n">
        <x:v>0.588536</x:v>
      </x:c>
      <x:c r="K95" s="50" t="n">
        <x:v>0.414894</x:v>
      </x:c>
      <x:c r="L95" s="47" t="n">
        <x:v>612</x:v>
      </x:c>
      <x:c r="M95" s="47" t="n">
        <x:v>792</x:v>
      </x:c>
      <x:c r="N95" s="28" t="str">
        <x:v>top-left</x:v>
      </x:c>
      <x:c r="O95" s="28" t="str">
        <x:v>PDF points</x:v>
      </x:c>
    </x:row>
    <x:row r="96" ht="22" customHeight="1">
      <x:c r="A96" s="28" t="str">
        <x:v>ANC-CAM-030-01-R09</x:v>
      </x:c>
      <x:c r="B96" s="28" t="str">
        <x:v>ANC-CAM-030-01</x:v>
      </x:c>
      <x:c r="C96" s="28" t="n">
        <x:v>10</x:v>
      </x:c>
      <x:c r="D96" s="47" t="n">
        <x:v>227.16</x:v>
      </x:c>
      <x:c r="E96" s="47" t="n">
        <x:v>327.73</x:v>
      </x:c>
      <x:c r="F96" s="47" t="n">
        <x:v>349.28</x:v>
      </x:c>
      <x:c r="G96" s="47" t="n">
        <x:v>341.916</x:v>
      </x:c>
      <x:c r="H96" s="50" t="n">
        <x:v>0.371176</x:v>
      </x:c>
      <x:c r="I96" s="50" t="n">
        <x:v>0.4138</x:v>
      </x:c>
      <x:c r="J96" s="50" t="n">
        <x:v>0.570719</x:v>
      </x:c>
      <x:c r="K96" s="50" t="n">
        <x:v>0.431712</x:v>
      </x:c>
      <x:c r="L96" s="47" t="n">
        <x:v>612</x:v>
      </x:c>
      <x:c r="M96" s="47" t="n">
        <x:v>792</x:v>
      </x:c>
      <x:c r="N96" s="28" t="str">
        <x:v>top-left</x:v>
      </x:c>
      <x:c r="O96" s="28" t="str">
        <x:v>PDF points</x:v>
      </x:c>
    </x:row>
    <x:row r="97" ht="22" customHeight="1">
      <x:c r="A97" s="28" t="str">
        <x:v>ANC-CAM-030-01-R10</x:v>
      </x:c>
      <x:c r="B97" s="28" t="str">
        <x:v>ANC-CAM-030-01</x:v>
      </x:c>
      <x:c r="C97" s="28" t="n">
        <x:v>10</x:v>
      </x:c>
      <x:c r="D97" s="47" t="n">
        <x:v>209.16</x:v>
      </x:c>
      <x:c r="E97" s="47" t="n">
        <x:v>341.17</x:v>
      </x:c>
      <x:c r="F97" s="47" t="n">
        <x:v>212.914</x:v>
      </x:c>
      <x:c r="G97" s="47" t="n">
        <x:v>355.356</x:v>
      </x:c>
      <x:c r="H97" s="50" t="n">
        <x:v>0.341765</x:v>
      </x:c>
      <x:c r="I97" s="50" t="n">
        <x:v>0.43077</x:v>
      </x:c>
      <x:c r="J97" s="50" t="n">
        <x:v>0.347898</x:v>
      </x:c>
      <x:c r="K97" s="50" t="n">
        <x:v>0.448682</x:v>
      </x:c>
      <x:c r="L97" s="47" t="n">
        <x:v>612</x:v>
      </x:c>
      <x:c r="M97" s="47" t="n">
        <x:v>792</x:v>
      </x:c>
      <x:c r="N97" s="28" t="str">
        <x:v>top-left</x:v>
      </x:c>
      <x:c r="O97" s="28" t="str">
        <x:v>PDF points</x:v>
      </x:c>
    </x:row>
    <x:row r="98" ht="22" customHeight="1">
      <x:c r="A98" s="28" t="str">
        <x:v>ANC-CAM-030-01-R11</x:v>
      </x:c>
      <x:c r="B98" s="28" t="str">
        <x:v>ANC-CAM-030-01</x:v>
      </x:c>
      <x:c r="C98" s="28" t="n">
        <x:v>10</x:v>
      </x:c>
      <x:c r="D98" s="47" t="n">
        <x:v>227.155</x:v>
      </x:c>
      <x:c r="E98" s="47" t="n">
        <x:v>341.17</x:v>
      </x:c>
      <x:c r="F98" s="47" t="n">
        <x:v>354.06</x:v>
      </x:c>
      <x:c r="G98" s="47" t="n">
        <x:v>355.356</x:v>
      </x:c>
      <x:c r="H98" s="50" t="n">
        <x:v>0.371169</x:v>
      </x:c>
      <x:c r="I98" s="50" t="n">
        <x:v>0.43077</x:v>
      </x:c>
      <x:c r="J98" s="50" t="n">
        <x:v>0.578529</x:v>
      </x:c>
      <x:c r="K98" s="50" t="n">
        <x:v>0.448682</x:v>
      </x:c>
      <x:c r="L98" s="47" t="n">
        <x:v>612</x:v>
      </x:c>
      <x:c r="M98" s="47" t="n">
        <x:v>792</x:v>
      </x:c>
      <x:c r="N98" s="28" t="str">
        <x:v>top-left</x:v>
      </x:c>
      <x:c r="O98" s="28" t="str">
        <x:v>PDF points</x:v>
      </x:c>
    </x:row>
    <x:row r="99" ht="22" customHeight="1">
      <x:c r="A99" s="28" t="str">
        <x:v>ANC-CAM-030-01-R12</x:v>
      </x:c>
      <x:c r="B99" s="28" t="str">
        <x:v>ANC-CAM-030-01</x:v>
      </x:c>
      <x:c r="C99" s="28" t="n">
        <x:v>10</x:v>
      </x:c>
      <x:c r="D99" s="47" t="n">
        <x:v>227.155</x:v>
      </x:c>
      <x:c r="E99" s="47" t="n">
        <x:v>354.605</x:v>
      </x:c>
      <x:c r="F99" s="47" t="n">
        <x:v>355.988</x:v>
      </x:c>
      <x:c r="G99" s="47" t="n">
        <x:v>368.792</x:v>
      </x:c>
      <x:c r="H99" s="50" t="n">
        <x:v>0.371169</x:v>
      </x:c>
      <x:c r="I99" s="50" t="n">
        <x:v>0.447734</x:v>
      </x:c>
      <x:c r="J99" s="50" t="n">
        <x:v>0.581679</x:v>
      </x:c>
      <x:c r="K99" s="50" t="n">
        <x:v>0.465646</x:v>
      </x:c>
      <x:c r="L99" s="47" t="n">
        <x:v>612</x:v>
      </x:c>
      <x:c r="M99" s="47" t="n">
        <x:v>792</x:v>
      </x:c>
      <x:c r="N99" s="28" t="str">
        <x:v>top-left</x:v>
      </x:c>
      <x:c r="O99" s="28" t="str">
        <x:v>PDF points</x:v>
      </x:c>
    </x:row>
    <x:row r="100" ht="22" customHeight="1">
      <x:c r="A100" s="28" t="str">
        <x:v>ANC-CAM-030-01-R13</x:v>
      </x:c>
      <x:c r="B100" s="28" t="str">
        <x:v>ANC-CAM-030-01</x:v>
      </x:c>
      <x:c r="C100" s="28" t="n">
        <x:v>10</x:v>
      </x:c>
      <x:c r="D100" s="47" t="n">
        <x:v>227.155</x:v>
      </x:c>
      <x:c r="E100" s="47" t="n">
        <x:v>368.041</x:v>
      </x:c>
      <x:c r="F100" s="47" t="n">
        <x:v>287.828</x:v>
      </x:c>
      <x:c r="G100" s="47" t="n">
        <x:v>382.227</x:v>
      </x:c>
      <x:c r="H100" s="50" t="n">
        <x:v>0.371169</x:v>
      </x:c>
      <x:c r="I100" s="50" t="n">
        <x:v>0.464698</x:v>
      </x:c>
      <x:c r="J100" s="50" t="n">
        <x:v>0.470307</x:v>
      </x:c>
      <x:c r="K100" s="50" t="n">
        <x:v>0.48261</x:v>
      </x:c>
      <x:c r="L100" s="47" t="n">
        <x:v>612</x:v>
      </x:c>
      <x:c r="M100" s="47" t="n">
        <x:v>792</x:v>
      </x:c>
      <x:c r="N100" s="28" t="str">
        <x:v>top-left</x:v>
      </x:c>
      <x:c r="O100" s="28" t="str">
        <x:v>PDF points</x:v>
      </x:c>
    </x:row>
    <x:row r="101" ht="22" customHeight="1">
      <x:c r="A101" s="28" t="str">
        <x:v>ANC-CAM-030-01-R14</x:v>
      </x:c>
      <x:c r="B101" s="28" t="str">
        <x:v>ANC-CAM-030-01</x:v>
      </x:c>
      <x:c r="C101" s="28" t="n">
        <x:v>10</x:v>
      </x:c>
      <x:c r="D101" s="47" t="n">
        <x:v>209.149</x:v>
      </x:c>
      <x:c r="E101" s="47" t="n">
        <x:v>381.477</x:v>
      </x:c>
      <x:c r="F101" s="47" t="n">
        <x:v>212.903</x:v>
      </x:c>
      <x:c r="G101" s="47" t="n">
        <x:v>395.663</x:v>
      </x:c>
      <x:c r="H101" s="50" t="n">
        <x:v>0.341747</x:v>
      </x:c>
      <x:c r="I101" s="50" t="n">
        <x:v>0.481662</x:v>
      </x:c>
      <x:c r="J101" s="50" t="n">
        <x:v>0.34788</x:v>
      </x:c>
      <x:c r="K101" s="50" t="n">
        <x:v>0.499575</x:v>
      </x:c>
      <x:c r="L101" s="47" t="n">
        <x:v>612</x:v>
      </x:c>
      <x:c r="M101" s="47" t="n">
        <x:v>792</x:v>
      </x:c>
      <x:c r="N101" s="28" t="str">
        <x:v>top-left</x:v>
      </x:c>
      <x:c r="O101" s="28" t="str">
        <x:v>PDF points</x:v>
      </x:c>
    </x:row>
    <x:row r="102" ht="22" customHeight="1">
      <x:c r="A102" s="28" t="str">
        <x:v>ANC-CAM-030-01-R15</x:v>
      </x:c>
      <x:c r="B102" s="28" t="str">
        <x:v>ANC-CAM-030-01</x:v>
      </x:c>
      <x:c r="C102" s="28" t="n">
        <x:v>10</x:v>
      </x:c>
      <x:c r="D102" s="47" t="n">
        <x:v>227.144</x:v>
      </x:c>
      <x:c r="E102" s="47" t="n">
        <x:v>381.477</x:v>
      </x:c>
      <x:c r="F102" s="47" t="n">
        <x:v>337.615</x:v>
      </x:c>
      <x:c r="G102" s="47" t="n">
        <x:v>395.663</x:v>
      </x:c>
      <x:c r="H102" s="50" t="n">
        <x:v>0.371151</x:v>
      </x:c>
      <x:c r="I102" s="50" t="n">
        <x:v>0.481662</x:v>
      </x:c>
      <x:c r="J102" s="50" t="n">
        <x:v>0.551658</x:v>
      </x:c>
      <x:c r="K102" s="50" t="n">
        <x:v>0.499575</x:v>
      </x:c>
      <x:c r="L102" s="47" t="n">
        <x:v>612</x:v>
      </x:c>
      <x:c r="M102" s="47" t="n">
        <x:v>792</x:v>
      </x:c>
      <x:c r="N102" s="28" t="str">
        <x:v>top-left</x:v>
      </x:c>
      <x:c r="O102" s="28" t="str">
        <x:v>PDF points</x:v>
      </x:c>
    </x:row>
    <x:row r="103" ht="22" customHeight="1">
      <x:c r="A103" s="28" t="str">
        <x:v>ANC-CAM-030-01-R16</x:v>
      </x:c>
      <x:c r="B103" s="28" t="str">
        <x:v>ANC-CAM-030-01</x:v>
      </x:c>
      <x:c r="C103" s="28" t="n">
        <x:v>10</x:v>
      </x:c>
      <x:c r="D103" s="47" t="n">
        <x:v>227.144</x:v>
      </x:c>
      <x:c r="E103" s="47" t="n">
        <x:v>394.912</x:v>
      </x:c>
      <x:c r="F103" s="47" t="n">
        <x:v>354.188</x:v>
      </x:c>
      <x:c r="G103" s="47" t="n">
        <x:v>409.099</x:v>
      </x:c>
      <x:c r="H103" s="50" t="n">
        <x:v>0.371151</x:v>
      </x:c>
      <x:c r="I103" s="50" t="n">
        <x:v>0.498627</x:v>
      </x:c>
      <x:c r="J103" s="50" t="n">
        <x:v>0.578739</x:v>
      </x:c>
      <x:c r="K103" s="50" t="n">
        <x:v>0.516539</x:v>
      </x:c>
      <x:c r="L103" s="47" t="n">
        <x:v>612</x:v>
      </x:c>
      <x:c r="M103" s="47" t="n">
        <x:v>792</x:v>
      </x:c>
      <x:c r="N103" s="28" t="str">
        <x:v>top-left</x:v>
      </x:c>
      <x:c r="O103" s="28" t="str">
        <x:v>PDF points</x:v>
      </x:c>
    </x:row>
    <x:row r="104" ht="22" customHeight="1">
      <x:c r="A104" s="28" t="str">
        <x:v>ANC-CAM-030-01-R17</x:v>
      </x:c>
      <x:c r="B104" s="28" t="str">
        <x:v>ANC-CAM-030-01</x:v>
      </x:c>
      <x:c r="C104" s="28" t="n">
        <x:v>10</x:v>
      </x:c>
      <x:c r="D104" s="47" t="n">
        <x:v>227.144</x:v>
      </x:c>
      <x:c r="E104" s="47" t="n">
        <x:v>408.348</x:v>
      </x:c>
      <x:c r="F104" s="47" t="n">
        <x:v>259.371</x:v>
      </x:c>
      <x:c r="G104" s="47" t="n">
        <x:v>422.534</x:v>
      </x:c>
      <x:c r="H104" s="50" t="n">
        <x:v>0.371151</x:v>
      </x:c>
      <x:c r="I104" s="50" t="n">
        <x:v>0.515591</x:v>
      </x:c>
      <x:c r="J104" s="50" t="n">
        <x:v>0.423809</x:v>
      </x:c>
      <x:c r="K104" s="50" t="n">
        <x:v>0.533503</x:v>
      </x:c>
      <x:c r="L104" s="47" t="n">
        <x:v>612</x:v>
      </x:c>
      <x:c r="M104" s="47" t="n">
        <x:v>792</x:v>
      </x:c>
      <x:c r="N104" s="28" t="str">
        <x:v>top-left</x:v>
      </x:c>
      <x:c r="O104" s="28" t="str">
        <x:v>PDF points</x:v>
      </x:c>
    </x:row>
    <x:row r="105" ht="22" customHeight="1">
      <x:c r="A105" s="28" t="str">
        <x:v>ANC-CAM-030-01-R18</x:v>
      </x:c>
      <x:c r="B105" s="28" t="str">
        <x:v>ANC-CAM-030-01</x:v>
      </x:c>
      <x:c r="C105" s="28" t="n">
        <x:v>10</x:v>
      </x:c>
      <x:c r="D105" s="47" t="n">
        <x:v>209.16</x:v>
      </x:c>
      <x:c r="E105" s="47" t="n">
        <x:v>421.81</x:v>
      </x:c>
      <x:c r="F105" s="47" t="n">
        <x:v>212.914</x:v>
      </x:c>
      <x:c r="G105" s="47" t="n">
        <x:v>435.996</x:v>
      </x:c>
      <x:c r="H105" s="50" t="n">
        <x:v>0.341765</x:v>
      </x:c>
      <x:c r="I105" s="50" t="n">
        <x:v>0.532588</x:v>
      </x:c>
      <x:c r="J105" s="50" t="n">
        <x:v>0.347898</x:v>
      </x:c>
      <x:c r="K105" s="50" t="n">
        <x:v>0.5505</x:v>
      </x:c>
      <x:c r="L105" s="47" t="n">
        <x:v>612</x:v>
      </x:c>
      <x:c r="M105" s="47" t="n">
        <x:v>792</x:v>
      </x:c>
      <x:c r="N105" s="28" t="str">
        <x:v>top-left</x:v>
      </x:c>
      <x:c r="O105" s="28" t="str">
        <x:v>PDF points</x:v>
      </x:c>
    </x:row>
    <x:row r="106" ht="22" customHeight="1">
      <x:c r="A106" s="28" t="str">
        <x:v>ANC-CAM-030-01-R19</x:v>
      </x:c>
      <x:c r="B106" s="28" t="str">
        <x:v>ANC-CAM-030-01</x:v>
      </x:c>
      <x:c r="C106" s="28" t="n">
        <x:v>10</x:v>
      </x:c>
      <x:c r="D106" s="47" t="n">
        <x:v>227.155</x:v>
      </x:c>
      <x:c r="E106" s="47" t="n">
        <x:v>421.81</x:v>
      </x:c>
      <x:c r="F106" s="47" t="n">
        <x:v>330.058</x:v>
      </x:c>
      <x:c r="G106" s="47" t="n">
        <x:v>435.996</x:v>
      </x:c>
      <x:c r="H106" s="50" t="n">
        <x:v>0.371169</x:v>
      </x:c>
      <x:c r="I106" s="50" t="n">
        <x:v>0.532588</x:v>
      </x:c>
      <x:c r="J106" s="50" t="n">
        <x:v>0.53931</x:v>
      </x:c>
      <x:c r="K106" s="50" t="n">
        <x:v>0.5505</x:v>
      </x:c>
      <x:c r="L106" s="47" t="n">
        <x:v>612</x:v>
      </x:c>
      <x:c r="M106" s="47" t="n">
        <x:v>792</x:v>
      </x:c>
      <x:c r="N106" s="28" t="str">
        <x:v>top-left</x:v>
      </x:c>
      <x:c r="O106" s="28" t="str">
        <x:v>PDF points</x:v>
      </x:c>
    </x:row>
    <x:row r="107" ht="22" customHeight="1">
      <x:c r="A107" s="28" t="str">
        <x:v>ANC-CAM-030-01-R20</x:v>
      </x:c>
      <x:c r="B107" s="28" t="str">
        <x:v>ANC-CAM-030-01</x:v>
      </x:c>
      <x:c r="C107" s="28" t="n">
        <x:v>10</x:v>
      </x:c>
      <x:c r="D107" s="47" t="n">
        <x:v>227.155</x:v>
      </x:c>
      <x:c r="E107" s="47" t="n">
        <x:v>435.245</x:v>
      </x:c>
      <x:c r="F107" s="47" t="n">
        <x:v>298.856</x:v>
      </x:c>
      <x:c r="G107" s="47" t="n">
        <x:v>449.432</x:v>
      </x:c>
      <x:c r="H107" s="50" t="n">
        <x:v>0.371169</x:v>
      </x:c>
      <x:c r="I107" s="50" t="n">
        <x:v>0.549552</x:v>
      </x:c>
      <x:c r="J107" s="50" t="n">
        <x:v>0.488326</x:v>
      </x:c>
      <x:c r="K107" s="50" t="n">
        <x:v>0.567464</x:v>
      </x:c>
      <x:c r="L107" s="47" t="n">
        <x:v>612</x:v>
      </x:c>
      <x:c r="M107" s="47" t="n">
        <x:v>792</x:v>
      </x:c>
      <x:c r="N107" s="28" t="str">
        <x:v>top-left</x:v>
      </x:c>
      <x:c r="O107" s="28" t="str">
        <x:v>PDF points</x:v>
      </x:c>
    </x:row>
    <x:row r="108" ht="22" customHeight="1">
      <x:c r="A108" s="28" t="str">
        <x:v>ANC-CAM-030-01-R21</x:v>
      </x:c>
      <x:c r="B108" s="28" t="str">
        <x:v>ANC-CAM-030-01</x:v>
      </x:c>
      <x:c r="C108" s="28" t="n">
        <x:v>10</x:v>
      </x:c>
      <x:c r="D108" s="47" t="n">
        <x:v>227.155</x:v>
      </x:c>
      <x:c r="E108" s="47" t="n">
        <x:v>448.681</x:v>
      </x:c>
      <x:c r="F108" s="47" t="n">
        <x:v>310.513</x:v>
      </x:c>
      <x:c r="G108" s="47" t="n">
        <x:v>462.867</x:v>
      </x:c>
      <x:c r="H108" s="50" t="n">
        <x:v>0.371169</x:v>
      </x:c>
      <x:c r="I108" s="50" t="n">
        <x:v>0.566516</x:v>
      </x:c>
      <x:c r="J108" s="50" t="n">
        <x:v>0.507374</x:v>
      </x:c>
      <x:c r="K108" s="50" t="n">
        <x:v>0.584428</x:v>
      </x:c>
      <x:c r="L108" s="47" t="n">
        <x:v>612</x:v>
      </x:c>
      <x:c r="M108" s="47" t="n">
        <x:v>792</x:v>
      </x:c>
      <x:c r="N108" s="28" t="str">
        <x:v>top-left</x:v>
      </x:c>
      <x:c r="O108" s="28" t="str">
        <x:v>PDF points</x:v>
      </x:c>
    </x:row>
    <x:row r="109" ht="22" customHeight="1">
      <x:c r="A109" s="28" t="str">
        <x:v>ANC-CAM-030-01-R22</x:v>
      </x:c>
      <x:c r="B109" s="28" t="str">
        <x:v>ANC-CAM-030-01</x:v>
      </x:c>
      <x:c r="C109" s="28" t="n">
        <x:v>10</x:v>
      </x:c>
      <x:c r="D109" s="47" t="n">
        <x:v>227.16</x:v>
      </x:c>
      <x:c r="E109" s="47" t="n">
        <x:v>462.01</x:v>
      </x:c>
      <x:c r="F109" s="47" t="n">
        <x:v>282.08</x:v>
      </x:c>
      <x:c r="G109" s="47" t="n">
        <x:v>476.196</x:v>
      </x:c>
      <x:c r="H109" s="50" t="n">
        <x:v>0.371176</x:v>
      </x:c>
      <x:c r="I109" s="50" t="n">
        <x:v>0.583345</x:v>
      </x:c>
      <x:c r="J109" s="50" t="n">
        <x:v>0.460914</x:v>
      </x:c>
      <x:c r="K109" s="50" t="n">
        <x:v>0.601258</x:v>
      </x:c>
      <x:c r="L109" s="47" t="n">
        <x:v>612</x:v>
      </x:c>
      <x:c r="M109" s="47" t="n">
        <x:v>792</x:v>
      </x:c>
      <x:c r="N109" s="28" t="str">
        <x:v>top-left</x:v>
      </x:c>
      <x:c r="O109" s="28" t="str">
        <x:v>PDF points</x:v>
      </x:c>
    </x:row>
    <x:row r="110" ht="22" customHeight="1">
      <x:c r="A110" s="28" t="str">
        <x:v>ANC-CAM-030-01-R23</x:v>
      </x:c>
      <x:c r="B110" s="28" t="str">
        <x:v>ANC-CAM-030-01</x:v>
      </x:c>
      <x:c r="C110" s="28" t="n">
        <x:v>10</x:v>
      </x:c>
      <x:c r="D110" s="47" t="n">
        <x:v>377.28</x:v>
      </x:c>
      <x:c r="E110" s="47" t="n">
        <x:v>314.41</x:v>
      </x:c>
      <x:c r="F110" s="47" t="n">
        <x:v>381.034</x:v>
      </x:c>
      <x:c r="G110" s="47" t="n">
        <x:v>328.596</x:v>
      </x:c>
      <x:c r="H110" s="50" t="n">
        <x:v>0.616471</x:v>
      </x:c>
      <x:c r="I110" s="50" t="n">
        <x:v>0.396982</x:v>
      </x:c>
      <x:c r="J110" s="50" t="n">
        <x:v>0.622604</x:v>
      </x:c>
      <x:c r="K110" s="50" t="n">
        <x:v>0.414894</x:v>
      </x:c>
      <x:c r="L110" s="47" t="n">
        <x:v>612</x:v>
      </x:c>
      <x:c r="M110" s="47" t="n">
        <x:v>792</x:v>
      </x:c>
      <x:c r="N110" s="28" t="str">
        <x:v>top-left</x:v>
      </x:c>
      <x:c r="O110" s="28" t="str">
        <x:v>PDF points</x:v>
      </x:c>
    </x:row>
    <x:row r="111" ht="22" customHeight="1">
      <x:c r="A111" s="28" t="str">
        <x:v>ANC-CAM-030-01-R24</x:v>
      </x:c>
      <x:c r="B111" s="28" t="str">
        <x:v>ANC-CAM-030-01</x:v>
      </x:c>
      <x:c r="C111" s="28" t="n">
        <x:v>10</x:v>
      </x:c>
      <x:c r="D111" s="47" t="n">
        <x:v>395.28</x:v>
      </x:c>
      <x:c r="E111" s="47" t="n">
        <x:v>314.41</x:v>
      </x:c>
      <x:c r="F111" s="47" t="n">
        <x:v>516.193</x:v>
      </x:c>
      <x:c r="G111" s="47" t="n">
        <x:v>328.596</x:v>
      </x:c>
      <x:c r="H111" s="50" t="n">
        <x:v>0.645882</x:v>
      </x:c>
      <x:c r="I111" s="50" t="n">
        <x:v>0.396982</x:v>
      </x:c>
      <x:c r="J111" s="50" t="n">
        <x:v>0.843453</x:v>
      </x:c>
      <x:c r="K111" s="50" t="n">
        <x:v>0.414894</x:v>
      </x:c>
      <x:c r="L111" s="47" t="n">
        <x:v>612</x:v>
      </x:c>
      <x:c r="M111" s="47" t="n">
        <x:v>792</x:v>
      </x:c>
      <x:c r="N111" s="28" t="str">
        <x:v>top-left</x:v>
      </x:c>
      <x:c r="O111" s="28" t="str">
        <x:v>PDF points</x:v>
      </x:c>
    </x:row>
    <x:row r="112" ht="22" customHeight="1">
      <x:c r="A112" s="28" t="str">
        <x:v>ANC-CAM-030-01-R25</x:v>
      </x:c>
      <x:c r="B112" s="28" t="str">
        <x:v>ANC-CAM-030-01</x:v>
      </x:c>
      <x:c r="C112" s="28" t="n">
        <x:v>10</x:v>
      </x:c>
      <x:c r="D112" s="47" t="n">
        <x:v>395.28</x:v>
      </x:c>
      <x:c r="E112" s="47" t="n">
        <x:v>327.73</x:v>
      </x:c>
      <x:c r="F112" s="47" t="n">
        <x:v>538.513</x:v>
      </x:c>
      <x:c r="G112" s="47" t="n">
        <x:v>341.916</x:v>
      </x:c>
      <x:c r="H112" s="50" t="n">
        <x:v>0.645882</x:v>
      </x:c>
      <x:c r="I112" s="50" t="n">
        <x:v>0.4138</x:v>
      </x:c>
      <x:c r="J112" s="50" t="n">
        <x:v>0.879923</x:v>
      </x:c>
      <x:c r="K112" s="50" t="n">
        <x:v>0.431712</x:v>
      </x:c>
      <x:c r="L112" s="47" t="n">
        <x:v>612</x:v>
      </x:c>
      <x:c r="M112" s="47" t="n">
        <x:v>792</x:v>
      </x:c>
      <x:c r="N112" s="28" t="str">
        <x:v>top-left</x:v>
      </x:c>
      <x:c r="O112" s="28" t="str">
        <x:v>PDF points</x:v>
      </x:c>
    </x:row>
    <x:row r="113" ht="22" customHeight="1">
      <x:c r="A113" s="28" t="str">
        <x:v>ANC-CAM-030-01-R26</x:v>
      </x:c>
      <x:c r="B113" s="28" t="str">
        <x:v>ANC-CAM-030-01</x:v>
      </x:c>
      <x:c r="C113" s="28" t="n">
        <x:v>10</x:v>
      </x:c>
      <x:c r="D113" s="47" t="n">
        <x:v>395.28</x:v>
      </x:c>
      <x:c r="E113" s="47" t="n">
        <x:v>341.165</x:v>
      </x:c>
      <x:c r="F113" s="47" t="n">
        <x:v>427.507</x:v>
      </x:c>
      <x:c r="G113" s="47" t="n">
        <x:v>355.352</x:v>
      </x:c>
      <x:c r="H113" s="50" t="n">
        <x:v>0.645882</x:v>
      </x:c>
      <x:c r="I113" s="50" t="n">
        <x:v>0.430764</x:v>
      </x:c>
      <x:c r="J113" s="50" t="n">
        <x:v>0.698541</x:v>
      </x:c>
      <x:c r="K113" s="50" t="n">
        <x:v>0.448676</x:v>
      </x:c>
      <x:c r="L113" s="47" t="n">
        <x:v>612</x:v>
      </x:c>
      <x:c r="M113" s="47" t="n">
        <x:v>792</x:v>
      </x:c>
      <x:c r="N113" s="28" t="str">
        <x:v>top-left</x:v>
      </x:c>
      <x:c r="O113" s="28" t="str">
        <x:v>PDF points</x:v>
      </x:c>
    </x:row>
    <x:row r="114" ht="22" customHeight="1">
      <x:c r="A114" s="28" t="str">
        <x:v>ANC-CAM-030-01-R27</x:v>
      </x:c>
      <x:c r="B114" s="28" t="str">
        <x:v>ANC-CAM-030-01</x:v>
      </x:c>
      <x:c r="C114" s="28" t="n">
        <x:v>10</x:v>
      </x:c>
      <x:c r="D114" s="47" t="n">
        <x:v>377.28</x:v>
      </x:c>
      <x:c r="E114" s="47" t="n">
        <x:v>354.61</x:v>
      </x:c>
      <x:c r="F114" s="47" t="n">
        <x:v>381.034</x:v>
      </x:c>
      <x:c r="G114" s="47" t="n">
        <x:v>368.796</x:v>
      </x:c>
      <x:c r="H114" s="50" t="n">
        <x:v>0.616471</x:v>
      </x:c>
      <x:c r="I114" s="50" t="n">
        <x:v>0.447739</x:v>
      </x:c>
      <x:c r="J114" s="50" t="n">
        <x:v>0.622604</x:v>
      </x:c>
      <x:c r="K114" s="50" t="n">
        <x:v>0.465652</x:v>
      </x:c>
      <x:c r="L114" s="47" t="n">
        <x:v>612</x:v>
      </x:c>
      <x:c r="M114" s="47" t="n">
        <x:v>792</x:v>
      </x:c>
      <x:c r="N114" s="28" t="str">
        <x:v>top-left</x:v>
      </x:c>
      <x:c r="O114" s="28" t="str">
        <x:v>PDF points</x:v>
      </x:c>
    </x:row>
    <x:row r="115" ht="22" customHeight="1">
      <x:c r="A115" s="28" t="str">
        <x:v>ANC-CAM-030-01-R28</x:v>
      </x:c>
      <x:c r="B115" s="28" t="str">
        <x:v>ANC-CAM-030-01</x:v>
      </x:c>
      <x:c r="C115" s="28" t="n">
        <x:v>10</x:v>
      </x:c>
      <x:c r="D115" s="47" t="n">
        <x:v>395.275</x:v>
      </x:c>
      <x:c r="E115" s="47" t="n">
        <x:v>354.61</x:v>
      </x:c>
      <x:c r="F115" s="47" t="n">
        <x:v>501.039</x:v>
      </x:c>
      <x:c r="G115" s="47" t="n">
        <x:v>368.796</x:v>
      </x:c>
      <x:c r="H115" s="50" t="n">
        <x:v>0.645875</x:v>
      </x:c>
      <x:c r="I115" s="50" t="n">
        <x:v>0.447739</x:v>
      </x:c>
      <x:c r="J115" s="50" t="n">
        <x:v>0.818692</x:v>
      </x:c>
      <x:c r="K115" s="50" t="n">
        <x:v>0.465652</x:v>
      </x:c>
      <x:c r="L115" s="47" t="n">
        <x:v>612</x:v>
      </x:c>
      <x:c r="M115" s="47" t="n">
        <x:v>792</x:v>
      </x:c>
      <x:c r="N115" s="28" t="str">
        <x:v>top-left</x:v>
      </x:c>
      <x:c r="O115" s="28" t="str">
        <x:v>PDF points</x:v>
      </x:c>
    </x:row>
    <x:row r="116" ht="22" customHeight="1">
      <x:c r="A116" s="28" t="str">
        <x:v>ANC-CAM-030-01-R29</x:v>
      </x:c>
      <x:c r="B116" s="28" t="str">
        <x:v>ANC-CAM-030-01</x:v>
      </x:c>
      <x:c r="C116" s="28" t="n">
        <x:v>10</x:v>
      </x:c>
      <x:c r="D116" s="47" t="n">
        <x:v>395.275</x:v>
      </x:c>
      <x:c r="E116" s="47" t="n">
        <x:v>368.045</x:v>
      </x:c>
      <x:c r="F116" s="47" t="n">
        <x:v>517.623</x:v>
      </x:c>
      <x:c r="G116" s="47" t="n">
        <x:v>382.232</x:v>
      </x:c>
      <x:c r="H116" s="50" t="n">
        <x:v>0.645875</x:v>
      </x:c>
      <x:c r="I116" s="50" t="n">
        <x:v>0.464704</x:v>
      </x:c>
      <x:c r="J116" s="50" t="n">
        <x:v>0.845789</x:v>
      </x:c>
      <x:c r="K116" s="50" t="n">
        <x:v>0.482616</x:v>
      </x:c>
      <x:c r="L116" s="47" t="n">
        <x:v>612</x:v>
      </x:c>
      <x:c r="M116" s="47" t="n">
        <x:v>792</x:v>
      </x:c>
      <x:c r="N116" s="28" t="str">
        <x:v>top-left</x:v>
      </x:c>
      <x:c r="O116" s="28" t="str">
        <x:v>PDF points</x:v>
      </x:c>
    </x:row>
    <x:row r="117" ht="22" customHeight="1">
      <x:c r="A117" s="28" t="str">
        <x:v>ANC-CAM-030-01-R30</x:v>
      </x:c>
      <x:c r="B117" s="28" t="str">
        <x:v>ANC-CAM-030-01</x:v>
      </x:c>
      <x:c r="C117" s="28" t="n">
        <x:v>10</x:v>
      </x:c>
      <x:c r="D117" s="47" t="n">
        <x:v>395.275</x:v>
      </x:c>
      <x:c r="E117" s="47" t="n">
        <x:v>381.481</x:v>
      </x:c>
      <x:c r="F117" s="47" t="n">
        <x:v>525.31</x:v>
      </x:c>
      <x:c r="G117" s="47" t="n">
        <x:v>395.667</x:v>
      </x:c>
      <x:c r="H117" s="50" t="n">
        <x:v>0.645875</x:v>
      </x:c>
      <x:c r="I117" s="50" t="n">
        <x:v>0.481668</x:v>
      </x:c>
      <x:c r="J117" s="50" t="n">
        <x:v>0.858349</x:v>
      </x:c>
      <x:c r="K117" s="50" t="n">
        <x:v>0.49958</x:v>
      </x:c>
      <x:c r="L117" s="47" t="n">
        <x:v>612</x:v>
      </x:c>
      <x:c r="M117" s="47" t="n">
        <x:v>792</x:v>
      </x:c>
      <x:c r="N117" s="28" t="str">
        <x:v>top-left</x:v>
      </x:c>
      <x:c r="O117" s="28" t="str">
        <x:v>PDF points</x:v>
      </x:c>
    </x:row>
    <x:row r="118" ht="22" customHeight="1">
      <x:c r="A118" s="28" t="str">
        <x:v>ANC-CAM-030-01-R31</x:v>
      </x:c>
      <x:c r="B118" s="28" t="str">
        <x:v>ANC-CAM-030-01</x:v>
      </x:c>
      <x:c r="C118" s="28" t="n">
        <x:v>10</x:v>
      </x:c>
      <x:c r="D118" s="47" t="n">
        <x:v>395.275</x:v>
      </x:c>
      <x:c r="E118" s="47" t="n">
        <x:v>394.917</x:v>
      </x:c>
      <x:c r="F118" s="47" t="n">
        <x:v>540.229</x:v>
      </x:c>
      <x:c r="G118" s="47" t="n">
        <x:v>409.103</x:v>
      </x:c>
      <x:c r="H118" s="50" t="n">
        <x:v>0.645874</x:v>
      </x:c>
      <x:c r="I118" s="50" t="n">
        <x:v>0.498632</x:v>
      </x:c>
      <x:c r="J118" s="50" t="n">
        <x:v>0.882728</x:v>
      </x:c>
      <x:c r="K118" s="50" t="n">
        <x:v>0.516544</x:v>
      </x:c>
      <x:c r="L118" s="47" t="n">
        <x:v>612</x:v>
      </x:c>
      <x:c r="M118" s="47" t="n">
        <x:v>792</x:v>
      </x:c>
      <x:c r="N118" s="28" t="str">
        <x:v>top-left</x:v>
      </x:c>
      <x:c r="O118" s="28" t="str">
        <x:v>PDF points</x:v>
      </x:c>
    </x:row>
    <x:row r="119" ht="22" customHeight="1">
      <x:c r="A119" s="28" t="str">
        <x:v>ANC-CAM-030-01-R32</x:v>
      </x:c>
      <x:c r="B119" s="28" t="str">
        <x:v>ANC-CAM-030-01</x:v>
      </x:c>
      <x:c r="C119" s="28" t="n">
        <x:v>10</x:v>
      </x:c>
      <x:c r="D119" s="47" t="n">
        <x:v>395.286</x:v>
      </x:c>
      <x:c r="E119" s="47" t="n">
        <x:v>408.352</x:v>
      </x:c>
      <x:c r="F119" s="47" t="n">
        <x:v>428.952</x:v>
      </x:c>
      <x:c r="G119" s="47" t="n">
        <x:v>422.539</x:v>
      </x:c>
      <x:c r="H119" s="50" t="n">
        <x:v>0.645892</x:v>
      </x:c>
      <x:c r="I119" s="50" t="n">
        <x:v>0.515596</x:v>
      </x:c>
      <x:c r="J119" s="50" t="n">
        <x:v>0.700901</x:v>
      </x:c>
      <x:c r="K119" s="50" t="n">
        <x:v>0.533508</x:v>
      </x:c>
      <x:c r="L119" s="47" t="n">
        <x:v>612</x:v>
      </x:c>
      <x:c r="M119" s="47" t="n">
        <x:v>792</x:v>
      </x:c>
      <x:c r="N119" s="28" t="str">
        <x:v>top-left</x:v>
      </x:c>
      <x:c r="O119" s="28" t="str">
        <x:v>PDF points</x:v>
      </x:c>
    </x:row>
    <x:row r="120" ht="22" customHeight="1">
      <x:c r="A120" s="28" t="str">
        <x:v>ANC-CAM-031-01-R01</x:v>
      </x:c>
      <x:c r="B120" s="28" t="str">
        <x:v>ANC-CAM-031-01</x:v>
      </x:c>
      <x:c r="C120" s="28" t="n">
        <x:v>10</x:v>
      </x:c>
      <x:c r="D120" s="47" t="n">
        <x:v>395.28</x:v>
      </x:c>
      <x:c r="E120" s="47" t="n">
        <x:v>314.41</x:v>
      </x:c>
      <x:c r="F120" s="47" t="n">
        <x:v>516.193</x:v>
      </x:c>
      <x:c r="G120" s="47" t="n">
        <x:v>328.596</x:v>
      </x:c>
      <x:c r="H120" s="50" t="n">
        <x:v>0.645882</x:v>
      </x:c>
      <x:c r="I120" s="50" t="n">
        <x:v>0.396982</x:v>
      </x:c>
      <x:c r="J120" s="50" t="n">
        <x:v>0.843453</x:v>
      </x:c>
      <x:c r="K120" s="50" t="n">
        <x:v>0.414894</x:v>
      </x:c>
      <x:c r="L120" s="47" t="n">
        <x:v>612</x:v>
      </x:c>
      <x:c r="M120" s="47" t="n">
        <x:v>792</x:v>
      </x:c>
      <x:c r="N120" s="28" t="str">
        <x:v>top-left</x:v>
      </x:c>
      <x:c r="O120" s="28" t="str">
        <x:v>PDF points</x:v>
      </x:c>
    </x:row>
    <x:row r="121" ht="22" customHeight="1">
      <x:c r="A121" s="28" t="str">
        <x:v>ANC-CAM-031-01-R02</x:v>
      </x:c>
      <x:c r="B121" s="28" t="str">
        <x:v>ANC-CAM-031-01</x:v>
      </x:c>
      <x:c r="C121" s="28" t="n">
        <x:v>10</x:v>
      </x:c>
      <x:c r="D121" s="47" t="n">
        <x:v>395.28</x:v>
      </x:c>
      <x:c r="E121" s="47" t="n">
        <x:v>327.73</x:v>
      </x:c>
      <x:c r="F121" s="47" t="n">
        <x:v>538.513</x:v>
      </x:c>
      <x:c r="G121" s="47" t="n">
        <x:v>341.916</x:v>
      </x:c>
      <x:c r="H121" s="50" t="n">
        <x:v>0.645882</x:v>
      </x:c>
      <x:c r="I121" s="50" t="n">
        <x:v>0.4138</x:v>
      </x:c>
      <x:c r="J121" s="50" t="n">
        <x:v>0.879923</x:v>
      </x:c>
      <x:c r="K121" s="50" t="n">
        <x:v>0.431712</x:v>
      </x:c>
      <x:c r="L121" s="47" t="n">
        <x:v>612</x:v>
      </x:c>
      <x:c r="M121" s="47" t="n">
        <x:v>792</x:v>
      </x:c>
      <x:c r="N121" s="28" t="str">
        <x:v>top-left</x:v>
      </x:c>
      <x:c r="O121" s="28" t="str">
        <x:v>PDF points</x:v>
      </x:c>
    </x:row>
    <x:row r="122" ht="22" customHeight="1">
      <x:c r="A122" s="28" t="str">
        <x:v>ANC-CAM-032-01-R01</x:v>
      </x:c>
      <x:c r="B122" s="28" t="str">
        <x:v>ANC-CAM-032-01</x:v>
      </x:c>
      <x:c r="C122" s="28" t="n">
        <x:v>10</x:v>
      </x:c>
      <x:c r="D122" s="47" t="n">
        <x:v>395.275</x:v>
      </x:c>
      <x:c r="E122" s="47" t="n">
        <x:v>354.61</x:v>
      </x:c>
      <x:c r="F122" s="47" t="n">
        <x:v>501.039</x:v>
      </x:c>
      <x:c r="G122" s="47" t="n">
        <x:v>368.796</x:v>
      </x:c>
      <x:c r="H122" s="50" t="n">
        <x:v>0.645875</x:v>
      </x:c>
      <x:c r="I122" s="50" t="n">
        <x:v>0.447739</x:v>
      </x:c>
      <x:c r="J122" s="50" t="n">
        <x:v>0.818692</x:v>
      </x:c>
      <x:c r="K122" s="50" t="n">
        <x:v>0.465652</x:v>
      </x:c>
      <x:c r="L122" s="47" t="n">
        <x:v>612</x:v>
      </x:c>
      <x:c r="M122" s="47" t="n">
        <x:v>792</x:v>
      </x:c>
      <x:c r="N122" s="28" t="str">
        <x:v>top-left</x:v>
      </x:c>
      <x:c r="O122" s="28" t="str">
        <x:v>PDF points</x:v>
      </x:c>
    </x:row>
    <x:row r="123" ht="22" customHeight="1">
      <x:c r="A123" s="28" t="str">
        <x:v>ANC-CAM-032-01-R02</x:v>
      </x:c>
      <x:c r="B123" s="28" t="str">
        <x:v>ANC-CAM-032-01</x:v>
      </x:c>
      <x:c r="C123" s="28" t="n">
        <x:v>10</x:v>
      </x:c>
      <x:c r="D123" s="47" t="n">
        <x:v>395.275</x:v>
      </x:c>
      <x:c r="E123" s="47" t="n">
        <x:v>368.045</x:v>
      </x:c>
      <x:c r="F123" s="47" t="n">
        <x:v>517.623</x:v>
      </x:c>
      <x:c r="G123" s="47" t="n">
        <x:v>382.232</x:v>
      </x:c>
      <x:c r="H123" s="50" t="n">
        <x:v>0.645875</x:v>
      </x:c>
      <x:c r="I123" s="50" t="n">
        <x:v>0.464704</x:v>
      </x:c>
      <x:c r="J123" s="50" t="n">
        <x:v>0.845789</x:v>
      </x:c>
      <x:c r="K123" s="50" t="n">
        <x:v>0.482616</x:v>
      </x:c>
      <x:c r="L123" s="47" t="n">
        <x:v>612</x:v>
      </x:c>
      <x:c r="M123" s="47" t="n">
        <x:v>792</x:v>
      </x:c>
      <x:c r="N123" s="28" t="str">
        <x:v>top-left</x:v>
      </x:c>
      <x:c r="O123" s="28" t="str">
        <x:v>PDF points</x:v>
      </x:c>
    </x:row>
    <x:row r="124" ht="22" customHeight="1">
      <x:c r="A124" s="28" t="str">
        <x:v>ANC-CAM-032-01-R03</x:v>
      </x:c>
      <x:c r="B124" s="28" t="str">
        <x:v>ANC-CAM-032-01</x:v>
      </x:c>
      <x:c r="C124" s="28" t="n">
        <x:v>10</x:v>
      </x:c>
      <x:c r="D124" s="47" t="n">
        <x:v>395.275</x:v>
      </x:c>
      <x:c r="E124" s="47" t="n">
        <x:v>381.481</x:v>
      </x:c>
      <x:c r="F124" s="47" t="n">
        <x:v>525.31</x:v>
      </x:c>
      <x:c r="G124" s="47" t="n">
        <x:v>395.667</x:v>
      </x:c>
      <x:c r="H124" s="50" t="n">
        <x:v>0.645875</x:v>
      </x:c>
      <x:c r="I124" s="50" t="n">
        <x:v>0.481668</x:v>
      </x:c>
      <x:c r="J124" s="50" t="n">
        <x:v>0.858349</x:v>
      </x:c>
      <x:c r="K124" s="50" t="n">
        <x:v>0.49958</x:v>
      </x:c>
      <x:c r="L124" s="47" t="n">
        <x:v>612</x:v>
      </x:c>
      <x:c r="M124" s="47" t="n">
        <x:v>792</x:v>
      </x:c>
      <x:c r="N124" s="28" t="str">
        <x:v>top-left</x:v>
      </x:c>
      <x:c r="O124" s="28" t="str">
        <x:v>PDF points</x:v>
      </x:c>
    </x:row>
    <x:row r="125" ht="22" customHeight="1">
      <x:c r="A125" s="28" t="str">
        <x:v>ANC-CAM-032-01-R04</x:v>
      </x:c>
      <x:c r="B125" s="28" t="str">
        <x:v>ANC-CAM-032-01</x:v>
      </x:c>
      <x:c r="C125" s="28" t="n">
        <x:v>10</x:v>
      </x:c>
      <x:c r="D125" s="47" t="n">
        <x:v>395.275</x:v>
      </x:c>
      <x:c r="E125" s="47" t="n">
        <x:v>394.917</x:v>
      </x:c>
      <x:c r="F125" s="47" t="n">
        <x:v>540.229</x:v>
      </x:c>
      <x:c r="G125" s="47" t="n">
        <x:v>409.103</x:v>
      </x:c>
      <x:c r="H125" s="50" t="n">
        <x:v>0.645874</x:v>
      </x:c>
      <x:c r="I125" s="50" t="n">
        <x:v>0.498632</x:v>
      </x:c>
      <x:c r="J125" s="50" t="n">
        <x:v>0.882728</x:v>
      </x:c>
      <x:c r="K125" s="50" t="n">
        <x:v>0.516544</x:v>
      </x:c>
      <x:c r="L125" s="47" t="n">
        <x:v>612</x:v>
      </x:c>
      <x:c r="M125" s="47" t="n">
        <x:v>792</x:v>
      </x:c>
      <x:c r="N125" s="28" t="str">
        <x:v>top-left</x:v>
      </x:c>
      <x:c r="O125" s="28" t="str">
        <x:v>PDF points</x:v>
      </x:c>
    </x:row>
    <x:row r="126" ht="22" customHeight="1">
      <x:c r="A126" s="28" t="str">
        <x:v>ANC-CAM-033-01-R01</x:v>
      </x:c>
      <x:c r="B126" s="28" t="str">
        <x:v>ANC-CAM-033-01</x:v>
      </x:c>
      <x:c r="C126" s="28" t="n">
        <x:v>10</x:v>
      </x:c>
      <x:c r="D126" s="47" t="n">
        <x:v>227.144</x:v>
      </x:c>
      <x:c r="E126" s="47" t="n">
        <x:v>529.681</x:v>
      </x:c>
      <x:c r="F126" s="47" t="n">
        <x:v>359.213</x:v>
      </x:c>
      <x:c r="G126" s="47" t="n">
        <x:v>543.867</x:v>
      </x:c>
      <x:c r="H126" s="50" t="n">
        <x:v>0.371151</x:v>
      </x:c>
      <x:c r="I126" s="50" t="n">
        <x:v>0.668789</x:v>
      </x:c>
      <x:c r="J126" s="50" t="n">
        <x:v>0.58695</x:v>
      </x:c>
      <x:c r="K126" s="50" t="n">
        <x:v>0.686701</x:v>
      </x:c>
      <x:c r="L126" s="47" t="n">
        <x:v>612</x:v>
      </x:c>
      <x:c r="M126" s="47" t="n">
        <x:v>792</x:v>
      </x:c>
      <x:c r="N126" s="28" t="str">
        <x:v>top-left</x:v>
      </x:c>
      <x:c r="O126" s="28" t="str">
        <x:v>PDF points</x:v>
      </x:c>
    </x:row>
    <x:row r="127" ht="22" customHeight="1">
      <x:c r="A127" s="28" t="str">
        <x:v>ANC-CAM-033-01-R02</x:v>
      </x:c>
      <x:c r="B127" s="28" t="str">
        <x:v>ANC-CAM-033-01</x:v>
      </x:c>
      <x:c r="C127" s="28" t="n">
        <x:v>10</x:v>
      </x:c>
      <x:c r="D127" s="47" t="n">
        <x:v>227.144</x:v>
      </x:c>
      <x:c r="E127" s="47" t="n">
        <x:v>543.117</x:v>
      </x:c>
      <x:c r="F127" s="47" t="n">
        <x:v>325.386</x:v>
      </x:c>
      <x:c r="G127" s="47" t="n">
        <x:v>557.303</x:v>
      </x:c>
      <x:c r="H127" s="50" t="n">
        <x:v>0.371151</x:v>
      </x:c>
      <x:c r="I127" s="50" t="n">
        <x:v>0.685753</x:v>
      </x:c>
      <x:c r="J127" s="50" t="n">
        <x:v>0.531676</x:v>
      </x:c>
      <x:c r="K127" s="50" t="n">
        <x:v>0.703665</x:v>
      </x:c>
      <x:c r="L127" s="47" t="n">
        <x:v>612</x:v>
      </x:c>
      <x:c r="M127" s="47" t="n">
        <x:v>792</x:v>
      </x:c>
      <x:c r="N127" s="28" t="str">
        <x:v>top-left</x:v>
      </x:c>
      <x:c r="O127" s="28" t="str">
        <x:v>PDF points</x:v>
      </x:c>
    </x:row>
    <x:row r="128" ht="22" customHeight="1">
      <x:c r="A128" s="28" t="str">
        <x:v>ANC-CAM-034-01-R01</x:v>
      </x:c>
      <x:c r="B128" s="28" t="str">
        <x:v>ANC-CAM-034-01</x:v>
      </x:c>
      <x:c r="C128" s="28" t="n">
        <x:v>10</x:v>
      </x:c>
      <x:c r="D128" s="47" t="n">
        <x:v>227.155</x:v>
      </x:c>
      <x:c r="E128" s="47" t="n">
        <x:v>610.21</x:v>
      </x:c>
      <x:c r="F128" s="47" t="n">
        <x:v>308.735</x:v>
      </x:c>
      <x:c r="G128" s="47" t="n">
        <x:v>624.396</x:v>
      </x:c>
      <x:c r="H128" s="50" t="n">
        <x:v>0.371169</x:v>
      </x:c>
      <x:c r="I128" s="50" t="n">
        <x:v>0.770467</x:v>
      </x:c>
      <x:c r="J128" s="50" t="n">
        <x:v>0.504469</x:v>
      </x:c>
      <x:c r="K128" s="50" t="n">
        <x:v>0.788379</x:v>
      </x:c>
      <x:c r="L128" s="47" t="n">
        <x:v>612</x:v>
      </x:c>
      <x:c r="M128" s="47" t="n">
        <x:v>792</x:v>
      </x:c>
      <x:c r="N128" s="28" t="str">
        <x:v>top-left</x:v>
      </x:c>
      <x:c r="O128" s="28" t="str">
        <x:v>PDF points</x:v>
      </x:c>
    </x:row>
    <x:row r="129" ht="22" customHeight="1">
      <x:c r="A129" s="28" t="str">
        <x:v>ANC-CAM-034-01-R02</x:v>
      </x:c>
      <x:c r="B129" s="28" t="str">
        <x:v>ANC-CAM-034-01</x:v>
      </x:c>
      <x:c r="C129" s="28" t="n">
        <x:v>10</x:v>
      </x:c>
      <x:c r="D129" s="47" t="n">
        <x:v>227.155</x:v>
      </x:c>
      <x:c r="E129" s="47" t="n">
        <x:v>623.645</x:v>
      </x:c>
      <x:c r="F129" s="47" t="n">
        <x:v>342.658</x:v>
      </x:c>
      <x:c r="G129" s="47" t="n">
        <x:v>637.832</x:v>
      </x:c>
      <x:c r="H129" s="50" t="n">
        <x:v>0.371169</x:v>
      </x:c>
      <x:c r="I129" s="50" t="n">
        <x:v>0.787431</x:v>
      </x:c>
      <x:c r="J129" s="50" t="n">
        <x:v>0.559899</x:v>
      </x:c>
      <x:c r="K129" s="50" t="n">
        <x:v>0.805343</x:v>
      </x:c>
      <x:c r="L129" s="47" t="n">
        <x:v>612</x:v>
      </x:c>
      <x:c r="M129" s="47" t="n">
        <x:v>792</x:v>
      </x:c>
      <x:c r="N129" s="28" t="str">
        <x:v>top-left</x:v>
      </x:c>
      <x:c r="O129" s="28" t="str">
        <x:v>PDF points</x:v>
      </x:c>
    </x:row>
    <x:row r="130" ht="22" customHeight="1">
      <x:c r="A130" s="28" t="str">
        <x:v>ANC-CAM-034-01-R03</x:v>
      </x:c>
      <x:c r="B130" s="28" t="str">
        <x:v>ANC-CAM-034-01</x:v>
      </x:c>
      <x:c r="C130" s="28" t="n">
        <x:v>10</x:v>
      </x:c>
      <x:c r="D130" s="47" t="n">
        <x:v>227.155</x:v>
      </x:c>
      <x:c r="E130" s="47" t="n">
        <x:v>637.081</x:v>
      </x:c>
      <x:c r="F130" s="47" t="n">
        <x:v>327.428</x:v>
      </x:c>
      <x:c r="G130" s="47" t="n">
        <x:v>651.267</x:v>
      </x:c>
      <x:c r="H130" s="50" t="n">
        <x:v>0.371169</x:v>
      </x:c>
      <x:c r="I130" s="50" t="n">
        <x:v>0.804395</x:v>
      </x:c>
      <x:c r="J130" s="50" t="n">
        <x:v>0.535013</x:v>
      </x:c>
      <x:c r="K130" s="50" t="n">
        <x:v>0.822307</x:v>
      </x:c>
      <x:c r="L130" s="47" t="n">
        <x:v>612</x:v>
      </x:c>
      <x:c r="M130" s="47" t="n">
        <x:v>792</x:v>
      </x:c>
      <x:c r="N130" s="28" t="str">
        <x:v>top-left</x:v>
      </x:c>
      <x:c r="O130" s="28" t="str">
        <x:v>PDF points</x:v>
      </x:c>
    </x:row>
    <x:row r="131" ht="22" customHeight="1">
      <x:c r="A131" s="28" t="str">
        <x:v>ANC-CAM-034-01-R04</x:v>
      </x:c>
      <x:c r="B131" s="28" t="str">
        <x:v>ANC-CAM-034-01</x:v>
      </x:c>
      <x:c r="C131" s="28" t="n">
        <x:v>10</x:v>
      </x:c>
      <x:c r="D131" s="47" t="n">
        <x:v>227.155</x:v>
      </x:c>
      <x:c r="E131" s="47" t="n">
        <x:v>650.517</x:v>
      </x:c>
      <x:c r="F131" s="47" t="n">
        <x:v>362.36</x:v>
      </x:c>
      <x:c r="G131" s="47" t="n">
        <x:v>664.703</x:v>
      </x:c>
      <x:c r="H131" s="50" t="n">
        <x:v>0.371169</x:v>
      </x:c>
      <x:c r="I131" s="50" t="n">
        <x:v>0.821359</x:v>
      </x:c>
      <x:c r="J131" s="50" t="n">
        <x:v>0.592091</x:v>
      </x:c>
      <x:c r="K131" s="50" t="n">
        <x:v>0.839272</x:v>
      </x:c>
      <x:c r="L131" s="47" t="n">
        <x:v>612</x:v>
      </x:c>
      <x:c r="M131" s="47" t="n">
        <x:v>792</x:v>
      </x:c>
      <x:c r="N131" s="28" t="str">
        <x:v>top-left</x:v>
      </x:c>
      <x:c r="O131" s="28" t="str">
        <x:v>PDF points</x:v>
      </x:c>
    </x:row>
    <x:row r="132" ht="22" customHeight="1">
      <x:c r="A132" s="28" t="str">
        <x:v>ANC-CAM-034-01-R05</x:v>
      </x:c>
      <x:c r="B132" s="28" t="str">
        <x:v>ANC-CAM-034-01</x:v>
      </x:c>
      <x:c r="C132" s="28" t="n">
        <x:v>10</x:v>
      </x:c>
      <x:c r="D132" s="47" t="n">
        <x:v>227.155</x:v>
      </x:c>
      <x:c r="E132" s="47" t="n">
        <x:v>663.952</x:v>
      </x:c>
      <x:c r="F132" s="47" t="n">
        <x:v>348.189</x:v>
      </x:c>
      <x:c r="G132" s="47" t="n">
        <x:v>678.139</x:v>
      </x:c>
      <x:c r="H132" s="50" t="n">
        <x:v>0.371169</x:v>
      </x:c>
      <x:c r="I132" s="50" t="n">
        <x:v>0.838324</x:v>
      </x:c>
      <x:c r="J132" s="50" t="n">
        <x:v>0.568936</x:v>
      </x:c>
      <x:c r="K132" s="50" t="n">
        <x:v>0.856236</x:v>
      </x:c>
      <x:c r="L132" s="47" t="n">
        <x:v>612</x:v>
      </x:c>
      <x:c r="M132" s="47" t="n">
        <x:v>792</x:v>
      </x:c>
      <x:c r="N132" s="28" t="str">
        <x:v>top-left</x:v>
      </x:c>
      <x:c r="O132" s="28" t="str">
        <x:v>PDF points</x:v>
      </x:c>
    </x:row>
    <x:row r="133" ht="22" customHeight="1">
      <x:c r="A133" s="28" t="str">
        <x:v>ANC-CAM-035-01-R01</x:v>
      </x:c>
      <x:c r="B133" s="28" t="str">
        <x:v>ANC-CAM-035-01</x:v>
      </x:c>
      <x:c r="C133" s="28" t="n">
        <x:v>10</x:v>
      </x:c>
      <x:c r="D133" s="47" t="n">
        <x:v>395.275</x:v>
      </x:c>
      <x:c r="E133" s="47" t="n">
        <x:v>516.25</x:v>
      </x:c>
      <x:c r="F133" s="47" t="n">
        <x:v>513.92</x:v>
      </x:c>
      <x:c r="G133" s="47" t="n">
        <x:v>530.436</x:v>
      </x:c>
      <x:c r="H133" s="50" t="n">
        <x:v>0.645875</x:v>
      </x:c>
      <x:c r="I133" s="50" t="n">
        <x:v>0.65183</x:v>
      </x:c>
      <x:c r="J133" s="50" t="n">
        <x:v>0.839738</x:v>
      </x:c>
      <x:c r="K133" s="50" t="n">
        <x:v>0.669742</x:v>
      </x:c>
      <x:c r="L133" s="47" t="n">
        <x:v>612</x:v>
      </x:c>
      <x:c r="M133" s="47" t="n">
        <x:v>792</x:v>
      </x:c>
      <x:c r="N133" s="28" t="str">
        <x:v>top-left</x:v>
      </x:c>
      <x:c r="O133" s="28" t="str">
        <x:v>PDF points</x:v>
      </x:c>
    </x:row>
    <x:row r="134" ht="22" customHeight="1">
      <x:c r="A134" s="28" t="str">
        <x:v>ANC-CAM-035-01-R02</x:v>
      </x:c>
      <x:c r="B134" s="28" t="str">
        <x:v>ANC-CAM-035-01</x:v>
      </x:c>
      <x:c r="C134" s="28" t="n">
        <x:v>10</x:v>
      </x:c>
      <x:c r="D134" s="47" t="n">
        <x:v>395.275</x:v>
      </x:c>
      <x:c r="E134" s="47" t="n">
        <x:v>529.685</x:v>
      </x:c>
      <x:c r="F134" s="47" t="n">
        <x:v>532.511</x:v>
      </x:c>
      <x:c r="G134" s="47" t="n">
        <x:v>543.872</x:v>
      </x:c>
      <x:c r="H134" s="50" t="n">
        <x:v>0.645875</x:v>
      </x:c>
      <x:c r="I134" s="50" t="n">
        <x:v>0.668795</x:v>
      </x:c>
      <x:c r="J134" s="50" t="n">
        <x:v>0.870116</x:v>
      </x:c>
      <x:c r="K134" s="50" t="n">
        <x:v>0.686707</x:v>
      </x:c>
      <x:c r="L134" s="47" t="n">
        <x:v>612</x:v>
      </x:c>
      <x:c r="M134" s="47" t="n">
        <x:v>792</x:v>
      </x:c>
      <x:c r="N134" s="28" t="str">
        <x:v>top-left</x:v>
      </x:c>
      <x:c r="O134" s="28" t="str">
        <x:v>PDF points</x:v>
      </x:c>
    </x:row>
    <x:row r="135" ht="22" customHeight="1">
      <x:c r="A135" s="28" t="str">
        <x:v>ANC-CAM-036-01-R01</x:v>
      </x:c>
      <x:c r="B135" s="28" t="str">
        <x:v>ANC-CAM-036-01</x:v>
      </x:c>
      <x:c r="C135" s="28" t="n">
        <x:v>10</x:v>
      </x:c>
      <x:c r="D135" s="47" t="n">
        <x:v>395.279</x:v>
      </x:c>
      <x:c r="E135" s="47" t="n">
        <x:v>637.081</x:v>
      </x:c>
      <x:c r="F135" s="47" t="n">
        <x:v>531.137</x:v>
      </x:c>
      <x:c r="G135" s="47" t="n">
        <x:v>651.267</x:v>
      </x:c>
      <x:c r="H135" s="50" t="n">
        <x:v>0.64588</x:v>
      </x:c>
      <x:c r="I135" s="50" t="n">
        <x:v>0.804395</x:v>
      </x:c>
      <x:c r="J135" s="50" t="n">
        <x:v>0.867871</x:v>
      </x:c>
      <x:c r="K135" s="50" t="n">
        <x:v>0.822307</x:v>
      </x:c>
      <x:c r="L135" s="47" t="n">
        <x:v>612</x:v>
      </x:c>
      <x:c r="M135" s="47" t="n">
        <x:v>792</x:v>
      </x:c>
      <x:c r="N135" s="28" t="str">
        <x:v>top-left</x:v>
      </x:c>
      <x:c r="O135" s="28" t="str">
        <x:v>PDF points</x:v>
      </x:c>
    </x:row>
    <x:row r="136" ht="22" customHeight="1">
      <x:c r="A136" s="28" t="str">
        <x:v>ANC-CAM-036-01-R02</x:v>
      </x:c>
      <x:c r="B136" s="28" t="str">
        <x:v>ANC-CAM-036-01</x:v>
      </x:c>
      <x:c r="C136" s="28" t="n">
        <x:v>10</x:v>
      </x:c>
      <x:c r="D136" s="47" t="n">
        <x:v>395.29</x:v>
      </x:c>
      <x:c r="E136" s="47" t="n">
        <x:v>650.517</x:v>
      </x:c>
      <x:c r="F136" s="47" t="n">
        <x:v>504.311</x:v>
      </x:c>
      <x:c r="G136" s="47" t="n">
        <x:v>664.703</x:v>
      </x:c>
      <x:c r="H136" s="50" t="n">
        <x:v>0.645898</x:v>
      </x:c>
      <x:c r="I136" s="50" t="n">
        <x:v>0.821359</x:v>
      </x:c>
      <x:c r="J136" s="50" t="n">
        <x:v>0.824037</x:v>
      </x:c>
      <x:c r="K136" s="50" t="n">
        <x:v>0.839272</x:v>
      </x:c>
      <x:c r="L136" s="47" t="n">
        <x:v>612</x:v>
      </x:c>
      <x:c r="M136" s="47" t="n">
        <x:v>792</x:v>
      </x:c>
      <x:c r="N136" s="28" t="str">
        <x:v>top-left</x:v>
      </x:c>
      <x:c r="O136" s="28" t="str">
        <x:v>PDF points</x:v>
      </x:c>
    </x:row>
    <x:row r="137" ht="22" customHeight="1">
      <x:c r="A137" s="28" t="str">
        <x:v>ANC-CAM-036-01-R03</x:v>
      </x:c>
      <x:c r="B137" s="28" t="str">
        <x:v>ANC-CAM-036-01</x:v>
      </x:c>
      <x:c r="C137" s="28" t="n">
        <x:v>10</x:v>
      </x:c>
      <x:c r="D137" s="47" t="n">
        <x:v>395.29</x:v>
      </x:c>
      <x:c r="E137" s="47" t="n">
        <x:v>663.952</x:v>
      </x:c>
      <x:c r="F137" s="47" t="n">
        <x:v>543.554</x:v>
      </x:c>
      <x:c r="G137" s="47" t="n">
        <x:v>678.139</x:v>
      </x:c>
      <x:c r="H137" s="50" t="n">
        <x:v>0.645898</x:v>
      </x:c>
      <x:c r="I137" s="50" t="n">
        <x:v>0.838324</x:v>
      </x:c>
      <x:c r="J137" s="50" t="n">
        <x:v>0.888161</x:v>
      </x:c>
      <x:c r="K137" s="50" t="n">
        <x:v>0.856236</x:v>
      </x:c>
      <x:c r="L137" s="47" t="n">
        <x:v>612</x:v>
      </x:c>
      <x:c r="M137" s="47" t="n">
        <x:v>792</x:v>
      </x:c>
      <x:c r="N137" s="28" t="str">
        <x:v>top-left</x:v>
      </x:c>
      <x:c r="O137" s="28" t="str">
        <x:v>PDF points</x:v>
      </x:c>
    </x:row>
    <x:row r="138" ht="22" customHeight="1">
      <x:c r="A138" s="28" t="str">
        <x:v>ANC-CAM-036-01-R04</x:v>
      </x:c>
      <x:c r="B138" s="28" t="str">
        <x:v>ANC-CAM-036-01</x:v>
      </x:c>
      <x:c r="C138" s="28" t="n">
        <x:v>10</x:v>
      </x:c>
      <x:c r="D138" s="47" t="n">
        <x:v>395.279</x:v>
      </x:c>
      <x:c r="E138" s="47" t="n">
        <x:v>677.388</x:v>
      </x:c>
      <x:c r="F138" s="47" t="n">
        <x:v>514.513</x:v>
      </x:c>
      <x:c r="G138" s="47" t="n">
        <x:v>691.574</x:v>
      </x:c>
      <x:c r="H138" s="50" t="n">
        <x:v>0.64588</x:v>
      </x:c>
      <x:c r="I138" s="50" t="n">
        <x:v>0.855288</x:v>
      </x:c>
      <x:c r="J138" s="50" t="n">
        <x:v>0.840707</x:v>
      </x:c>
      <x:c r="K138" s="50" t="n">
        <x:v>0.8732</x:v>
      </x:c>
      <x:c r="L138" s="47" t="n">
        <x:v>612</x:v>
      </x:c>
      <x:c r="M138" s="47" t="n">
        <x:v>792</x:v>
      </x:c>
      <x:c r="N138" s="28" t="str">
        <x:v>top-left</x:v>
      </x:c>
      <x:c r="O138" s="28" t="str">
        <x:v>PDF points</x:v>
      </x:c>
    </x:row>
    <x:row r="139" ht="22" customHeight="1">
      <x:c r="A139" s="28" t="str">
        <x:v>ANC-CAM-037-01-R01</x:v>
      </x:c>
      <x:c r="B139" s="28" t="str">
        <x:v>ANC-CAM-037-01</x:v>
      </x:c>
      <x:c r="C139" s="28" t="n">
        <x:v>11</x:v>
      </x:c>
      <x:c r="D139" s="47" t="n">
        <x:v>227.155</x:v>
      </x:c>
      <x:c r="E139" s="47" t="n">
        <x:v>192.958</x:v>
      </x:c>
      <x:c r="F139" s="47" t="n">
        <x:v>341.247</x:v>
      </x:c>
      <x:c r="G139" s="47" t="n">
        <x:v>207.144</x:v>
      </x:c>
      <x:c r="H139" s="50" t="n">
        <x:v>0.371169</x:v>
      </x:c>
      <x:c r="I139" s="50" t="n">
        <x:v>0.243633</x:v>
      </x:c>
      <x:c r="J139" s="50" t="n">
        <x:v>0.557593</x:v>
      </x:c>
      <x:c r="K139" s="50" t="n">
        <x:v>0.261545</x:v>
      </x:c>
      <x:c r="L139" s="47" t="n">
        <x:v>612</x:v>
      </x:c>
      <x:c r="M139" s="47" t="n">
        <x:v>792</x:v>
      </x:c>
      <x:c r="N139" s="28" t="str">
        <x:v>top-left</x:v>
      </x:c>
      <x:c r="O139" s="28" t="str">
        <x:v>PDF points</x:v>
      </x:c>
    </x:row>
    <x:row r="140" ht="22" customHeight="1">
      <x:c r="A140" s="28" t="str">
        <x:v>ANC-CAM-037-01-R02</x:v>
      </x:c>
      <x:c r="B140" s="28" t="str">
        <x:v>ANC-CAM-037-01</x:v>
      </x:c>
      <x:c r="C140" s="28" t="n">
        <x:v>11</x:v>
      </x:c>
      <x:c r="D140" s="47" t="n">
        <x:v>227.155</x:v>
      </x:c>
      <x:c r="E140" s="47" t="n">
        <x:v>206.393</x:v>
      </x:c>
      <x:c r="F140" s="47" t="n">
        <x:v>332.135</x:v>
      </x:c>
      <x:c r="G140" s="47" t="n">
        <x:v>220.58</x:v>
      </x:c>
      <x:c r="H140" s="50" t="n">
        <x:v>0.371169</x:v>
      </x:c>
      <x:c r="I140" s="50" t="n">
        <x:v>0.260597</x:v>
      </x:c>
      <x:c r="J140" s="50" t="n">
        <x:v>0.542704</x:v>
      </x:c>
      <x:c r="K140" s="50" t="n">
        <x:v>0.27851</x:v>
      </x:c>
      <x:c r="L140" s="47" t="n">
        <x:v>612</x:v>
      </x:c>
      <x:c r="M140" s="47" t="n">
        <x:v>792</x:v>
      </x:c>
      <x:c r="N140" s="28" t="str">
        <x:v>top-left</x:v>
      </x:c>
      <x:c r="O140" s="28" t="str">
        <x:v>PDF points</x:v>
      </x:c>
    </x:row>
    <x:row r="141" ht="22" customHeight="1">
      <x:c r="A141" s="28" t="str">
        <x:v>ANC-CAM-037-01-R03</x:v>
      </x:c>
      <x:c r="B141" s="28" t="str">
        <x:v>ANC-CAM-037-01</x:v>
      </x:c>
      <x:c r="C141" s="28" t="n">
        <x:v>11</x:v>
      </x:c>
      <x:c r="D141" s="47" t="n">
        <x:v>227.155</x:v>
      </x:c>
      <x:c r="E141" s="47" t="n">
        <x:v>219.829</x:v>
      </x:c>
      <x:c r="F141" s="47" t="n">
        <x:v>321.184</x:v>
      </x:c>
      <x:c r="G141" s="47" t="n">
        <x:v>234.015</x:v>
      </x:c>
      <x:c r="H141" s="50" t="n">
        <x:v>0.371169</x:v>
      </x:c>
      <x:c r="I141" s="50" t="n">
        <x:v>0.277562</x:v>
      </x:c>
      <x:c r="J141" s="50" t="n">
        <x:v>0.52481</x:v>
      </x:c>
      <x:c r="K141" s="50" t="n">
        <x:v>0.295474</x:v>
      </x:c>
      <x:c r="L141" s="47" t="n">
        <x:v>612</x:v>
      </x:c>
      <x:c r="M141" s="47" t="n">
        <x:v>792</x:v>
      </x:c>
      <x:c r="N141" s="28" t="str">
        <x:v>top-left</x:v>
      </x:c>
      <x:c r="O141" s="28" t="str">
        <x:v>PDF points</x:v>
      </x:c>
    </x:row>
    <x:row r="142" ht="22" customHeight="1">
      <x:c r="A142" s="28" t="str">
        <x:v>ANC-CAM-038-01-R01</x:v>
      </x:c>
      <x:c r="B142" s="28" t="str">
        <x:v>ANC-CAM-038-01</x:v>
      </x:c>
      <x:c r="C142" s="28" t="n">
        <x:v>11</x:v>
      </x:c>
      <x:c r="D142" s="47" t="n">
        <x:v>227.16</x:v>
      </x:c>
      <x:c r="E142" s="47" t="n">
        <x:v>314.89</x:v>
      </x:c>
      <x:c r="F142" s="47" t="n">
        <x:v>356.459</x:v>
      </x:c>
      <x:c r="G142" s="47" t="n">
        <x:v>329.076</x:v>
      </x:c>
      <x:c r="H142" s="50" t="n">
        <x:v>0.371176</x:v>
      </x:c>
      <x:c r="I142" s="50" t="n">
        <x:v>0.397588</x:v>
      </x:c>
      <x:c r="J142" s="50" t="n">
        <x:v>0.58245</x:v>
      </x:c>
      <x:c r="K142" s="50" t="n">
        <x:v>0.4155</x:v>
      </x:c>
      <x:c r="L142" s="47" t="n">
        <x:v>612</x:v>
      </x:c>
      <x:c r="M142" s="47" t="n">
        <x:v>792</x:v>
      </x:c>
      <x:c r="N142" s="28" t="str">
        <x:v>top-left</x:v>
      </x:c>
      <x:c r="O142" s="28" t="str">
        <x:v>PDF points</x:v>
      </x:c>
    </x:row>
    <x:row r="143" ht="22" customHeight="1">
      <x:c r="A143" s="28" t="str">
        <x:v>ANC-CAM-038-01-R02</x:v>
      </x:c>
      <x:c r="B143" s="28" t="str">
        <x:v>ANC-CAM-038-01</x:v>
      </x:c>
      <x:c r="C143" s="28" t="n">
        <x:v>11</x:v>
      </x:c>
      <x:c r="D143" s="47" t="n">
        <x:v>227.16</x:v>
      </x:c>
      <x:c r="E143" s="47" t="n">
        <x:v>328.33</x:v>
      </x:c>
      <x:c r="F143" s="47" t="n">
        <x:v>350.125</x:v>
      </x:c>
      <x:c r="G143" s="47" t="n">
        <x:v>342.516</x:v>
      </x:c>
      <x:c r="H143" s="50" t="n">
        <x:v>0.371176</x:v>
      </x:c>
      <x:c r="I143" s="50" t="n">
        <x:v>0.414558</x:v>
      </x:c>
      <x:c r="J143" s="50" t="n">
        <x:v>0.572099</x:v>
      </x:c>
      <x:c r="K143" s="50" t="n">
        <x:v>0.43247</x:v>
      </x:c>
      <x:c r="L143" s="47" t="n">
        <x:v>612</x:v>
      </x:c>
      <x:c r="M143" s="47" t="n">
        <x:v>792</x:v>
      </x:c>
      <x:c r="N143" s="28" t="str">
        <x:v>top-left</x:v>
      </x:c>
      <x:c r="O143" s="28" t="str">
        <x:v>PDF points</x:v>
      </x:c>
    </x:row>
    <x:row r="144" ht="22" customHeight="1">
      <x:c r="A144" s="28" t="str">
        <x:v>ANC-CAM-039-01-R01</x:v>
      </x:c>
      <x:c r="B144" s="28" t="str">
        <x:v>ANC-CAM-039-01</x:v>
      </x:c>
      <x:c r="C144" s="28" t="n">
        <x:v>11</x:v>
      </x:c>
      <x:c r="D144" s="47" t="n">
        <x:v>77.64</x:v>
      </x:c>
      <x:c r="E144" s="47" t="n">
        <x:v>368.526</x:v>
      </x:c>
      <x:c r="F144" s="47" t="n">
        <x:v>141.77</x:v>
      </x:c>
      <x:c r="G144" s="47" t="n">
        <x:v>382.713</x:v>
      </x:c>
      <x:c r="H144" s="50" t="n">
        <x:v>0.126863</x:v>
      </x:c>
      <x:c r="I144" s="50" t="n">
        <x:v>0.465311</x:v>
      </x:c>
      <x:c r="J144" s="50" t="n">
        <x:v>0.231651</x:v>
      </x:c>
      <x:c r="K144" s="50" t="n">
        <x:v>0.483223</x:v>
      </x:c>
      <x:c r="L144" s="47" t="n">
        <x:v>612</x:v>
      </x:c>
      <x:c r="M144" s="47" t="n">
        <x:v>792</x:v>
      </x:c>
      <x:c r="N144" s="28" t="str">
        <x:v>top-left</x:v>
      </x:c>
      <x:c r="O144" s="28" t="str">
        <x:v>PDF points</x:v>
      </x:c>
    </x:row>
    <x:row r="145" ht="22" customHeight="1">
      <x:c r="A145" s="28" t="str">
        <x:v>ANC-CAM-039-01-R02</x:v>
      </x:c>
      <x:c r="B145" s="28" t="str">
        <x:v>ANC-CAM-039-01</x:v>
      </x:c>
      <x:c r="C145" s="28" t="n">
        <x:v>11</x:v>
      </x:c>
      <x:c r="D145" s="47" t="n">
        <x:v>77.64</x:v>
      </x:c>
      <x:c r="E145" s="47" t="n">
        <x:v>381.97</x:v>
      </x:c>
      <x:c r="F145" s="47" t="n">
        <x:v>147.674</x:v>
      </x:c>
      <x:c r="G145" s="47" t="n">
        <x:v>396.156</x:v>
      </x:c>
      <x:c r="H145" s="50" t="n">
        <x:v>0.126863</x:v>
      </x:c>
      <x:c r="I145" s="50" t="n">
        <x:v>0.482285</x:v>
      </x:c>
      <x:c r="J145" s="50" t="n">
        <x:v>0.241298</x:v>
      </x:c>
      <x:c r="K145" s="50" t="n">
        <x:v>0.500197</x:v>
      </x:c>
      <x:c r="L145" s="47" t="n">
        <x:v>612</x:v>
      </x:c>
      <x:c r="M145" s="47" t="n">
        <x:v>792</x:v>
      </x:c>
      <x:c r="N145" s="28" t="str">
        <x:v>top-left</x:v>
      </x:c>
      <x:c r="O145" s="28" t="str">
        <x:v>PDF points</x:v>
      </x:c>
    </x:row>
    <x:row r="146" ht="22" customHeight="1">
      <x:c r="A146" s="28" t="str">
        <x:v>ANC-CAM-039-01-R03</x:v>
      </x:c>
      <x:c r="B146" s="28" t="str">
        <x:v>ANC-CAM-039-01</x:v>
      </x:c>
      <x:c r="C146" s="28" t="n">
        <x:v>11</x:v>
      </x:c>
      <x:c r="D146" s="47" t="n">
        <x:v>413.28</x:v>
      </x:c>
      <x:c r="E146" s="47" t="n">
        <x:v>368.526</x:v>
      </x:c>
      <x:c r="F146" s="47" t="n">
        <x:v>468.184</x:v>
      </x:c>
      <x:c r="G146" s="47" t="n">
        <x:v>382.713</x:v>
      </x:c>
      <x:c r="H146" s="50" t="n">
        <x:v>0.675294</x:v>
      </x:c>
      <x:c r="I146" s="50" t="n">
        <x:v>0.465311</x:v>
      </x:c>
      <x:c r="J146" s="50" t="n">
        <x:v>0.765007</x:v>
      </x:c>
      <x:c r="K146" s="50" t="n">
        <x:v>0.483223</x:v>
      </x:c>
      <x:c r="L146" s="47" t="n">
        <x:v>612</x:v>
      </x:c>
      <x:c r="M146" s="47" t="n">
        <x:v>792</x:v>
      </x:c>
      <x:c r="N146" s="28" t="str">
        <x:v>top-left</x:v>
      </x:c>
      <x:c r="O146" s="28" t="str">
        <x:v>PDF points</x:v>
      </x:c>
    </x:row>
    <x:row r="147" ht="22" customHeight="1">
      <x:c r="A147" s="28" t="str">
        <x:v>ANC-CAM-039-01-R04</x:v>
      </x:c>
      <x:c r="B147" s="28" t="str">
        <x:v>ANC-CAM-039-01</x:v>
      </x:c>
      <x:c r="C147" s="28" t="n">
        <x:v>11</x:v>
      </x:c>
      <x:c r="D147" s="47" t="n">
        <x:v>77.64</x:v>
      </x:c>
      <x:c r="E147" s="47" t="n">
        <x:v>395.89</x:v>
      </x:c>
      <x:c r="F147" s="47" t="n">
        <x:v>164.023</x:v>
      </x:c>
      <x:c r="G147" s="47" t="n">
        <x:v>410.076</x:v>
      </x:c>
      <x:c r="H147" s="50" t="n">
        <x:v>0.126863</x:v>
      </x:c>
      <x:c r="I147" s="50" t="n">
        <x:v>0.499861</x:v>
      </x:c>
      <x:c r="J147" s="50" t="n">
        <x:v>0.268012</x:v>
      </x:c>
      <x:c r="K147" s="50" t="n">
        <x:v>0.517773</x:v>
      </x:c>
      <x:c r="L147" s="47" t="n">
        <x:v>612</x:v>
      </x:c>
      <x:c r="M147" s="47" t="n">
        <x:v>792</x:v>
      </x:c>
      <x:c r="N147" s="28" t="str">
        <x:v>top-left</x:v>
      </x:c>
      <x:c r="O147" s="28" t="str">
        <x:v>PDF points</x:v>
      </x:c>
    </x:row>
    <x:row r="148" ht="22" customHeight="1">
      <x:c r="A148" s="28" t="str">
        <x:v>ANC-CAM-039-01-R05</x:v>
      </x:c>
      <x:c r="B148" s="28" t="str">
        <x:v>ANC-CAM-039-01</x:v>
      </x:c>
      <x:c r="C148" s="28" t="n">
        <x:v>11</x:v>
      </x:c>
      <x:c r="D148" s="47" t="n">
        <x:v>77.64</x:v>
      </x:c>
      <x:c r="E148" s="47" t="n">
        <x:v>409.33</x:v>
      </x:c>
      <x:c r="F148" s="47" t="n">
        <x:v>189.055</x:v>
      </x:c>
      <x:c r="G148" s="47" t="n">
        <x:v>423.516</x:v>
      </x:c>
      <x:c r="H148" s="50" t="n">
        <x:v>0.126863</x:v>
      </x:c>
      <x:c r="I148" s="50" t="n">
        <x:v>0.51683</x:v>
      </x:c>
      <x:c r="J148" s="50" t="n">
        <x:v>0.308913</x:v>
      </x:c>
      <x:c r="K148" s="50" t="n">
        <x:v>0.534742</x:v>
      </x:c>
      <x:c r="L148" s="47" t="n">
        <x:v>612</x:v>
      </x:c>
      <x:c r="M148" s="47" t="n">
        <x:v>792</x:v>
      </x:c>
      <x:c r="N148" s="28" t="str">
        <x:v>top-left</x:v>
      </x:c>
      <x:c r="O148" s="28" t="str">
        <x:v>PDF points</x:v>
      </x:c>
    </x:row>
    <x:row r="149" ht="22" customHeight="1">
      <x:c r="A149" s="28" t="str">
        <x:v>ANC-CAM-039-01-R06</x:v>
      </x:c>
      <x:c r="B149" s="28" t="str">
        <x:v>ANC-CAM-039-01</x:v>
      </x:c>
      <x:c r="C149" s="28" t="n">
        <x:v>11</x:v>
      </x:c>
      <x:c r="D149" s="47" t="n">
        <x:v>77.64</x:v>
      </x:c>
      <x:c r="E149" s="47" t="n">
        <x:v>422.765</x:v>
      </x:c>
      <x:c r="F149" s="47" t="n">
        <x:v>194.106</x:v>
      </x:c>
      <x:c r="G149" s="47" t="n">
        <x:v>436.952</x:v>
      </x:c>
      <x:c r="H149" s="50" t="n">
        <x:v>0.126863</x:v>
      </x:c>
      <x:c r="I149" s="50" t="n">
        <x:v>0.533795</x:v>
      </x:c>
      <x:c r="J149" s="50" t="n">
        <x:v>0.317167</x:v>
      </x:c>
      <x:c r="K149" s="50" t="n">
        <x:v>0.551707</x:v>
      </x:c>
      <x:c r="L149" s="47" t="n">
        <x:v>612</x:v>
      </x:c>
      <x:c r="M149" s="47" t="n">
        <x:v>792</x:v>
      </x:c>
      <x:c r="N149" s="28" t="str">
        <x:v>top-left</x:v>
      </x:c>
      <x:c r="O149" s="28" t="str">
        <x:v>PDF points</x:v>
      </x:c>
    </x:row>
    <x:row r="150" ht="22" customHeight="1">
      <x:c r="A150" s="28" t="str">
        <x:v>ANC-CAM-039-01-R07</x:v>
      </x:c>
      <x:c r="B150" s="28" t="str">
        <x:v>ANC-CAM-039-01</x:v>
      </x:c>
      <x:c r="C150" s="28" t="n">
        <x:v>11</x:v>
      </x:c>
      <x:c r="D150" s="47" t="n">
        <x:v>77.64</x:v>
      </x:c>
      <x:c r="E150" s="47" t="n">
        <x:v>436.201</x:v>
      </x:c>
      <x:c r="F150" s="47" t="n">
        <x:v>187.17</x:v>
      </x:c>
      <x:c r="G150" s="47" t="n">
        <x:v>450.387</x:v>
      </x:c>
      <x:c r="H150" s="50" t="n">
        <x:v>0.126863</x:v>
      </x:c>
      <x:c r="I150" s="50" t="n">
        <x:v>0.550759</x:v>
      </x:c>
      <x:c r="J150" s="50" t="n">
        <x:v>0.305833</x:v>
      </x:c>
      <x:c r="K150" s="50" t="n">
        <x:v>0.568671</x:v>
      </x:c>
      <x:c r="L150" s="47" t="n">
        <x:v>612</x:v>
      </x:c>
      <x:c r="M150" s="47" t="n">
        <x:v>792</x:v>
      </x:c>
      <x:c r="N150" s="28" t="str">
        <x:v>top-left</x:v>
      </x:c>
      <x:c r="O150" s="28" t="str">
        <x:v>PDF points</x:v>
      </x:c>
    </x:row>
    <x:row r="151" ht="22" customHeight="1">
      <x:c r="A151" s="28" t="str">
        <x:v>ANC-CAM-039-01-R08</x:v>
      </x:c>
      <x:c r="B151" s="28" t="str">
        <x:v>ANC-CAM-039-01</x:v>
      </x:c>
      <x:c r="C151" s="28" t="n">
        <x:v>11</x:v>
      </x:c>
      <x:c r="D151" s="47" t="n">
        <x:v>77.64</x:v>
      </x:c>
      <x:c r="E151" s="47" t="n">
        <x:v>449.637</x:v>
      </x:c>
      <x:c r="F151" s="47" t="n">
        <x:v>140.597</x:v>
      </x:c>
      <x:c r="G151" s="47" t="n">
        <x:v>463.823</x:v>
      </x:c>
      <x:c r="H151" s="50" t="n">
        <x:v>0.126863</x:v>
      </x:c>
      <x:c r="I151" s="50" t="n">
        <x:v>0.567723</x:v>
      </x:c>
      <x:c r="J151" s="50" t="n">
        <x:v>0.229733</x:v>
      </x:c>
      <x:c r="K151" s="50" t="n">
        <x:v>0.585635</x:v>
      </x:c>
      <x:c r="L151" s="47" t="n">
        <x:v>612</x:v>
      </x:c>
      <x:c r="M151" s="47" t="n">
        <x:v>792</x:v>
      </x:c>
      <x:c r="N151" s="28" t="str">
        <x:v>top-left</x:v>
      </x:c>
      <x:c r="O151" s="28" t="str">
        <x:v>PDF points</x:v>
      </x:c>
    </x:row>
    <x:row r="152" ht="22" customHeight="1">
      <x:c r="A152" s="28" t="str">
        <x:v>ANC-CAM-039-01-R09</x:v>
      </x:c>
      <x:c r="B152" s="28" t="str">
        <x:v>ANC-CAM-039-01</x:v>
      </x:c>
      <x:c r="C152" s="28" t="n">
        <x:v>11</x:v>
      </x:c>
      <x:c r="D152" s="47" t="n">
        <x:v>77.64</x:v>
      </x:c>
      <x:c r="E152" s="47" t="n">
        <x:v>463.072</x:v>
      </x:c>
      <x:c r="F152" s="47" t="n">
        <x:v>192.768</x:v>
      </x:c>
      <x:c r="G152" s="47" t="n">
        <x:v>477.259</x:v>
      </x:c>
      <x:c r="H152" s="50" t="n">
        <x:v>0.126863</x:v>
      </x:c>
      <x:c r="I152" s="50" t="n">
        <x:v>0.584687</x:v>
      </x:c>
      <x:c r="J152" s="50" t="n">
        <x:v>0.314981</x:v>
      </x:c>
      <x:c r="K152" s="50" t="n">
        <x:v>0.602599</x:v>
      </x:c>
      <x:c r="L152" s="47" t="n">
        <x:v>612</x:v>
      </x:c>
      <x:c r="M152" s="47" t="n">
        <x:v>792</x:v>
      </x:c>
      <x:c r="N152" s="28" t="str">
        <x:v>top-left</x:v>
      </x:c>
      <x:c r="O152" s="28" t="str">
        <x:v>PDF points</x:v>
      </x:c>
    </x:row>
    <x:row r="153" ht="22" customHeight="1">
      <x:c r="A153" s="28" t="str">
        <x:v>ANC-CAM-039-01-R10</x:v>
      </x:c>
      <x:c r="B153" s="28" t="str">
        <x:v>ANC-CAM-039-01</x:v>
      </x:c>
      <x:c r="C153" s="28" t="n">
        <x:v>11</x:v>
      </x:c>
      <x:c r="D153" s="47" t="n">
        <x:v>77.64</x:v>
      </x:c>
      <x:c r="E153" s="47" t="n">
        <x:v>476.508</x:v>
      </x:c>
      <x:c r="F153" s="47" t="n">
        <x:v>176.823</x:v>
      </x:c>
      <x:c r="G153" s="47" t="n">
        <x:v>490.694</x:v>
      </x:c>
      <x:c r="H153" s="50" t="n">
        <x:v>0.126863</x:v>
      </x:c>
      <x:c r="I153" s="50" t="n">
        <x:v>0.601651</x:v>
      </x:c>
      <x:c r="J153" s="50" t="n">
        <x:v>0.288927</x:v>
      </x:c>
      <x:c r="K153" s="50" t="n">
        <x:v>0.619564</x:v>
      </x:c>
      <x:c r="L153" s="47" t="n">
        <x:v>612</x:v>
      </x:c>
      <x:c r="M153" s="47" t="n">
        <x:v>792</x:v>
      </x:c>
      <x:c r="N153" s="28" t="str">
        <x:v>top-left</x:v>
      </x:c>
      <x:c r="O153" s="28" t="str">
        <x:v>PDF points</x:v>
      </x:c>
    </x:row>
    <x:row r="154" ht="22" customHeight="1">
      <x:c r="A154" s="28" t="str">
        <x:v>ANC-CAM-039-01-R11</x:v>
      </x:c>
      <x:c r="B154" s="28" t="str">
        <x:v>ANC-CAM-039-01</x:v>
      </x:c>
      <x:c r="C154" s="28" t="n">
        <x:v>11</x:v>
      </x:c>
      <x:c r="D154" s="47" t="n">
        <x:v>209.16</x:v>
      </x:c>
      <x:c r="E154" s="47" t="n">
        <x:v>395.89</x:v>
      </x:c>
      <x:c r="F154" s="47" t="n">
        <x:v>212.914</x:v>
      </x:c>
      <x:c r="G154" s="47" t="n">
        <x:v>410.076</x:v>
      </x:c>
      <x:c r="H154" s="50" t="n">
        <x:v>0.341765</x:v>
      </x:c>
      <x:c r="I154" s="50" t="n">
        <x:v>0.499861</x:v>
      </x:c>
      <x:c r="J154" s="50" t="n">
        <x:v>0.347898</x:v>
      </x:c>
      <x:c r="K154" s="50" t="n">
        <x:v>0.517773</x:v>
      </x:c>
      <x:c r="L154" s="47" t="n">
        <x:v>612</x:v>
      </x:c>
      <x:c r="M154" s="47" t="n">
        <x:v>792</x:v>
      </x:c>
      <x:c r="N154" s="28" t="str">
        <x:v>top-left</x:v>
      </x:c>
      <x:c r="O154" s="28" t="str">
        <x:v>PDF points</x:v>
      </x:c>
    </x:row>
    <x:row r="155" ht="22" customHeight="1">
      <x:c r="A155" s="28" t="str">
        <x:v>ANC-CAM-039-01-R12</x:v>
      </x:c>
      <x:c r="B155" s="28" t="str">
        <x:v>ANC-CAM-039-01</x:v>
      </x:c>
      <x:c r="C155" s="28" t="n">
        <x:v>11</x:v>
      </x:c>
      <x:c r="D155" s="47" t="n">
        <x:v>227.16</x:v>
      </x:c>
      <x:c r="E155" s="47" t="n">
        <x:v>395.89</x:v>
      </x:c>
      <x:c r="F155" s="47" t="n">
        <x:v>359.587</x:v>
      </x:c>
      <x:c r="G155" s="47" t="n">
        <x:v>410.076</x:v>
      </x:c>
      <x:c r="H155" s="50" t="n">
        <x:v>0.371176</x:v>
      </x:c>
      <x:c r="I155" s="50" t="n">
        <x:v>0.499861</x:v>
      </x:c>
      <x:c r="J155" s="50" t="n">
        <x:v>0.587561</x:v>
      </x:c>
      <x:c r="K155" s="50" t="n">
        <x:v>0.517773</x:v>
      </x:c>
      <x:c r="L155" s="47" t="n">
        <x:v>612</x:v>
      </x:c>
      <x:c r="M155" s="47" t="n">
        <x:v>792</x:v>
      </x:c>
      <x:c r="N155" s="28" t="str">
        <x:v>top-left</x:v>
      </x:c>
      <x:c r="O155" s="28" t="str">
        <x:v>PDF points</x:v>
      </x:c>
    </x:row>
    <x:row r="156" ht="22" customHeight="1">
      <x:c r="A156" s="28" t="str">
        <x:v>ANC-CAM-039-01-R13</x:v>
      </x:c>
      <x:c r="B156" s="28" t="str">
        <x:v>ANC-CAM-039-01</x:v>
      </x:c>
      <x:c r="C156" s="28" t="n">
        <x:v>11</x:v>
      </x:c>
      <x:c r="D156" s="47" t="n">
        <x:v>227.16</x:v>
      </x:c>
      <x:c r="E156" s="47" t="n">
        <x:v>409.33</x:v>
      </x:c>
      <x:c r="F156" s="47" t="n">
        <x:v>336.167</x:v>
      </x:c>
      <x:c r="G156" s="47" t="n">
        <x:v>423.516</x:v>
      </x:c>
      <x:c r="H156" s="50" t="n">
        <x:v>0.371176</x:v>
      </x:c>
      <x:c r="I156" s="50" t="n">
        <x:v>0.51683</x:v>
      </x:c>
      <x:c r="J156" s="50" t="n">
        <x:v>0.549292</x:v>
      </x:c>
      <x:c r="K156" s="50" t="n">
        <x:v>0.534742</x:v>
      </x:c>
      <x:c r="L156" s="47" t="n">
        <x:v>612</x:v>
      </x:c>
      <x:c r="M156" s="47" t="n">
        <x:v>792</x:v>
      </x:c>
      <x:c r="N156" s="28" t="str">
        <x:v>top-left</x:v>
      </x:c>
      <x:c r="O156" s="28" t="str">
        <x:v>PDF points</x:v>
      </x:c>
    </x:row>
    <x:row r="157" ht="22" customHeight="1">
      <x:c r="A157" s="28" t="str">
        <x:v>ANC-CAM-039-01-R14</x:v>
      </x:c>
      <x:c r="B157" s="28" t="str">
        <x:v>ANC-CAM-039-01</x:v>
      </x:c>
      <x:c r="C157" s="28" t="n">
        <x:v>11</x:v>
      </x:c>
      <x:c r="D157" s="47" t="n">
        <x:v>227.16</x:v>
      </x:c>
      <x:c r="E157" s="47" t="n">
        <x:v>422.765</x:v>
      </x:c>
      <x:c r="F157" s="47" t="n">
        <x:v>334.85</x:v>
      </x:c>
      <x:c r="G157" s="47" t="n">
        <x:v>436.952</x:v>
      </x:c>
      <x:c r="H157" s="50" t="n">
        <x:v>0.371176</x:v>
      </x:c>
      <x:c r="I157" s="50" t="n">
        <x:v>0.533795</x:v>
      </x:c>
      <x:c r="J157" s="50" t="n">
        <x:v>0.54714</x:v>
      </x:c>
      <x:c r="K157" s="50" t="n">
        <x:v>0.551707</x:v>
      </x:c>
      <x:c r="L157" s="47" t="n">
        <x:v>612</x:v>
      </x:c>
      <x:c r="M157" s="47" t="n">
        <x:v>792</x:v>
      </x:c>
      <x:c r="N157" s="28" t="str">
        <x:v>top-left</x:v>
      </x:c>
      <x:c r="O157" s="28" t="str">
        <x:v>PDF points</x:v>
      </x:c>
    </x:row>
    <x:row r="158" ht="22" customHeight="1">
      <x:c r="A158" s="28" t="str">
        <x:v>ANC-CAM-039-01-R15</x:v>
      </x:c>
      <x:c r="B158" s="28" t="str">
        <x:v>ANC-CAM-039-01</x:v>
      </x:c>
      <x:c r="C158" s="28" t="n">
        <x:v>11</x:v>
      </x:c>
      <x:c r="D158" s="47" t="n">
        <x:v>209.16</x:v>
      </x:c>
      <x:c r="E158" s="47" t="n">
        <x:v>436.21</x:v>
      </x:c>
      <x:c r="F158" s="47" t="n">
        <x:v>212.914</x:v>
      </x:c>
      <x:c r="G158" s="47" t="n">
        <x:v>450.396</x:v>
      </x:c>
      <x:c r="H158" s="50" t="n">
        <x:v>0.341765</x:v>
      </x:c>
      <x:c r="I158" s="50" t="n">
        <x:v>0.55077</x:v>
      </x:c>
      <x:c r="J158" s="50" t="n">
        <x:v>0.347898</x:v>
      </x:c>
      <x:c r="K158" s="50" t="n">
        <x:v>0.568682</x:v>
      </x:c>
      <x:c r="L158" s="47" t="n">
        <x:v>612</x:v>
      </x:c>
      <x:c r="M158" s="47" t="n">
        <x:v>792</x:v>
      </x:c>
      <x:c r="N158" s="28" t="str">
        <x:v>top-left</x:v>
      </x:c>
      <x:c r="O158" s="28" t="str">
        <x:v>PDF points</x:v>
      </x:c>
    </x:row>
    <x:row r="159" ht="22" customHeight="1">
      <x:c r="A159" s="28" t="str">
        <x:v>ANC-CAM-039-01-R16</x:v>
      </x:c>
      <x:c r="B159" s="28" t="str">
        <x:v>ANC-CAM-039-01</x:v>
      </x:c>
      <x:c r="C159" s="28" t="n">
        <x:v>11</x:v>
      </x:c>
      <x:c r="D159" s="47" t="n">
        <x:v>227.155</x:v>
      </x:c>
      <x:c r="E159" s="47" t="n">
        <x:v>436.21</x:v>
      </x:c>
      <x:c r="F159" s="47" t="n">
        <x:v>353.471</x:v>
      </x:c>
      <x:c r="G159" s="47" t="n">
        <x:v>450.396</x:v>
      </x:c>
      <x:c r="H159" s="50" t="n">
        <x:v>0.371169</x:v>
      </x:c>
      <x:c r="I159" s="50" t="n">
        <x:v>0.55077</x:v>
      </x:c>
      <x:c r="J159" s="50" t="n">
        <x:v>0.577566</x:v>
      </x:c>
      <x:c r="K159" s="50" t="n">
        <x:v>0.568682</x:v>
      </x:c>
      <x:c r="L159" s="47" t="n">
        <x:v>612</x:v>
      </x:c>
      <x:c r="M159" s="47" t="n">
        <x:v>792</x:v>
      </x:c>
      <x:c r="N159" s="28" t="str">
        <x:v>top-left</x:v>
      </x:c>
      <x:c r="O159" s="28" t="str">
        <x:v>PDF points</x:v>
      </x:c>
    </x:row>
    <x:row r="160" ht="22" customHeight="1">
      <x:c r="A160" s="28" t="str">
        <x:v>ANC-CAM-039-01-R17</x:v>
      </x:c>
      <x:c r="B160" s="28" t="str">
        <x:v>ANC-CAM-039-01</x:v>
      </x:c>
      <x:c r="C160" s="28" t="n">
        <x:v>11</x:v>
      </x:c>
      <x:c r="D160" s="47" t="n">
        <x:v>227.155</x:v>
      </x:c>
      <x:c r="E160" s="47" t="n">
        <x:v>449.645</x:v>
      </x:c>
      <x:c r="F160" s="47" t="n">
        <x:v>355.716</x:v>
      </x:c>
      <x:c r="G160" s="47" t="n">
        <x:v>463.832</x:v>
      </x:c>
      <x:c r="H160" s="50" t="n">
        <x:v>0.371169</x:v>
      </x:c>
      <x:c r="I160" s="50" t="n">
        <x:v>0.567734</x:v>
      </x:c>
      <x:c r="J160" s="50" t="n">
        <x:v>0.581235</x:v>
      </x:c>
      <x:c r="K160" s="50" t="n">
        <x:v>0.585646</x:v>
      </x:c>
      <x:c r="L160" s="47" t="n">
        <x:v>612</x:v>
      </x:c>
      <x:c r="M160" s="47" t="n">
        <x:v>792</x:v>
      </x:c>
      <x:c r="N160" s="28" t="str">
        <x:v>top-left</x:v>
      </x:c>
      <x:c r="O160" s="28" t="str">
        <x:v>PDF points</x:v>
      </x:c>
    </x:row>
    <x:row r="161" ht="22" customHeight="1">
      <x:c r="A161" s="28" t="str">
        <x:v>ANC-CAM-039-01-R18</x:v>
      </x:c>
      <x:c r="B161" s="28" t="str">
        <x:v>ANC-CAM-039-01</x:v>
      </x:c>
      <x:c r="C161" s="28" t="n">
        <x:v>11</x:v>
      </x:c>
      <x:c r="D161" s="47" t="n">
        <x:v>227.155</x:v>
      </x:c>
      <x:c r="E161" s="47" t="n">
        <x:v>463.081</x:v>
      </x:c>
      <x:c r="F161" s="47" t="n">
        <x:v>267.556</x:v>
      </x:c>
      <x:c r="G161" s="47" t="n">
        <x:v>477.267</x:v>
      </x:c>
      <x:c r="H161" s="50" t="n">
        <x:v>0.371169</x:v>
      </x:c>
      <x:c r="I161" s="50" t="n">
        <x:v>0.584698</x:v>
      </x:c>
      <x:c r="J161" s="50" t="n">
        <x:v>0.437183</x:v>
      </x:c>
      <x:c r="K161" s="50" t="n">
        <x:v>0.60261</x:v>
      </x:c>
      <x:c r="L161" s="47" t="n">
        <x:v>612</x:v>
      </x:c>
      <x:c r="M161" s="47" t="n">
        <x:v>792</x:v>
      </x:c>
      <x:c r="N161" s="28" t="str">
        <x:v>top-left</x:v>
      </x:c>
      <x:c r="O161" s="28" t="str">
        <x:v>PDF points</x:v>
      </x:c>
    </x:row>
    <x:row r="162" ht="22" customHeight="1">
      <x:c r="A162" s="28" t="str">
        <x:v>ANC-CAM-039-01-R19</x:v>
      </x:c>
      <x:c r="B162" s="28" t="str">
        <x:v>ANC-CAM-039-01</x:v>
      </x:c>
      <x:c r="C162" s="28" t="n">
        <x:v>11</x:v>
      </x:c>
      <x:c r="D162" s="47" t="n">
        <x:v>209.16</x:v>
      </x:c>
      <x:c r="E162" s="47" t="n">
        <x:v>476.53</x:v>
      </x:c>
      <x:c r="F162" s="47" t="n">
        <x:v>212.914</x:v>
      </x:c>
      <x:c r="G162" s="47" t="n">
        <x:v>490.716</x:v>
      </x:c>
      <x:c r="H162" s="50" t="n">
        <x:v>0.341765</x:v>
      </x:c>
      <x:c r="I162" s="50" t="n">
        <x:v>0.601679</x:v>
      </x:c>
      <x:c r="J162" s="50" t="n">
        <x:v>0.347898</x:v>
      </x:c>
      <x:c r="K162" s="50" t="n">
        <x:v>0.619591</x:v>
      </x:c>
      <x:c r="L162" s="47" t="n">
        <x:v>612</x:v>
      </x:c>
      <x:c r="M162" s="47" t="n">
        <x:v>792</x:v>
      </x:c>
      <x:c r="N162" s="28" t="str">
        <x:v>top-left</x:v>
      </x:c>
      <x:c r="O162" s="28" t="str">
        <x:v>PDF points</x:v>
      </x:c>
    </x:row>
    <x:row r="163" ht="22" customHeight="1">
      <x:c r="A163" s="28" t="str">
        <x:v>ANC-CAM-039-01-R20</x:v>
      </x:c>
      <x:c r="B163" s="28" t="str">
        <x:v>ANC-CAM-039-01</x:v>
      </x:c>
      <x:c r="C163" s="28" t="n">
        <x:v>11</x:v>
      </x:c>
      <x:c r="D163" s="47" t="n">
        <x:v>227.155</x:v>
      </x:c>
      <x:c r="E163" s="47" t="n">
        <x:v>476.53</x:v>
      </x:c>
      <x:c r="F163" s="47" t="n">
        <x:v>363.059</x:v>
      </x:c>
      <x:c r="G163" s="47" t="n">
        <x:v>490.716</x:v>
      </x:c>
      <x:c r="H163" s="50" t="n">
        <x:v>0.371169</x:v>
      </x:c>
      <x:c r="I163" s="50" t="n">
        <x:v>0.601679</x:v>
      </x:c>
      <x:c r="J163" s="50" t="n">
        <x:v>0.593233</x:v>
      </x:c>
      <x:c r="K163" s="50" t="n">
        <x:v>0.619591</x:v>
      </x:c>
      <x:c r="L163" s="47" t="n">
        <x:v>612</x:v>
      </x:c>
      <x:c r="M163" s="47" t="n">
        <x:v>792</x:v>
      </x:c>
      <x:c r="N163" s="28" t="str">
        <x:v>top-left</x:v>
      </x:c>
      <x:c r="O163" s="28" t="str">
        <x:v>PDF points</x:v>
      </x:c>
    </x:row>
    <x:row r="164" ht="22" customHeight="1">
      <x:c r="A164" s="28" t="str">
        <x:v>ANC-CAM-039-01-R21</x:v>
      </x:c>
      <x:c r="B164" s="28" t="str">
        <x:v>ANC-CAM-039-01</x:v>
      </x:c>
      <x:c r="C164" s="28" t="n">
        <x:v>11</x:v>
      </x:c>
      <x:c r="D164" s="47" t="n">
        <x:v>227.155</x:v>
      </x:c>
      <x:c r="E164" s="47" t="n">
        <x:v>489.965</x:v>
      </x:c>
      <x:c r="F164" s="47" t="n">
        <x:v>351.755</x:v>
      </x:c>
      <x:c r="G164" s="47" t="n">
        <x:v>504.152</x:v>
      </x:c>
      <x:c r="H164" s="50" t="n">
        <x:v>0.371169</x:v>
      </x:c>
      <x:c r="I164" s="50" t="n">
        <x:v>0.618643</x:v>
      </x:c>
      <x:c r="J164" s="50" t="n">
        <x:v>0.574763</x:v>
      </x:c>
      <x:c r="K164" s="50" t="n">
        <x:v>0.636555</x:v>
      </x:c>
      <x:c r="L164" s="47" t="n">
        <x:v>612</x:v>
      </x:c>
      <x:c r="M164" s="47" t="n">
        <x:v>792</x:v>
      </x:c>
      <x:c r="N164" s="28" t="str">
        <x:v>top-left</x:v>
      </x:c>
      <x:c r="O164" s="28" t="str">
        <x:v>PDF points</x:v>
      </x:c>
    </x:row>
    <x:row r="165" ht="22" customHeight="1">
      <x:c r="A165" s="28" t="str">
        <x:v>ANC-CAM-039-01-R22</x:v>
      </x:c>
      <x:c r="B165" s="28" t="str">
        <x:v>ANC-CAM-039-01</x:v>
      </x:c>
      <x:c r="C165" s="28" t="n">
        <x:v>11</x:v>
      </x:c>
      <x:c r="D165" s="47" t="n">
        <x:v>395.28</x:v>
      </x:c>
      <x:c r="E165" s="47" t="n">
        <x:v>395.89</x:v>
      </x:c>
      <x:c r="F165" s="47" t="n">
        <x:v>399.034</x:v>
      </x:c>
      <x:c r="G165" s="47" t="n">
        <x:v>410.076</x:v>
      </x:c>
      <x:c r="H165" s="50" t="n">
        <x:v>0.645882</x:v>
      </x:c>
      <x:c r="I165" s="50" t="n">
        <x:v>0.499861</x:v>
      </x:c>
      <x:c r="J165" s="50" t="n">
        <x:v>0.652016</x:v>
      </x:c>
      <x:c r="K165" s="50" t="n">
        <x:v>0.517773</x:v>
      </x:c>
      <x:c r="L165" s="47" t="n">
        <x:v>612</x:v>
      </x:c>
      <x:c r="M165" s="47" t="n">
        <x:v>792</x:v>
      </x:c>
      <x:c r="N165" s="28" t="str">
        <x:v>top-left</x:v>
      </x:c>
      <x:c r="O165" s="28" t="str">
        <x:v>PDF points</x:v>
      </x:c>
    </x:row>
    <x:row r="166" ht="22" customHeight="1">
      <x:c r="A166" s="28" t="str">
        <x:v>ANC-CAM-039-01-R23</x:v>
      </x:c>
      <x:c r="B166" s="28" t="str">
        <x:v>ANC-CAM-039-01</x:v>
      </x:c>
      <x:c r="C166" s="28" t="n">
        <x:v>11</x:v>
      </x:c>
      <x:c r="D166" s="47" t="n">
        <x:v>413.28</x:v>
      </x:c>
      <x:c r="E166" s="47" t="n">
        <x:v>395.89</x:v>
      </x:c>
      <x:c r="F166" s="47" t="n">
        <x:v>508.66</x:v>
      </x:c>
      <x:c r="G166" s="47" t="n">
        <x:v>410.076</x:v>
      </x:c>
      <x:c r="H166" s="50" t="n">
        <x:v>0.675294</x:v>
      </x:c>
      <x:c r="I166" s="50" t="n">
        <x:v>0.499861</x:v>
      </x:c>
      <x:c r="J166" s="50" t="n">
        <x:v>0.831143</x:v>
      </x:c>
      <x:c r="K166" s="50" t="n">
        <x:v>0.517773</x:v>
      </x:c>
      <x:c r="L166" s="47" t="n">
        <x:v>612</x:v>
      </x:c>
      <x:c r="M166" s="47" t="n">
        <x:v>792</x:v>
      </x:c>
      <x:c r="N166" s="28" t="str">
        <x:v>top-left</x:v>
      </x:c>
      <x:c r="O166" s="28" t="str">
        <x:v>PDF points</x:v>
      </x:c>
    </x:row>
    <x:row r="167" ht="22" customHeight="1">
      <x:c r="A167" s="28" t="str">
        <x:v>ANC-CAM-039-01-R24</x:v>
      </x:c>
      <x:c r="B167" s="28" t="str">
        <x:v>ANC-CAM-039-01</x:v>
      </x:c>
      <x:c r="C167" s="28" t="n">
        <x:v>11</x:v>
      </x:c>
      <x:c r="D167" s="47" t="n">
        <x:v>413.28</x:v>
      </x:c>
      <x:c r="E167" s="47" t="n">
        <x:v>409.33</x:v>
      </x:c>
      <x:c r="F167" s="47" t="n">
        <x:v>493.583</x:v>
      </x:c>
      <x:c r="G167" s="47" t="n">
        <x:v>423.516</x:v>
      </x:c>
      <x:c r="H167" s="50" t="n">
        <x:v>0.675294</x:v>
      </x:c>
      <x:c r="I167" s="50" t="n">
        <x:v>0.51683</x:v>
      </x:c>
      <x:c r="J167" s="50" t="n">
        <x:v>0.806508</x:v>
      </x:c>
      <x:c r="K167" s="50" t="n">
        <x:v>0.534742</x:v>
      </x:c>
      <x:c r="L167" s="47" t="n">
        <x:v>612</x:v>
      </x:c>
      <x:c r="M167" s="47" t="n">
        <x:v>792</x:v>
      </x:c>
      <x:c r="N167" s="28" t="str">
        <x:v>top-left</x:v>
      </x:c>
      <x:c r="O167" s="28" t="str">
        <x:v>PDF points</x:v>
      </x:c>
    </x:row>
    <x:row r="168" ht="22" customHeight="1">
      <x:c r="A168" s="28" t="str">
        <x:v>ANC-CAM-039-01-R25</x:v>
      </x:c>
      <x:c r="B168" s="28" t="str">
        <x:v>ANC-CAM-039-01</x:v>
      </x:c>
      <x:c r="C168" s="28" t="n">
        <x:v>11</x:v>
      </x:c>
      <x:c r="D168" s="47" t="n">
        <x:v>413.28</x:v>
      </x:c>
      <x:c r="E168" s="47" t="n">
        <x:v>422.765</x:v>
      </x:c>
      <x:c r="F168" s="47" t="n">
        <x:v>484.259</x:v>
      </x:c>
      <x:c r="G168" s="47" t="n">
        <x:v>436.952</x:v>
      </x:c>
      <x:c r="H168" s="50" t="n">
        <x:v>0.675294</x:v>
      </x:c>
      <x:c r="I168" s="50" t="n">
        <x:v>0.533795</x:v>
      </x:c>
      <x:c r="J168" s="50" t="n">
        <x:v>0.791274</x:v>
      </x:c>
      <x:c r="K168" s="50" t="n">
        <x:v>0.551707</x:v>
      </x:c>
      <x:c r="L168" s="47" t="n">
        <x:v>612</x:v>
      </x:c>
      <x:c r="M168" s="47" t="n">
        <x:v>792</x:v>
      </x:c>
      <x:c r="N168" s="28" t="str">
        <x:v>top-left</x:v>
      </x:c>
      <x:c r="O168" s="28" t="str">
        <x:v>PDF points</x:v>
      </x:c>
    </x:row>
    <x:row r="169" ht="22" customHeight="1">
      <x:c r="A169" s="28" t="str">
        <x:v>ANC-CAM-039-01-R26</x:v>
      </x:c>
      <x:c r="B169" s="28" t="str">
        <x:v>ANC-CAM-039-01</x:v>
      </x:c>
      <x:c r="C169" s="28" t="n">
        <x:v>11</x:v>
      </x:c>
      <x:c r="D169" s="47" t="n">
        <x:v>413.28</x:v>
      </x:c>
      <x:c r="E169" s="47" t="n">
        <x:v>436.201</x:v>
      </x:c>
      <x:c r="F169" s="47" t="n">
        <x:v>528.781</x:v>
      </x:c>
      <x:c r="G169" s="47" t="n">
        <x:v>450.387</x:v>
      </x:c>
      <x:c r="H169" s="50" t="n">
        <x:v>0.675294</x:v>
      </x:c>
      <x:c r="I169" s="50" t="n">
        <x:v>0.550759</x:v>
      </x:c>
      <x:c r="J169" s="50" t="n">
        <x:v>0.86402</x:v>
      </x:c>
      <x:c r="K169" s="50" t="n">
        <x:v>0.568671</x:v>
      </x:c>
      <x:c r="L169" s="47" t="n">
        <x:v>612</x:v>
      </x:c>
      <x:c r="M169" s="47" t="n">
        <x:v>792</x:v>
      </x:c>
      <x:c r="N169" s="28" t="str">
        <x:v>top-left</x:v>
      </x:c>
      <x:c r="O169" s="28" t="str">
        <x:v>PDF points</x:v>
      </x:c>
    </x:row>
    <x:row r="170" ht="22" customHeight="1">
      <x:c r="A170" s="28" t="str">
        <x:v>ANC-CAM-039-01-R27</x:v>
      </x:c>
      <x:c r="B170" s="28" t="str">
        <x:v>ANC-CAM-039-01</x:v>
      </x:c>
      <x:c r="C170" s="28" t="n">
        <x:v>11</x:v>
      </x:c>
      <x:c r="D170" s="47" t="n">
        <x:v>413.28</x:v>
      </x:c>
      <x:c r="E170" s="47" t="n">
        <x:v>449.637</x:v>
      </x:c>
      <x:c r="F170" s="47" t="n">
        <x:v>524.595</x:v>
      </x:c>
      <x:c r="G170" s="47" t="n">
        <x:v>463.823</x:v>
      </x:c>
      <x:c r="H170" s="50" t="n">
        <x:v>0.675294</x:v>
      </x:c>
      <x:c r="I170" s="50" t="n">
        <x:v>0.567723</x:v>
      </x:c>
      <x:c r="J170" s="50" t="n">
        <x:v>0.857182</x:v>
      </x:c>
      <x:c r="K170" s="50" t="n">
        <x:v>0.585635</x:v>
      </x:c>
      <x:c r="L170" s="47" t="n">
        <x:v>612</x:v>
      </x:c>
      <x:c r="M170" s="47" t="n">
        <x:v>792</x:v>
      </x:c>
      <x:c r="N170" s="28" t="str">
        <x:v>top-left</x:v>
      </x:c>
      <x:c r="O170" s="28" t="str">
        <x:v>PDF points</x:v>
      </x:c>
    </x:row>
    <x:row r="171" ht="22" customHeight="1">
      <x:c r="A171" s="28" t="str">
        <x:v>ANC-CAM-039-01-R28</x:v>
      </x:c>
      <x:c r="B171" s="28" t="str">
        <x:v>ANC-CAM-039-01</x:v>
      </x:c>
      <x:c r="C171" s="28" t="n">
        <x:v>11</x:v>
      </x:c>
      <x:c r="D171" s="47" t="n">
        <x:v>413.291</x:v>
      </x:c>
      <x:c r="E171" s="47" t="n">
        <x:v>463.072</x:v>
      </x:c>
      <x:c r="F171" s="47" t="n">
        <x:v>539.962</x:v>
      </x:c>
      <x:c r="G171" s="47" t="n">
        <x:v>477.259</x:v>
      </x:c>
      <x:c r="H171" s="50" t="n">
        <x:v>0.675312</x:v>
      </x:c>
      <x:c r="I171" s="50" t="n">
        <x:v>0.584687</x:v>
      </x:c>
      <x:c r="J171" s="50" t="n">
        <x:v>0.88229</x:v>
      </x:c>
      <x:c r="K171" s="50" t="n">
        <x:v>0.602599</x:v>
      </x:c>
      <x:c r="L171" s="47" t="n">
        <x:v>612</x:v>
      </x:c>
      <x:c r="M171" s="47" t="n">
        <x:v>792</x:v>
      </x:c>
      <x:c r="N171" s="28" t="str">
        <x:v>top-left</x:v>
      </x:c>
      <x:c r="O171" s="28" t="str">
        <x:v>PDF points</x:v>
      </x:c>
    </x:row>
    <x:row r="172" ht="22" customHeight="1">
      <x:c r="A172" s="28" t="str">
        <x:v>ANC-CAM-039-01-R29</x:v>
      </x:c>
      <x:c r="B172" s="28" t="str">
        <x:v>ANC-CAM-039-01</x:v>
      </x:c>
      <x:c r="C172" s="28" t="n">
        <x:v>11</x:v>
      </x:c>
      <x:c r="D172" s="47" t="n">
        <x:v>413.291</x:v>
      </x:c>
      <x:c r="E172" s="47" t="n">
        <x:v>476.508</x:v>
      </x:c>
      <x:c r="F172" s="47" t="n">
        <x:v>533.243</x:v>
      </x:c>
      <x:c r="G172" s="47" t="n">
        <x:v>490.694</x:v>
      </x:c>
      <x:c r="H172" s="50" t="n">
        <x:v>0.675312</x:v>
      </x:c>
      <x:c r="I172" s="50" t="n">
        <x:v>0.601651</x:v>
      </x:c>
      <x:c r="J172" s="50" t="n">
        <x:v>0.871312</x:v>
      </x:c>
      <x:c r="K172" s="50" t="n">
        <x:v>0.619564</x:v>
      </x:c>
      <x:c r="L172" s="47" t="n">
        <x:v>612</x:v>
      </x:c>
      <x:c r="M172" s="47" t="n">
        <x:v>792</x:v>
      </x:c>
      <x:c r="N172" s="28" t="str">
        <x:v>top-left</x:v>
      </x:c>
      <x:c r="O172" s="28" t="str">
        <x:v>PDF points</x:v>
      </x:c>
    </x:row>
    <x:row r="173" ht="22" customHeight="1">
      <x:c r="A173" s="28" t="str">
        <x:v>ANC-CAM-039-01-R30</x:v>
      </x:c>
      <x:c r="B173" s="28" t="str">
        <x:v>ANC-CAM-039-01</x:v>
      </x:c>
      <x:c r="C173" s="28" t="n">
        <x:v>11</x:v>
      </x:c>
      <x:c r="D173" s="47" t="n">
        <x:v>413.291</x:v>
      </x:c>
      <x:c r="E173" s="47" t="n">
        <x:v>489.944</x:v>
      </x:c>
      <x:c r="F173" s="47" t="n">
        <x:v>499.845</x:v>
      </x:c>
      <x:c r="G173" s="47" t="n">
        <x:v>504.13</x:v>
      </x:c>
      <x:c r="H173" s="50" t="n">
        <x:v>0.675312</x:v>
      </x:c>
      <x:c r="I173" s="50" t="n">
        <x:v>0.618616</x:v>
      </x:c>
      <x:c r="J173" s="50" t="n">
        <x:v>0.81674</x:v>
      </x:c>
      <x:c r="K173" s="50" t="n">
        <x:v>0.636528</x:v>
      </x:c>
      <x:c r="L173" s="47" t="n">
        <x:v>612</x:v>
      </x:c>
      <x:c r="M173" s="47" t="n">
        <x:v>792</x:v>
      </x:c>
      <x:c r="N173" s="28" t="str">
        <x:v>top-left</x:v>
      </x:c>
      <x:c r="O173" s="28" t="str">
        <x:v>PDF points</x:v>
      </x:c>
    </x:row>
    <x:row r="174" ht="22" customHeight="1">
      <x:c r="A174" s="28" t="str">
        <x:v>ANC-CAM-040-01-R01</x:v>
      </x:c>
      <x:c r="B174" s="28" t="str">
        <x:v>ANC-CAM-040-01</x:v>
      </x:c>
      <x:c r="C174" s="28" t="n">
        <x:v>11</x:v>
      </x:c>
      <x:c r="D174" s="47" t="n">
        <x:v>227.155</x:v>
      </x:c>
      <x:c r="E174" s="47" t="n">
        <x:v>436.21</x:v>
      </x:c>
      <x:c r="F174" s="47" t="n">
        <x:v>353.471</x:v>
      </x:c>
      <x:c r="G174" s="47" t="n">
        <x:v>450.396</x:v>
      </x:c>
      <x:c r="H174" s="50" t="n">
        <x:v>0.371169</x:v>
      </x:c>
      <x:c r="I174" s="50" t="n">
        <x:v>0.55077</x:v>
      </x:c>
      <x:c r="J174" s="50" t="n">
        <x:v>0.577566</x:v>
      </x:c>
      <x:c r="K174" s="50" t="n">
        <x:v>0.568682</x:v>
      </x:c>
      <x:c r="L174" s="47" t="n">
        <x:v>612</x:v>
      </x:c>
      <x:c r="M174" s="47" t="n">
        <x:v>792</x:v>
      </x:c>
      <x:c r="N174" s="28" t="str">
        <x:v>top-left</x:v>
      </x:c>
      <x:c r="O174" s="28" t="str">
        <x:v>PDF points</x:v>
      </x:c>
    </x:row>
    <x:row r="175" ht="22" customHeight="1">
      <x:c r="A175" s="28" t="str">
        <x:v>ANC-CAM-040-01-R02</x:v>
      </x:c>
      <x:c r="B175" s="28" t="str">
        <x:v>ANC-CAM-040-01</x:v>
      </x:c>
      <x:c r="C175" s="28" t="n">
        <x:v>11</x:v>
      </x:c>
      <x:c r="D175" s="47" t="n">
        <x:v>227.155</x:v>
      </x:c>
      <x:c r="E175" s="47" t="n">
        <x:v>449.645</x:v>
      </x:c>
      <x:c r="F175" s="47" t="n">
        <x:v>355.716</x:v>
      </x:c>
      <x:c r="G175" s="47" t="n">
        <x:v>463.832</x:v>
      </x:c>
      <x:c r="H175" s="50" t="n">
        <x:v>0.371169</x:v>
      </x:c>
      <x:c r="I175" s="50" t="n">
        <x:v>0.567734</x:v>
      </x:c>
      <x:c r="J175" s="50" t="n">
        <x:v>0.581235</x:v>
      </x:c>
      <x:c r="K175" s="50" t="n">
        <x:v>0.585646</x:v>
      </x:c>
      <x:c r="L175" s="47" t="n">
        <x:v>612</x:v>
      </x:c>
      <x:c r="M175" s="47" t="n">
        <x:v>792</x:v>
      </x:c>
      <x:c r="N175" s="28" t="str">
        <x:v>top-left</x:v>
      </x:c>
      <x:c r="O175" s="28" t="str">
        <x:v>PDF points</x:v>
      </x:c>
    </x:row>
    <x:row r="176" ht="22" customHeight="1">
      <x:c r="A176" s="28" t="str">
        <x:v>ANC-CAM-040-01-R03</x:v>
      </x:c>
      <x:c r="B176" s="28" t="str">
        <x:v>ANC-CAM-040-01</x:v>
      </x:c>
      <x:c r="C176" s="28" t="n">
        <x:v>11</x:v>
      </x:c>
      <x:c r="D176" s="47" t="n">
        <x:v>227.155</x:v>
      </x:c>
      <x:c r="E176" s="47" t="n">
        <x:v>463.081</x:v>
      </x:c>
      <x:c r="F176" s="47" t="n">
        <x:v>267.556</x:v>
      </x:c>
      <x:c r="G176" s="47" t="n">
        <x:v>477.267</x:v>
      </x:c>
      <x:c r="H176" s="50" t="n">
        <x:v>0.371169</x:v>
      </x:c>
      <x:c r="I176" s="50" t="n">
        <x:v>0.584698</x:v>
      </x:c>
      <x:c r="J176" s="50" t="n">
        <x:v>0.437183</x:v>
      </x:c>
      <x:c r="K176" s="50" t="n">
        <x:v>0.60261</x:v>
      </x:c>
      <x:c r="L176" s="47" t="n">
        <x:v>612</x:v>
      </x:c>
      <x:c r="M176" s="47" t="n">
        <x:v>792</x:v>
      </x:c>
      <x:c r="N176" s="28" t="str">
        <x:v>top-left</x:v>
      </x:c>
      <x:c r="O176" s="28" t="str">
        <x:v>PDF points</x:v>
      </x:c>
    </x:row>
    <x:row r="177" ht="22" customHeight="1">
      <x:c r="A177" s="28" t="str">
        <x:v>ANC-CAM-041-01-R01</x:v>
      </x:c>
      <x:c r="B177" s="28" t="str">
        <x:v>ANC-CAM-041-01</x:v>
      </x:c>
      <x:c r="C177" s="28" t="n">
        <x:v>11</x:v>
      </x:c>
      <x:c r="D177" s="47" t="n">
        <x:v>227.155</x:v>
      </x:c>
      <x:c r="E177" s="47" t="n">
        <x:v>476.53</x:v>
      </x:c>
      <x:c r="F177" s="47" t="n">
        <x:v>363.059</x:v>
      </x:c>
      <x:c r="G177" s="47" t="n">
        <x:v>490.716</x:v>
      </x:c>
      <x:c r="H177" s="50" t="n">
        <x:v>0.371169</x:v>
      </x:c>
      <x:c r="I177" s="50" t="n">
        <x:v>0.601679</x:v>
      </x:c>
      <x:c r="J177" s="50" t="n">
        <x:v>0.593233</x:v>
      </x:c>
      <x:c r="K177" s="50" t="n">
        <x:v>0.619591</x:v>
      </x:c>
      <x:c r="L177" s="47" t="n">
        <x:v>612</x:v>
      </x:c>
      <x:c r="M177" s="47" t="n">
        <x:v>792</x:v>
      </x:c>
      <x:c r="N177" s="28" t="str">
        <x:v>top-left</x:v>
      </x:c>
      <x:c r="O177" s="28" t="str">
        <x:v>PDF points</x:v>
      </x:c>
    </x:row>
    <x:row r="178" ht="22" customHeight="1">
      <x:c r="A178" s="28" t="str">
        <x:v>ANC-CAM-041-01-R02</x:v>
      </x:c>
      <x:c r="B178" s="28" t="str">
        <x:v>ANC-CAM-041-01</x:v>
      </x:c>
      <x:c r="C178" s="28" t="n">
        <x:v>11</x:v>
      </x:c>
      <x:c r="D178" s="47" t="n">
        <x:v>227.155</x:v>
      </x:c>
      <x:c r="E178" s="47" t="n">
        <x:v>489.965</x:v>
      </x:c>
      <x:c r="F178" s="47" t="n">
        <x:v>351.755</x:v>
      </x:c>
      <x:c r="G178" s="47" t="n">
        <x:v>504.152</x:v>
      </x:c>
      <x:c r="H178" s="50" t="n">
        <x:v>0.371169</x:v>
      </x:c>
      <x:c r="I178" s="50" t="n">
        <x:v>0.618643</x:v>
      </x:c>
      <x:c r="J178" s="50" t="n">
        <x:v>0.574763</x:v>
      </x:c>
      <x:c r="K178" s="50" t="n">
        <x:v>0.636555</x:v>
      </x:c>
      <x:c r="L178" s="47" t="n">
        <x:v>612</x:v>
      </x:c>
      <x:c r="M178" s="47" t="n">
        <x:v>792</x:v>
      </x:c>
      <x:c r="N178" s="28" t="str">
        <x:v>top-left</x:v>
      </x:c>
      <x:c r="O178" s="28" t="str">
        <x:v>PDF points</x:v>
      </x:c>
    </x:row>
    <x:row r="179" ht="22" customHeight="1">
      <x:c r="A179" s="28" t="str">
        <x:v>ANC-CAM-041-01-R03</x:v>
      </x:c>
      <x:c r="B179" s="28" t="str">
        <x:v>ANC-CAM-041-01</x:v>
      </x:c>
      <x:c r="C179" s="28" t="n">
        <x:v>11</x:v>
      </x:c>
      <x:c r="D179" s="47" t="n">
        <x:v>227.155</x:v>
      </x:c>
      <x:c r="E179" s="47" t="n">
        <x:v>503.291</x:v>
      </x:c>
      <x:c r="F179" s="47" t="n">
        <x:v>332.371</x:v>
      </x:c>
      <x:c r="G179" s="47" t="n">
        <x:v>517.477</x:v>
      </x:c>
      <x:c r="H179" s="50" t="n">
        <x:v>0.371169</x:v>
      </x:c>
      <x:c r="I179" s="50" t="n">
        <x:v>0.635468</x:v>
      </x:c>
      <x:c r="J179" s="50" t="n">
        <x:v>0.54309</x:v>
      </x:c>
      <x:c r="K179" s="50" t="n">
        <x:v>0.65338</x:v>
      </x:c>
      <x:c r="L179" s="47" t="n">
        <x:v>612</x:v>
      </x:c>
      <x:c r="M179" s="47" t="n">
        <x:v>792</x:v>
      </x:c>
      <x:c r="N179" s="28" t="str">
        <x:v>top-left</x:v>
      </x:c>
      <x:c r="O179" s="28" t="str">
        <x:v>PDF points</x:v>
      </x:c>
    </x:row>
    <x:row r="180" ht="22" customHeight="1">
      <x:c r="A180" s="28" t="str">
        <x:v>ANC-CAM-041-01-R04</x:v>
      </x:c>
      <x:c r="B180" s="28" t="str">
        <x:v>ANC-CAM-041-01</x:v>
      </x:c>
      <x:c r="C180" s="28" t="n">
        <x:v>11</x:v>
      </x:c>
      <x:c r="D180" s="47" t="n">
        <x:v>227.155</x:v>
      </x:c>
      <x:c r="E180" s="47" t="n">
        <x:v>516.726</x:v>
      </x:c>
      <x:c r="F180" s="47" t="n">
        <x:v>351.944</x:v>
      </x:c>
      <x:c r="G180" s="47" t="n">
        <x:v>530.913</x:v>
      </x:c>
      <x:c r="H180" s="50" t="n">
        <x:v>0.371169</x:v>
      </x:c>
      <x:c r="I180" s="50" t="n">
        <x:v>0.652432</x:v>
      </x:c>
      <x:c r="J180" s="50" t="n">
        <x:v>0.575071</x:v>
      </x:c>
      <x:c r="K180" s="50" t="n">
        <x:v>0.670344</x:v>
      </x:c>
      <x:c r="L180" s="47" t="n">
        <x:v>612</x:v>
      </x:c>
      <x:c r="M180" s="47" t="n">
        <x:v>792</x:v>
      </x:c>
      <x:c r="N180" s="28" t="str">
        <x:v>top-left</x:v>
      </x:c>
      <x:c r="O180" s="28" t="str">
        <x:v>PDF points</x:v>
      </x:c>
    </x:row>
    <x:row r="181" ht="22" customHeight="1">
      <x:c r="A181" s="28" t="str">
        <x:v>ANC-CAM-042-01-R01</x:v>
      </x:c>
      <x:c r="B181" s="28" t="str">
        <x:v>ANC-CAM-042-01</x:v>
      </x:c>
      <x:c r="C181" s="28" t="n">
        <x:v>11</x:v>
      </x:c>
      <x:c r="D181" s="47" t="n">
        <x:v>413.28</x:v>
      </x:c>
      <x:c r="E181" s="47" t="n">
        <x:v>395.89</x:v>
      </x:c>
      <x:c r="F181" s="47" t="n">
        <x:v>508.66</x:v>
      </x:c>
      <x:c r="G181" s="47" t="n">
        <x:v>410.076</x:v>
      </x:c>
      <x:c r="H181" s="50" t="n">
        <x:v>0.675294</x:v>
      </x:c>
      <x:c r="I181" s="50" t="n">
        <x:v>0.499861</x:v>
      </x:c>
      <x:c r="J181" s="50" t="n">
        <x:v>0.831143</x:v>
      </x:c>
      <x:c r="K181" s="50" t="n">
        <x:v>0.517773</x:v>
      </x:c>
      <x:c r="L181" s="47" t="n">
        <x:v>612</x:v>
      </x:c>
      <x:c r="M181" s="47" t="n">
        <x:v>792</x:v>
      </x:c>
      <x:c r="N181" s="28" t="str">
        <x:v>top-left</x:v>
      </x:c>
      <x:c r="O181" s="28" t="str">
        <x:v>PDF points</x:v>
      </x:c>
    </x:row>
    <x:row r="182" ht="22" customHeight="1">
      <x:c r="A182" s="28" t="str">
        <x:v>ANC-CAM-042-01-R02</x:v>
      </x:c>
      <x:c r="B182" s="28" t="str">
        <x:v>ANC-CAM-042-01</x:v>
      </x:c>
      <x:c r="C182" s="28" t="n">
        <x:v>11</x:v>
      </x:c>
      <x:c r="D182" s="47" t="n">
        <x:v>413.28</x:v>
      </x:c>
      <x:c r="E182" s="47" t="n">
        <x:v>409.33</x:v>
      </x:c>
      <x:c r="F182" s="47" t="n">
        <x:v>493.583</x:v>
      </x:c>
      <x:c r="G182" s="47" t="n">
        <x:v>423.516</x:v>
      </x:c>
      <x:c r="H182" s="50" t="n">
        <x:v>0.675294</x:v>
      </x:c>
      <x:c r="I182" s="50" t="n">
        <x:v>0.51683</x:v>
      </x:c>
      <x:c r="J182" s="50" t="n">
        <x:v>0.806508</x:v>
      </x:c>
      <x:c r="K182" s="50" t="n">
        <x:v>0.534742</x:v>
      </x:c>
      <x:c r="L182" s="47" t="n">
        <x:v>612</x:v>
      </x:c>
      <x:c r="M182" s="47" t="n">
        <x:v>792</x:v>
      </x:c>
      <x:c r="N182" s="28" t="str">
        <x:v>top-left</x:v>
      </x:c>
      <x:c r="O182" s="28" t="str">
        <x:v>PDF points</x:v>
      </x:c>
    </x:row>
    <x:row r="183" ht="22" customHeight="1">
      <x:c r="A183" s="28" t="str">
        <x:v>ANC-CAM-042-01-R03</x:v>
      </x:c>
      <x:c r="B183" s="28" t="str">
        <x:v>ANC-CAM-042-01</x:v>
      </x:c>
      <x:c r="C183" s="28" t="n">
        <x:v>11</x:v>
      </x:c>
      <x:c r="D183" s="47" t="n">
        <x:v>413.28</x:v>
      </x:c>
      <x:c r="E183" s="47" t="n">
        <x:v>422.765</x:v>
      </x:c>
      <x:c r="F183" s="47" t="n">
        <x:v>484.259</x:v>
      </x:c>
      <x:c r="G183" s="47" t="n">
        <x:v>436.952</x:v>
      </x:c>
      <x:c r="H183" s="50" t="n">
        <x:v>0.675294</x:v>
      </x:c>
      <x:c r="I183" s="50" t="n">
        <x:v>0.533795</x:v>
      </x:c>
      <x:c r="J183" s="50" t="n">
        <x:v>0.791274</x:v>
      </x:c>
      <x:c r="K183" s="50" t="n">
        <x:v>0.551707</x:v>
      </x:c>
      <x:c r="L183" s="47" t="n">
        <x:v>612</x:v>
      </x:c>
      <x:c r="M183" s="47" t="n">
        <x:v>792</x:v>
      </x:c>
      <x:c r="N183" s="28" t="str">
        <x:v>top-left</x:v>
      </x:c>
      <x:c r="O183" s="28" t="str">
        <x:v>PDF points</x:v>
      </x:c>
    </x:row>
    <x:row r="184" ht="22" customHeight="1">
      <x:c r="A184" s="28" t="str">
        <x:v>ANC-CAM-042-01-R04</x:v>
      </x:c>
      <x:c r="B184" s="28" t="str">
        <x:v>ANC-CAM-042-01</x:v>
      </x:c>
      <x:c r="C184" s="28" t="n">
        <x:v>11</x:v>
      </x:c>
      <x:c r="D184" s="47" t="n">
        <x:v>413.28</x:v>
      </x:c>
      <x:c r="E184" s="47" t="n">
        <x:v>436.201</x:v>
      </x:c>
      <x:c r="F184" s="47" t="n">
        <x:v>528.781</x:v>
      </x:c>
      <x:c r="G184" s="47" t="n">
        <x:v>450.387</x:v>
      </x:c>
      <x:c r="H184" s="50" t="n">
        <x:v>0.675294</x:v>
      </x:c>
      <x:c r="I184" s="50" t="n">
        <x:v>0.550759</x:v>
      </x:c>
      <x:c r="J184" s="50" t="n">
        <x:v>0.86402</x:v>
      </x:c>
      <x:c r="K184" s="50" t="n">
        <x:v>0.568671</x:v>
      </x:c>
      <x:c r="L184" s="47" t="n">
        <x:v>612</x:v>
      </x:c>
      <x:c r="M184" s="47" t="n">
        <x:v>792</x:v>
      </x:c>
      <x:c r="N184" s="28" t="str">
        <x:v>top-left</x:v>
      </x:c>
      <x:c r="O184" s="28" t="str">
        <x:v>PDF points</x:v>
      </x:c>
    </x:row>
    <x:row r="185" ht="22" customHeight="1">
      <x:c r="A185" s="28" t="str">
        <x:v>ANC-CAM-043-01-R01</x:v>
      </x:c>
      <x:c r="B185" s="28" t="str">
        <x:v>ANC-CAM-043-01</x:v>
      </x:c>
      <x:c r="C185" s="28" t="n">
        <x:v>11</x:v>
      </x:c>
      <x:c r="D185" s="47" t="n">
        <x:v>227.16</x:v>
      </x:c>
      <x:c r="E185" s="47" t="n">
        <x:v>611.77</x:v>
      </x:c>
      <x:c r="F185" s="47" t="n">
        <x:v>336.94</x:v>
      </x:c>
      <x:c r="G185" s="47" t="n">
        <x:v>625.956</x:v>
      </x:c>
      <x:c r="H185" s="50" t="n">
        <x:v>0.371176</x:v>
      </x:c>
      <x:c r="I185" s="50" t="n">
        <x:v>0.772436</x:v>
      </x:c>
      <x:c r="J185" s="50" t="n">
        <x:v>0.550555</x:v>
      </x:c>
      <x:c r="K185" s="50" t="n">
        <x:v>0.790348</x:v>
      </x:c>
      <x:c r="L185" s="47" t="n">
        <x:v>612</x:v>
      </x:c>
      <x:c r="M185" s="47" t="n">
        <x:v>792</x:v>
      </x:c>
      <x:c r="N185" s="28" t="str">
        <x:v>top-left</x:v>
      </x:c>
      <x:c r="O185" s="28" t="str">
        <x:v>PDF points</x:v>
      </x:c>
    </x:row>
    <x:row r="186" ht="22" customHeight="1">
      <x:c r="A186" s="28" t="str">
        <x:v>ANC-CAM-043-01-R02</x:v>
      </x:c>
      <x:c r="B186" s="28" t="str">
        <x:v>ANC-CAM-043-01</x:v>
      </x:c>
      <x:c r="C186" s="28" t="n">
        <x:v>11</x:v>
      </x:c>
      <x:c r="D186" s="47" t="n">
        <x:v>227.16</x:v>
      </x:c>
      <x:c r="E186" s="47" t="n">
        <x:v>625.21</x:v>
      </x:c>
      <x:c r="F186" s="47" t="n">
        <x:v>310.844</x:v>
      </x:c>
      <x:c r="G186" s="47" t="n">
        <x:v>639.396</x:v>
      </x:c>
      <x:c r="H186" s="50" t="n">
        <x:v>0.371176</x:v>
      </x:c>
      <x:c r="I186" s="50" t="n">
        <x:v>0.789406</x:v>
      </x:c>
      <x:c r="J186" s="50" t="n">
        <x:v>0.507915</x:v>
      </x:c>
      <x:c r="K186" s="50" t="n">
        <x:v>0.807318</x:v>
      </x:c>
      <x:c r="L186" s="47" t="n">
        <x:v>612</x:v>
      </x:c>
      <x:c r="M186" s="47" t="n">
        <x:v>792</x:v>
      </x:c>
      <x:c r="N186" s="28" t="str">
        <x:v>top-left</x:v>
      </x:c>
      <x:c r="O186" s="28" t="str">
        <x:v>PDF points</x:v>
      </x:c>
    </x:row>
    <x:row r="187" ht="22" customHeight="1">
      <x:c r="A187" s="28" t="str">
        <x:v>ANC-CAM-043-01-R03</x:v>
      </x:c>
      <x:c r="B187" s="28" t="str">
        <x:v>ANC-CAM-043-01</x:v>
      </x:c>
      <x:c r="C187" s="28" t="n">
        <x:v>11</x:v>
      </x:c>
      <x:c r="D187" s="47" t="n">
        <x:v>227.16</x:v>
      </x:c>
      <x:c r="E187" s="47" t="n">
        <x:v>638.645</x:v>
      </x:c>
      <x:c r="F187" s="47" t="n">
        <x:v>354.339</x:v>
      </x:c>
      <x:c r="G187" s="47" t="n">
        <x:v>652.832</x:v>
      </x:c>
      <x:c r="H187" s="50" t="n">
        <x:v>0.371176</x:v>
      </x:c>
      <x:c r="I187" s="50" t="n">
        <x:v>0.80637</x:v>
      </x:c>
      <x:c r="J187" s="50" t="n">
        <x:v>0.578985</x:v>
      </x:c>
      <x:c r="K187" s="50" t="n">
        <x:v>0.824282</x:v>
      </x:c>
      <x:c r="L187" s="47" t="n">
        <x:v>612</x:v>
      </x:c>
      <x:c r="M187" s="47" t="n">
        <x:v>792</x:v>
      </x:c>
      <x:c r="N187" s="28" t="str">
        <x:v>top-left</x:v>
      </x:c>
      <x:c r="O187" s="28" t="str">
        <x:v>PDF points</x:v>
      </x:c>
    </x:row>
    <x:row r="188" ht="22" customHeight="1">
      <x:c r="A188" s="28" t="str">
        <x:v>ANC-CAM-044-01-R01</x:v>
      </x:c>
      <x:c r="B188" s="28" t="str">
        <x:v>ANC-CAM-044-01</x:v>
      </x:c>
      <x:c r="C188" s="28" t="n">
        <x:v>12</x:v>
      </x:c>
      <x:c r="D188" s="47" t="n">
        <x:v>77.64</x:v>
      </x:c>
      <x:c r="E188" s="47" t="n">
        <x:v>139.81</x:v>
      </x:c>
      <x:c r="F188" s="47" t="n">
        <x:v>188.478</x:v>
      </x:c>
      <x:c r="G188" s="47" t="n">
        <x:v>153.996</x:v>
      </x:c>
      <x:c r="H188" s="50" t="n">
        <x:v>0.126863</x:v>
      </x:c>
      <x:c r="I188" s="50" t="n">
        <x:v>0.176527</x:v>
      </x:c>
      <x:c r="J188" s="50" t="n">
        <x:v>0.30797</x:v>
      </x:c>
      <x:c r="K188" s="50" t="n">
        <x:v>0.194439</x:v>
      </x:c>
      <x:c r="L188" s="47" t="n">
        <x:v>612</x:v>
      </x:c>
      <x:c r="M188" s="47" t="n">
        <x:v>792</x:v>
      </x:c>
      <x:c r="N188" s="28" t="str">
        <x:v>top-left</x:v>
      </x:c>
      <x:c r="O188" s="28" t="str">
        <x:v>PDF points</x:v>
      </x:c>
    </x:row>
    <x:row r="189" ht="22" customHeight="1">
      <x:c r="A189" s="28" t="str">
        <x:v>ANC-CAM-044-01-R02</x:v>
      </x:c>
      <x:c r="B189" s="28" t="str">
        <x:v>ANC-CAM-044-01</x:v>
      </x:c>
      <x:c r="C189" s="28" t="n">
        <x:v>12</x:v>
      </x:c>
      <x:c r="D189" s="47" t="n">
        <x:v>77.64</x:v>
      </x:c>
      <x:c r="E189" s="47" t="n">
        <x:v>153.25</x:v>
      </x:c>
      <x:c r="F189" s="47" t="n">
        <x:v>175.73</x:v>
      </x:c>
      <x:c r="G189" s="47" t="n">
        <x:v>167.436</x:v>
      </x:c>
      <x:c r="H189" s="50" t="n">
        <x:v>0.126863</x:v>
      </x:c>
      <x:c r="I189" s="50" t="n">
        <x:v>0.193497</x:v>
      </x:c>
      <x:c r="J189" s="50" t="n">
        <x:v>0.287141</x:v>
      </x:c>
      <x:c r="K189" s="50" t="n">
        <x:v>0.211409</x:v>
      </x:c>
      <x:c r="L189" s="47" t="n">
        <x:v>612</x:v>
      </x:c>
      <x:c r="M189" s="47" t="n">
        <x:v>792</x:v>
      </x:c>
      <x:c r="N189" s="28" t="str">
        <x:v>top-left</x:v>
      </x:c>
      <x:c r="O189" s="28" t="str">
        <x:v>PDF points</x:v>
      </x:c>
    </x:row>
    <x:row r="190" ht="22" customHeight="1">
      <x:c r="A190" s="28" t="str">
        <x:v>ANC-CAM-044-01-R03</x:v>
      </x:c>
      <x:c r="B190" s="28" t="str">
        <x:v>ANC-CAM-044-01</x:v>
      </x:c>
      <x:c r="C190" s="28" t="n">
        <x:v>12</x:v>
      </x:c>
      <x:c r="D190" s="47" t="n">
        <x:v>77.64</x:v>
      </x:c>
      <x:c r="E190" s="47" t="n">
        <x:v>166.685</x:v>
      </x:c>
      <x:c r="F190" s="47" t="n">
        <x:v>164.123</x:v>
      </x:c>
      <x:c r="G190" s="47" t="n">
        <x:v>180.872</x:v>
      </x:c>
      <x:c r="H190" s="50" t="n">
        <x:v>0.126863</x:v>
      </x:c>
      <x:c r="I190" s="50" t="n">
        <x:v>0.210461</x:v>
      </x:c>
      <x:c r="J190" s="50" t="n">
        <x:v>0.268175</x:v>
      </x:c>
      <x:c r="K190" s="50" t="n">
        <x:v>0.228373</x:v>
      </x:c>
      <x:c r="L190" s="47" t="n">
        <x:v>612</x:v>
      </x:c>
      <x:c r="M190" s="47" t="n">
        <x:v>792</x:v>
      </x:c>
      <x:c r="N190" s="28" t="str">
        <x:v>top-left</x:v>
      </x:c>
      <x:c r="O190" s="28" t="str">
        <x:v>PDF points</x:v>
      </x:c>
    </x:row>
    <x:row r="191" ht="22" customHeight="1">
      <x:c r="A191" s="28" t="str">
        <x:v>ANC-CAM-044-01-R04</x:v>
      </x:c>
      <x:c r="B191" s="28" t="str">
        <x:v>ANC-CAM-044-01</x:v>
      </x:c>
      <x:c r="C191" s="28" t="n">
        <x:v>12</x:v>
      </x:c>
      <x:c r="D191" s="47" t="n">
        <x:v>77.64</x:v>
      </x:c>
      <x:c r="E191" s="47" t="n">
        <x:v>180.121</x:v>
      </x:c>
      <x:c r="F191" s="47" t="n">
        <x:v>118.565</x:v>
      </x:c>
      <x:c r="G191" s="47" t="n">
        <x:v>194.307</x:v>
      </x:c>
      <x:c r="H191" s="50" t="n">
        <x:v>0.126863</x:v>
      </x:c>
      <x:c r="I191" s="50" t="n">
        <x:v>0.227425</x:v>
      </x:c>
      <x:c r="J191" s="50" t="n">
        <x:v>0.193734</x:v>
      </x:c>
      <x:c r="K191" s="50" t="n">
        <x:v>0.245338</x:v>
      </x:c>
      <x:c r="L191" s="47" t="n">
        <x:v>612</x:v>
      </x:c>
      <x:c r="M191" s="47" t="n">
        <x:v>792</x:v>
      </x:c>
      <x:c r="N191" s="28" t="str">
        <x:v>top-left</x:v>
      </x:c>
      <x:c r="O191" s="28" t="str">
        <x:v>PDF points</x:v>
      </x:c>
    </x:row>
    <x:row r="192" ht="22" customHeight="1">
      <x:c r="A192" s="28" t="str">
        <x:v>ANC-CAM-045-01-R01</x:v>
      </x:c>
      <x:c r="B192" s="28" t="str">
        <x:v>ANC-CAM-045-01</x:v>
      </x:c>
      <x:c r="C192" s="28" t="n">
        <x:v>12</x:v>
      </x:c>
      <x:c r="D192" s="47" t="n">
        <x:v>209.16</x:v>
      </x:c>
      <x:c r="E192" s="47" t="n">
        <x:v>139.81</x:v>
      </x:c>
      <x:c r="F192" s="47" t="n">
        <x:v>212.914</x:v>
      </x:c>
      <x:c r="G192" s="47" t="n">
        <x:v>153.996</x:v>
      </x:c>
      <x:c r="H192" s="50" t="n">
        <x:v>0.341765</x:v>
      </x:c>
      <x:c r="I192" s="50" t="n">
        <x:v>0.176527</x:v>
      </x:c>
      <x:c r="J192" s="50" t="n">
        <x:v>0.347898</x:v>
      </x:c>
      <x:c r="K192" s="50" t="n">
        <x:v>0.194439</x:v>
      </x:c>
      <x:c r="L192" s="47" t="n">
        <x:v>612</x:v>
      </x:c>
      <x:c r="M192" s="47" t="n">
        <x:v>792</x:v>
      </x:c>
      <x:c r="N192" s="28" t="str">
        <x:v>top-left</x:v>
      </x:c>
      <x:c r="O192" s="28" t="str">
        <x:v>PDF points</x:v>
      </x:c>
    </x:row>
    <x:row r="193" ht="22" customHeight="1">
      <x:c r="A193" s="28" t="str">
        <x:v>ANC-CAM-045-01-R02</x:v>
      </x:c>
      <x:c r="B193" s="28" t="str">
        <x:v>ANC-CAM-045-01</x:v>
      </x:c>
      <x:c r="C193" s="28" t="n">
        <x:v>12</x:v>
      </x:c>
      <x:c r="D193" s="47" t="n">
        <x:v>227.16</x:v>
      </x:c>
      <x:c r="E193" s="47" t="n">
        <x:v>153.25</x:v>
      </x:c>
      <x:c r="F193" s="47" t="n">
        <x:v>261.489</x:v>
      </x:c>
      <x:c r="G193" s="47" t="n">
        <x:v>167.436</x:v>
      </x:c>
      <x:c r="H193" s="50" t="n">
        <x:v>0.371176</x:v>
      </x:c>
      <x:c r="I193" s="50" t="n">
        <x:v>0.193497</x:v>
      </x:c>
      <x:c r="J193" s="50" t="n">
        <x:v>0.427269</x:v>
      </x:c>
      <x:c r="K193" s="50" t="n">
        <x:v>0.211409</x:v>
      </x:c>
      <x:c r="L193" s="47" t="n">
        <x:v>612</x:v>
      </x:c>
      <x:c r="M193" s="47" t="n">
        <x:v>792</x:v>
      </x:c>
      <x:c r="N193" s="28" t="str">
        <x:v>top-left</x:v>
      </x:c>
      <x:c r="O193" s="28" t="str">
        <x:v>PDF points</x:v>
      </x:c>
    </x:row>
    <x:row r="194" ht="22" customHeight="1">
      <x:c r="A194" s="28" t="str">
        <x:v>ANC-CAM-045-01-R03</x:v>
      </x:c>
      <x:c r="B194" s="28" t="str">
        <x:v>ANC-CAM-045-01</x:v>
      </x:c>
      <x:c r="C194" s="28" t="n">
        <x:v>12</x:v>
      </x:c>
      <x:c r="D194" s="47" t="n">
        <x:v>209.16</x:v>
      </x:c>
      <x:c r="E194" s="47" t="n">
        <x:v>166.69</x:v>
      </x:c>
      <x:c r="F194" s="47" t="n">
        <x:v>212.914</x:v>
      </x:c>
      <x:c r="G194" s="47" t="n">
        <x:v>180.876</x:v>
      </x:c>
      <x:c r="H194" s="50" t="n">
        <x:v>0.341765</x:v>
      </x:c>
      <x:c r="I194" s="50" t="n">
        <x:v>0.210467</x:v>
      </x:c>
      <x:c r="J194" s="50" t="n">
        <x:v>0.347898</x:v>
      </x:c>
      <x:c r="K194" s="50" t="n">
        <x:v>0.228379</x:v>
      </x:c>
      <x:c r="L194" s="47" t="n">
        <x:v>612</x:v>
      </x:c>
      <x:c r="M194" s="47" t="n">
        <x:v>792</x:v>
      </x:c>
      <x:c r="N194" s="28" t="str">
        <x:v>top-left</x:v>
      </x:c>
      <x:c r="O194" s="28" t="str">
        <x:v>PDF points</x:v>
      </x:c>
    </x:row>
    <x:row r="195" ht="22" customHeight="1">
      <x:c r="A195" s="28" t="str">
        <x:v>ANC-CAM-045-01-R04</x:v>
      </x:c>
      <x:c r="B195" s="28" t="str">
        <x:v>ANC-CAM-045-01</x:v>
      </x:c>
      <x:c r="C195" s="28" t="n">
        <x:v>12</x:v>
      </x:c>
      <x:c r="D195" s="47" t="n">
        <x:v>227.155</x:v>
      </x:c>
      <x:c r="E195" s="47" t="n">
        <x:v>180.125</x:v>
      </x:c>
      <x:c r="F195" s="47" t="n">
        <x:v>349.136</x:v>
      </x:c>
      <x:c r="G195" s="47" t="n">
        <x:v>194.312</x:v>
      </x:c>
      <x:c r="H195" s="50" t="n">
        <x:v>0.371169</x:v>
      </x:c>
      <x:c r="I195" s="50" t="n">
        <x:v>0.227431</x:v>
      </x:c>
      <x:c r="J195" s="50" t="n">
        <x:v>0.570484</x:v>
      </x:c>
      <x:c r="K195" s="50" t="n">
        <x:v>0.245343</x:v>
      </x:c>
      <x:c r="L195" s="47" t="n">
        <x:v>612</x:v>
      </x:c>
      <x:c r="M195" s="47" t="n">
        <x:v>792</x:v>
      </x:c>
      <x:c r="N195" s="28" t="str">
        <x:v>top-left</x:v>
      </x:c>
      <x:c r="O195" s="28" t="str">
        <x:v>PDF points</x:v>
      </x:c>
    </x:row>
    <x:row r="196" ht="22" customHeight="1">
      <x:c r="A196" s="28" t="str">
        <x:v>ANC-CAM-046-01-R01</x:v>
      </x:c>
      <x:c r="B196" s="28" t="str">
        <x:v>ANC-CAM-046-01</x:v>
      </x:c>
      <x:c r="C196" s="28" t="n">
        <x:v>12</x:v>
      </x:c>
      <x:c r="D196" s="47" t="n">
        <x:v>77.64</x:v>
      </x:c>
      <x:c r="E196" s="47" t="n">
        <x:v>139.81</x:v>
      </x:c>
      <x:c r="F196" s="47" t="n">
        <x:v>188.478</x:v>
      </x:c>
      <x:c r="G196" s="47" t="n">
        <x:v>153.996</x:v>
      </x:c>
      <x:c r="H196" s="50" t="n">
        <x:v>0.126863</x:v>
      </x:c>
      <x:c r="I196" s="50" t="n">
        <x:v>0.176527</x:v>
      </x:c>
      <x:c r="J196" s="50" t="n">
        <x:v>0.30797</x:v>
      </x:c>
      <x:c r="K196" s="50" t="n">
        <x:v>0.194439</x:v>
      </x:c>
      <x:c r="L196" s="47" t="n">
        <x:v>612</x:v>
      </x:c>
      <x:c r="M196" s="47" t="n">
        <x:v>792</x:v>
      </x:c>
      <x:c r="N196" s="28" t="str">
        <x:v>top-left</x:v>
      </x:c>
      <x:c r="O196" s="28" t="str">
        <x:v>PDF points</x:v>
      </x:c>
    </x:row>
    <x:row r="197" ht="22" customHeight="1">
      <x:c r="A197" s="28" t="str">
        <x:v>ANC-CAM-046-01-R02</x:v>
      </x:c>
      <x:c r="B197" s="28" t="str">
        <x:v>ANC-CAM-046-01</x:v>
      </x:c>
      <x:c r="C197" s="28" t="n">
        <x:v>12</x:v>
      </x:c>
      <x:c r="D197" s="47" t="n">
        <x:v>77.64</x:v>
      </x:c>
      <x:c r="E197" s="47" t="n">
        <x:v>153.25</x:v>
      </x:c>
      <x:c r="F197" s="47" t="n">
        <x:v>175.73</x:v>
      </x:c>
      <x:c r="G197" s="47" t="n">
        <x:v>167.436</x:v>
      </x:c>
      <x:c r="H197" s="50" t="n">
        <x:v>0.126863</x:v>
      </x:c>
      <x:c r="I197" s="50" t="n">
        <x:v>0.193497</x:v>
      </x:c>
      <x:c r="J197" s="50" t="n">
        <x:v>0.287141</x:v>
      </x:c>
      <x:c r="K197" s="50" t="n">
        <x:v>0.211409</x:v>
      </x:c>
      <x:c r="L197" s="47" t="n">
        <x:v>612</x:v>
      </x:c>
      <x:c r="M197" s="47" t="n">
        <x:v>792</x:v>
      </x:c>
      <x:c r="N197" s="28" t="str">
        <x:v>top-left</x:v>
      </x:c>
      <x:c r="O197" s="28" t="str">
        <x:v>PDF points</x:v>
      </x:c>
    </x:row>
    <x:row r="198" ht="22" customHeight="1">
      <x:c r="A198" s="28" t="str">
        <x:v>ANC-CAM-046-01-R03</x:v>
      </x:c>
      <x:c r="B198" s="28" t="str">
        <x:v>ANC-CAM-046-01</x:v>
      </x:c>
      <x:c r="C198" s="28" t="n">
        <x:v>12</x:v>
      </x:c>
      <x:c r="D198" s="47" t="n">
        <x:v>77.64</x:v>
      </x:c>
      <x:c r="E198" s="47" t="n">
        <x:v>166.685</x:v>
      </x:c>
      <x:c r="F198" s="47" t="n">
        <x:v>164.123</x:v>
      </x:c>
      <x:c r="G198" s="47" t="n">
        <x:v>180.872</x:v>
      </x:c>
      <x:c r="H198" s="50" t="n">
        <x:v>0.126863</x:v>
      </x:c>
      <x:c r="I198" s="50" t="n">
        <x:v>0.210461</x:v>
      </x:c>
      <x:c r="J198" s="50" t="n">
        <x:v>0.268175</x:v>
      </x:c>
      <x:c r="K198" s="50" t="n">
        <x:v>0.228373</x:v>
      </x:c>
      <x:c r="L198" s="47" t="n">
        <x:v>612</x:v>
      </x:c>
      <x:c r="M198" s="47" t="n">
        <x:v>792</x:v>
      </x:c>
      <x:c r="N198" s="28" t="str">
        <x:v>top-left</x:v>
      </x:c>
      <x:c r="O198" s="28" t="str">
        <x:v>PDF points</x:v>
      </x:c>
    </x:row>
    <x:row r="199" ht="22" customHeight="1">
      <x:c r="A199" s="28" t="str">
        <x:v>ANC-CAM-046-01-R04</x:v>
      </x:c>
      <x:c r="B199" s="28" t="str">
        <x:v>ANC-CAM-046-01</x:v>
      </x:c>
      <x:c r="C199" s="28" t="n">
        <x:v>12</x:v>
      </x:c>
      <x:c r="D199" s="47" t="n">
        <x:v>77.64</x:v>
      </x:c>
      <x:c r="E199" s="47" t="n">
        <x:v>180.121</x:v>
      </x:c>
      <x:c r="F199" s="47" t="n">
        <x:v>118.565</x:v>
      </x:c>
      <x:c r="G199" s="47" t="n">
        <x:v>194.307</x:v>
      </x:c>
      <x:c r="H199" s="50" t="n">
        <x:v>0.126863</x:v>
      </x:c>
      <x:c r="I199" s="50" t="n">
        <x:v>0.227425</x:v>
      </x:c>
      <x:c r="J199" s="50" t="n">
        <x:v>0.193734</x:v>
      </x:c>
      <x:c r="K199" s="50" t="n">
        <x:v>0.245338</x:v>
      </x:c>
      <x:c r="L199" s="47" t="n">
        <x:v>612</x:v>
      </x:c>
      <x:c r="M199" s="47" t="n">
        <x:v>792</x:v>
      </x:c>
      <x:c r="N199" s="28" t="str">
        <x:v>top-left</x:v>
      </x:c>
      <x:c r="O199" s="28" t="str">
        <x:v>PDF points</x:v>
      </x:c>
    </x:row>
    <x:row r="200" ht="22" customHeight="1">
      <x:c r="A200" s="28" t="str">
        <x:v>ANC-CAM-046-01-R05</x:v>
      </x:c>
      <x:c r="B200" s="28" t="str">
        <x:v>ANC-CAM-046-01</x:v>
      </x:c>
      <x:c r="C200" s="28" t="n">
        <x:v>12</x:v>
      </x:c>
      <x:c r="D200" s="47" t="n">
        <x:v>209.16</x:v>
      </x:c>
      <x:c r="E200" s="47" t="n">
        <x:v>139.81</x:v>
      </x:c>
      <x:c r="F200" s="47" t="n">
        <x:v>212.914</x:v>
      </x:c>
      <x:c r="G200" s="47" t="n">
        <x:v>153.996</x:v>
      </x:c>
      <x:c r="H200" s="50" t="n">
        <x:v>0.341765</x:v>
      </x:c>
      <x:c r="I200" s="50" t="n">
        <x:v>0.176527</x:v>
      </x:c>
      <x:c r="J200" s="50" t="n">
        <x:v>0.347898</x:v>
      </x:c>
      <x:c r="K200" s="50" t="n">
        <x:v>0.194439</x:v>
      </x:c>
      <x:c r="L200" s="47" t="n">
        <x:v>612</x:v>
      </x:c>
      <x:c r="M200" s="47" t="n">
        <x:v>792</x:v>
      </x:c>
      <x:c r="N200" s="28" t="str">
        <x:v>top-left</x:v>
      </x:c>
      <x:c r="O200" s="28" t="str">
        <x:v>PDF points</x:v>
      </x:c>
    </x:row>
    <x:row r="201" ht="22" customHeight="1">
      <x:c r="A201" s="28" t="str">
        <x:v>ANC-CAM-046-01-R06</x:v>
      </x:c>
      <x:c r="B201" s="28" t="str">
        <x:v>ANC-CAM-046-01</x:v>
      </x:c>
      <x:c r="C201" s="28" t="n">
        <x:v>12</x:v>
      </x:c>
      <x:c r="D201" s="47" t="n">
        <x:v>227.16</x:v>
      </x:c>
      <x:c r="E201" s="47" t="n">
        <x:v>139.81</x:v>
      </x:c>
      <x:c r="F201" s="47" t="n">
        <x:v>362.873</x:v>
      </x:c>
      <x:c r="G201" s="47" t="n">
        <x:v>153.996</x:v>
      </x:c>
      <x:c r="H201" s="50" t="n">
        <x:v>0.371176</x:v>
      </x:c>
      <x:c r="I201" s="50" t="n">
        <x:v>0.176527</x:v>
      </x:c>
      <x:c r="J201" s="50" t="n">
        <x:v>0.59293</x:v>
      </x:c>
      <x:c r="K201" s="50" t="n">
        <x:v>0.194439</x:v>
      </x:c>
      <x:c r="L201" s="47" t="n">
        <x:v>612</x:v>
      </x:c>
      <x:c r="M201" s="47" t="n">
        <x:v>792</x:v>
      </x:c>
      <x:c r="N201" s="28" t="str">
        <x:v>top-left</x:v>
      </x:c>
      <x:c r="O201" s="28" t="str">
        <x:v>PDF points</x:v>
      </x:c>
    </x:row>
    <x:row r="202" ht="22" customHeight="1">
      <x:c r="A202" s="28" t="str">
        <x:v>ANC-CAM-046-01-R07</x:v>
      </x:c>
      <x:c r="B202" s="28" t="str">
        <x:v>ANC-CAM-046-01</x:v>
      </x:c>
      <x:c r="C202" s="28" t="n">
        <x:v>12</x:v>
      </x:c>
      <x:c r="D202" s="47" t="n">
        <x:v>227.16</x:v>
      </x:c>
      <x:c r="E202" s="47" t="n">
        <x:v>153.25</x:v>
      </x:c>
      <x:c r="F202" s="47" t="n">
        <x:v>261.489</x:v>
      </x:c>
      <x:c r="G202" s="47" t="n">
        <x:v>167.436</x:v>
      </x:c>
      <x:c r="H202" s="50" t="n">
        <x:v>0.371176</x:v>
      </x:c>
      <x:c r="I202" s="50" t="n">
        <x:v>0.193497</x:v>
      </x:c>
      <x:c r="J202" s="50" t="n">
        <x:v>0.427269</x:v>
      </x:c>
      <x:c r="K202" s="50" t="n">
        <x:v>0.211409</x:v>
      </x:c>
      <x:c r="L202" s="47" t="n">
        <x:v>612</x:v>
      </x:c>
      <x:c r="M202" s="47" t="n">
        <x:v>792</x:v>
      </x:c>
      <x:c r="N202" s="28" t="str">
        <x:v>top-left</x:v>
      </x:c>
      <x:c r="O202" s="28" t="str">
        <x:v>PDF points</x:v>
      </x:c>
    </x:row>
    <x:row r="203" ht="22" customHeight="1">
      <x:c r="A203" s="28" t="str">
        <x:v>ANC-CAM-046-01-R08</x:v>
      </x:c>
      <x:c r="B203" s="28" t="str">
        <x:v>ANC-CAM-046-01</x:v>
      </x:c>
      <x:c r="C203" s="28" t="n">
        <x:v>12</x:v>
      </x:c>
      <x:c r="D203" s="47" t="n">
        <x:v>209.16</x:v>
      </x:c>
      <x:c r="E203" s="47" t="n">
        <x:v>166.69</x:v>
      </x:c>
      <x:c r="F203" s="47" t="n">
        <x:v>212.914</x:v>
      </x:c>
      <x:c r="G203" s="47" t="n">
        <x:v>180.876</x:v>
      </x:c>
      <x:c r="H203" s="50" t="n">
        <x:v>0.341765</x:v>
      </x:c>
      <x:c r="I203" s="50" t="n">
        <x:v>0.210467</x:v>
      </x:c>
      <x:c r="J203" s="50" t="n">
        <x:v>0.347898</x:v>
      </x:c>
      <x:c r="K203" s="50" t="n">
        <x:v>0.228379</x:v>
      </x:c>
      <x:c r="L203" s="47" t="n">
        <x:v>612</x:v>
      </x:c>
      <x:c r="M203" s="47" t="n">
        <x:v>792</x:v>
      </x:c>
      <x:c r="N203" s="28" t="str">
        <x:v>top-left</x:v>
      </x:c>
      <x:c r="O203" s="28" t="str">
        <x:v>PDF points</x:v>
      </x:c>
    </x:row>
    <x:row r="204" ht="22" customHeight="1">
      <x:c r="A204" s="28" t="str">
        <x:v>ANC-CAM-046-01-R09</x:v>
      </x:c>
      <x:c r="B204" s="28" t="str">
        <x:v>ANC-CAM-046-01</x:v>
      </x:c>
      <x:c r="C204" s="28" t="n">
        <x:v>12</x:v>
      </x:c>
      <x:c r="D204" s="47" t="n">
        <x:v>227.155</x:v>
      </x:c>
      <x:c r="E204" s="47" t="n">
        <x:v>166.69</x:v>
      </x:c>
      <x:c r="F204" s="47" t="n">
        <x:v>342.668</x:v>
      </x:c>
      <x:c r="G204" s="47" t="n">
        <x:v>180.876</x:v>
      </x:c>
      <x:c r="H204" s="50" t="n">
        <x:v>0.371169</x:v>
      </x:c>
      <x:c r="I204" s="50" t="n">
        <x:v>0.210467</x:v>
      </x:c>
      <x:c r="J204" s="50" t="n">
        <x:v>0.559915</x:v>
      </x:c>
      <x:c r="K204" s="50" t="n">
        <x:v>0.228379</x:v>
      </x:c>
      <x:c r="L204" s="47" t="n">
        <x:v>612</x:v>
      </x:c>
      <x:c r="M204" s="47" t="n">
        <x:v>792</x:v>
      </x:c>
      <x:c r="N204" s="28" t="str">
        <x:v>top-left</x:v>
      </x:c>
      <x:c r="O204" s="28" t="str">
        <x:v>PDF points</x:v>
      </x:c>
    </x:row>
    <x:row r="205" ht="22" customHeight="1">
      <x:c r="A205" s="28" t="str">
        <x:v>ANC-CAM-046-01-R10</x:v>
      </x:c>
      <x:c r="B205" s="28" t="str">
        <x:v>ANC-CAM-046-01</x:v>
      </x:c>
      <x:c r="C205" s="28" t="n">
        <x:v>12</x:v>
      </x:c>
      <x:c r="D205" s="47" t="n">
        <x:v>227.155</x:v>
      </x:c>
      <x:c r="E205" s="47" t="n">
        <x:v>180.125</x:v>
      </x:c>
      <x:c r="F205" s="47" t="n">
        <x:v>349.136</x:v>
      </x:c>
      <x:c r="G205" s="47" t="n">
        <x:v>194.312</x:v>
      </x:c>
      <x:c r="H205" s="50" t="n">
        <x:v>0.371169</x:v>
      </x:c>
      <x:c r="I205" s="50" t="n">
        <x:v>0.227431</x:v>
      </x:c>
      <x:c r="J205" s="50" t="n">
        <x:v>0.570484</x:v>
      </x:c>
      <x:c r="K205" s="50" t="n">
        <x:v>0.245343</x:v>
      </x:c>
      <x:c r="L205" s="47" t="n">
        <x:v>612</x:v>
      </x:c>
      <x:c r="M205" s="47" t="n">
        <x:v>792</x:v>
      </x:c>
      <x:c r="N205" s="28" t="str">
        <x:v>top-left</x:v>
      </x:c>
      <x:c r="O205" s="28" t="str">
        <x:v>PDF points</x:v>
      </x:c>
    </x:row>
    <x:row r="206" ht="22" customHeight="1">
      <x:c r="A206" s="28" t="str">
        <x:v>ANC-CAM-046-01-R11</x:v>
      </x:c>
      <x:c r="B206" s="28" t="str">
        <x:v>ANC-CAM-046-01</x:v>
      </x:c>
      <x:c r="C206" s="28" t="n">
        <x:v>12</x:v>
      </x:c>
      <x:c r="D206" s="47" t="n">
        <x:v>209.149</x:v>
      </x:c>
      <x:c r="E206" s="47" t="n">
        <x:v>193.451</x:v>
      </x:c>
      <x:c r="F206" s="47" t="n">
        <x:v>212.903</x:v>
      </x:c>
      <x:c r="G206" s="47" t="n">
        <x:v>207.637</x:v>
      </x:c>
      <x:c r="H206" s="50" t="n">
        <x:v>0.341747</x:v>
      </x:c>
      <x:c r="I206" s="50" t="n">
        <x:v>0.244256</x:v>
      </x:c>
      <x:c r="J206" s="50" t="n">
        <x:v>0.34788</x:v>
      </x:c>
      <x:c r="K206" s="50" t="n">
        <x:v>0.262168</x:v>
      </x:c>
      <x:c r="L206" s="47" t="n">
        <x:v>612</x:v>
      </x:c>
      <x:c r="M206" s="47" t="n">
        <x:v>792</x:v>
      </x:c>
      <x:c r="N206" s="28" t="str">
        <x:v>top-left</x:v>
      </x:c>
      <x:c r="O206" s="28" t="str">
        <x:v>PDF points</x:v>
      </x:c>
    </x:row>
    <x:row r="207" ht="22" customHeight="1">
      <x:c r="A207" s="28" t="str">
        <x:v>ANC-CAM-046-01-R12</x:v>
      </x:c>
      <x:c r="B207" s="28" t="str">
        <x:v>ANC-CAM-046-01</x:v>
      </x:c>
      <x:c r="C207" s="28" t="n">
        <x:v>12</x:v>
      </x:c>
      <x:c r="D207" s="47" t="n">
        <x:v>227.144</x:v>
      </x:c>
      <x:c r="E207" s="47" t="n">
        <x:v>193.451</x:v>
      </x:c>
      <x:c r="F207" s="47" t="n">
        <x:v>333.316</x:v>
      </x:c>
      <x:c r="G207" s="47" t="n">
        <x:v>207.637</x:v>
      </x:c>
      <x:c r="H207" s="50" t="n">
        <x:v>0.371151</x:v>
      </x:c>
      <x:c r="I207" s="50" t="n">
        <x:v>0.244256</x:v>
      </x:c>
      <x:c r="J207" s="50" t="n">
        <x:v>0.544634</x:v>
      </x:c>
      <x:c r="K207" s="50" t="n">
        <x:v>0.262168</x:v>
      </x:c>
      <x:c r="L207" s="47" t="n">
        <x:v>612</x:v>
      </x:c>
      <x:c r="M207" s="47" t="n">
        <x:v>792</x:v>
      </x:c>
      <x:c r="N207" s="28" t="str">
        <x:v>top-left</x:v>
      </x:c>
      <x:c r="O207" s="28" t="str">
        <x:v>PDF points</x:v>
      </x:c>
    </x:row>
    <x:row r="208" ht="22" customHeight="1">
      <x:c r="A208" s="28" t="str">
        <x:v>ANC-CAM-046-01-R13</x:v>
      </x:c>
      <x:c r="B208" s="28" t="str">
        <x:v>ANC-CAM-046-01</x:v>
      </x:c>
      <x:c r="C208" s="28" t="n">
        <x:v>12</x:v>
      </x:c>
      <x:c r="D208" s="47" t="n">
        <x:v>227.144</x:v>
      </x:c>
      <x:c r="E208" s="47" t="n">
        <x:v>206.886</x:v>
      </x:c>
      <x:c r="F208" s="47" t="n">
        <x:v>343.374</x:v>
      </x:c>
      <x:c r="G208" s="47" t="n">
        <x:v>221.073</x:v>
      </x:c>
      <x:c r="H208" s="50" t="n">
        <x:v>0.371151</x:v>
      </x:c>
      <x:c r="I208" s="50" t="n">
        <x:v>0.26122</x:v>
      </x:c>
      <x:c r="J208" s="50" t="n">
        <x:v>0.561069</x:v>
      </x:c>
      <x:c r="K208" s="50" t="n">
        <x:v>0.279132</x:v>
      </x:c>
      <x:c r="L208" s="47" t="n">
        <x:v>612</x:v>
      </x:c>
      <x:c r="M208" s="47" t="n">
        <x:v>792</x:v>
      </x:c>
      <x:c r="N208" s="28" t="str">
        <x:v>top-left</x:v>
      </x:c>
      <x:c r="O208" s="28" t="str">
        <x:v>PDF points</x:v>
      </x:c>
    </x:row>
    <x:row r="209" ht="22" customHeight="1">
      <x:c r="A209" s="28" t="str">
        <x:v>ANC-CAM-046-01-R14</x:v>
      </x:c>
      <x:c r="B209" s="28" t="str">
        <x:v>ANC-CAM-046-01</x:v>
      </x:c>
      <x:c r="C209" s="28" t="n">
        <x:v>12</x:v>
      </x:c>
      <x:c r="D209" s="47" t="n">
        <x:v>227.144</x:v>
      </x:c>
      <x:c r="E209" s="47" t="n">
        <x:v>220.322</x:v>
      </x:c>
      <x:c r="F209" s="47" t="n">
        <x:v>337.853</x:v>
      </x:c>
      <x:c r="G209" s="47" t="n">
        <x:v>234.508</x:v>
      </x:c>
      <x:c r="H209" s="50" t="n">
        <x:v>0.371151</x:v>
      </x:c>
      <x:c r="I209" s="50" t="n">
        <x:v>0.278184</x:v>
      </x:c>
      <x:c r="J209" s="50" t="n">
        <x:v>0.552048</x:v>
      </x:c>
      <x:c r="K209" s="50" t="n">
        <x:v>0.296096</x:v>
      </x:c>
      <x:c r="L209" s="47" t="n">
        <x:v>612</x:v>
      </x:c>
      <x:c r="M209" s="47" t="n">
        <x:v>792</x:v>
      </x:c>
      <x:c r="N209" s="28" t="str">
        <x:v>top-left</x:v>
      </x:c>
      <x:c r="O209" s="28" t="str">
        <x:v>PDF points</x:v>
      </x:c>
    </x:row>
    <x:row r="210" ht="22" customHeight="1">
      <x:c r="A210" s="28" t="str">
        <x:v>ANC-CAM-046-01-R15</x:v>
      </x:c>
      <x:c r="B210" s="28" t="str">
        <x:v>ANC-CAM-046-01</x:v>
      </x:c>
      <x:c r="C210" s="28" t="n">
        <x:v>12</x:v>
      </x:c>
      <x:c r="D210" s="47" t="n">
        <x:v>227.144</x:v>
      </x:c>
      <x:c r="E210" s="47" t="n">
        <x:v>233.758</x:v>
      </x:c>
      <x:c r="F210" s="47" t="n">
        <x:v>282.048</x:v>
      </x:c>
      <x:c r="G210" s="47" t="n">
        <x:v>247.944</x:v>
      </x:c>
      <x:c r="H210" s="50" t="n">
        <x:v>0.371151</x:v>
      </x:c>
      <x:c r="I210" s="50" t="n">
        <x:v>0.295148</x:v>
      </x:c>
      <x:c r="J210" s="50" t="n">
        <x:v>0.460863</x:v>
      </x:c>
      <x:c r="K210" s="50" t="n">
        <x:v>0.313061</x:v>
      </x:c>
      <x:c r="L210" s="47" t="n">
        <x:v>612</x:v>
      </x:c>
      <x:c r="M210" s="47" t="n">
        <x:v>792</x:v>
      </x:c>
      <x:c r="N210" s="28" t="str">
        <x:v>top-left</x:v>
      </x:c>
      <x:c r="O210" s="28" t="str">
        <x:v>PDF points</x:v>
      </x:c>
    </x:row>
    <x:row r="211" ht="22" customHeight="1">
      <x:c r="A211" s="28" t="str">
        <x:v>ANC-CAM-046-01-R16</x:v>
      </x:c>
      <x:c r="B211" s="28" t="str">
        <x:v>ANC-CAM-046-01</x:v>
      </x:c>
      <x:c r="C211" s="28" t="n">
        <x:v>12</x:v>
      </x:c>
      <x:c r="D211" s="47" t="n">
        <x:v>377.28</x:v>
      </x:c>
      <x:c r="E211" s="47" t="n">
        <x:v>139.81</x:v>
      </x:c>
      <x:c r="F211" s="47" t="n">
        <x:v>381.034</x:v>
      </x:c>
      <x:c r="G211" s="47" t="n">
        <x:v>153.996</x:v>
      </x:c>
      <x:c r="H211" s="50" t="n">
        <x:v>0.616471</x:v>
      </x:c>
      <x:c r="I211" s="50" t="n">
        <x:v>0.176527</x:v>
      </x:c>
      <x:c r="J211" s="50" t="n">
        <x:v>0.622604</x:v>
      </x:c>
      <x:c r="K211" s="50" t="n">
        <x:v>0.194439</x:v>
      </x:c>
      <x:c r="L211" s="47" t="n">
        <x:v>612</x:v>
      </x:c>
      <x:c r="M211" s="47" t="n">
        <x:v>792</x:v>
      </x:c>
      <x:c r="N211" s="28" t="str">
        <x:v>top-left</x:v>
      </x:c>
      <x:c r="O211" s="28" t="str">
        <x:v>PDF points</x:v>
      </x:c>
    </x:row>
    <x:row r="212" ht="22" customHeight="1">
      <x:c r="A212" s="28" t="str">
        <x:v>ANC-CAM-046-01-R17</x:v>
      </x:c>
      <x:c r="B212" s="28" t="str">
        <x:v>ANC-CAM-046-01</x:v>
      </x:c>
      <x:c r="C212" s="28" t="n">
        <x:v>12</x:v>
      </x:c>
      <x:c r="D212" s="47" t="n">
        <x:v>395.28</x:v>
      </x:c>
      <x:c r="E212" s="47" t="n">
        <x:v>139.81</x:v>
      </x:c>
      <x:c r="F212" s="47" t="n">
        <x:v>514.002</x:v>
      </x:c>
      <x:c r="G212" s="47" t="n">
        <x:v>153.996</x:v>
      </x:c>
      <x:c r="H212" s="50" t="n">
        <x:v>0.645882</x:v>
      </x:c>
      <x:c r="I212" s="50" t="n">
        <x:v>0.176527</x:v>
      </x:c>
      <x:c r="J212" s="50" t="n">
        <x:v>0.839872</x:v>
      </x:c>
      <x:c r="K212" s="50" t="n">
        <x:v>0.194439</x:v>
      </x:c>
      <x:c r="L212" s="47" t="n">
        <x:v>612</x:v>
      </x:c>
      <x:c r="M212" s="47" t="n">
        <x:v>792</x:v>
      </x:c>
      <x:c r="N212" s="28" t="str">
        <x:v>top-left</x:v>
      </x:c>
      <x:c r="O212" s="28" t="str">
        <x:v>PDF points</x:v>
      </x:c>
    </x:row>
    <x:row r="213" ht="22" customHeight="1">
      <x:c r="A213" s="28" t="str">
        <x:v>ANC-CAM-046-01-R18</x:v>
      </x:c>
      <x:c r="B213" s="28" t="str">
        <x:v>ANC-CAM-046-01</x:v>
      </x:c>
      <x:c r="C213" s="28" t="n">
        <x:v>12</x:v>
      </x:c>
      <x:c r="D213" s="47" t="n">
        <x:v>395.28</x:v>
      </x:c>
      <x:c r="E213" s="47" t="n">
        <x:v>153.25</x:v>
      </x:c>
      <x:c r="F213" s="47" t="n">
        <x:v>541.166</x:v>
      </x:c>
      <x:c r="G213" s="47" t="n">
        <x:v>167.436</x:v>
      </x:c>
      <x:c r="H213" s="50" t="n">
        <x:v>0.645882</x:v>
      </x:c>
      <x:c r="I213" s="50" t="n">
        <x:v>0.193497</x:v>
      </x:c>
      <x:c r="J213" s="50" t="n">
        <x:v>0.884258</x:v>
      </x:c>
      <x:c r="K213" s="50" t="n">
        <x:v>0.211409</x:v>
      </x:c>
      <x:c r="L213" s="47" t="n">
        <x:v>612</x:v>
      </x:c>
      <x:c r="M213" s="47" t="n">
        <x:v>792</x:v>
      </x:c>
      <x:c r="N213" s="28" t="str">
        <x:v>top-left</x:v>
      </x:c>
      <x:c r="O213" s="28" t="str">
        <x:v>PDF points</x:v>
      </x:c>
    </x:row>
    <x:row r="214" ht="22" customHeight="1">
      <x:c r="A214" s="28" t="str">
        <x:v>ANC-CAM-046-01-R19</x:v>
      </x:c>
      <x:c r="B214" s="28" t="str">
        <x:v>ANC-CAM-046-01</x:v>
      </x:c>
      <x:c r="C214" s="28" t="n">
        <x:v>12</x:v>
      </x:c>
      <x:c r="D214" s="47" t="n">
        <x:v>395.28</x:v>
      </x:c>
      <x:c r="E214" s="47" t="n">
        <x:v>166.685</x:v>
      </x:c>
      <x:c r="F214" s="47" t="n">
        <x:v>512.94</x:v>
      </x:c>
      <x:c r="G214" s="47" t="n">
        <x:v>180.872</x:v>
      </x:c>
      <x:c r="H214" s="50" t="n">
        <x:v>0.645882</x:v>
      </x:c>
      <x:c r="I214" s="50" t="n">
        <x:v>0.210461</x:v>
      </x:c>
      <x:c r="J214" s="50" t="n">
        <x:v>0.838137</x:v>
      </x:c>
      <x:c r="K214" s="50" t="n">
        <x:v>0.228373</x:v>
      </x:c>
      <x:c r="L214" s="47" t="n">
        <x:v>612</x:v>
      </x:c>
      <x:c r="M214" s="47" t="n">
        <x:v>792</x:v>
      </x:c>
      <x:c r="N214" s="28" t="str">
        <x:v>top-left</x:v>
      </x:c>
      <x:c r="O214" s="28" t="str">
        <x:v>PDF points</x:v>
      </x:c>
    </x:row>
    <x:row r="215" ht="22" customHeight="1">
      <x:c r="A215" s="28" t="str">
        <x:v>ANC-CAM-046-01-R20</x:v>
      </x:c>
      <x:c r="B215" s="28" t="str">
        <x:v>ANC-CAM-046-01</x:v>
      </x:c>
      <x:c r="C215" s="28" t="n">
        <x:v>12</x:v>
      </x:c>
      <x:c r="D215" s="47" t="n">
        <x:v>395.28</x:v>
      </x:c>
      <x:c r="E215" s="47" t="n">
        <x:v>180.121</x:v>
      </x:c>
      <x:c r="F215" s="47" t="n">
        <x:v>539.956</x:v>
      </x:c>
      <x:c r="G215" s="47" t="n">
        <x:v>194.307</x:v>
      </x:c>
      <x:c r="H215" s="50" t="n">
        <x:v>0.645882</x:v>
      </x:c>
      <x:c r="I215" s="50" t="n">
        <x:v>0.227425</x:v>
      </x:c>
      <x:c r="J215" s="50" t="n">
        <x:v>0.882281</x:v>
      </x:c>
      <x:c r="K215" s="50" t="n">
        <x:v>0.245338</x:v>
      </x:c>
      <x:c r="L215" s="47" t="n">
        <x:v>612</x:v>
      </x:c>
      <x:c r="M215" s="47" t="n">
        <x:v>792</x:v>
      </x:c>
      <x:c r="N215" s="28" t="str">
        <x:v>top-left</x:v>
      </x:c>
      <x:c r="O215" s="28" t="str">
        <x:v>PDF points</x:v>
      </x:c>
    </x:row>
    <x:row r="216" ht="22" customHeight="1">
      <x:c r="A216" s="28" t="str">
        <x:v>ANC-CAM-046-01-R21</x:v>
      </x:c>
      <x:c r="B216" s="28" t="str">
        <x:v>ANC-CAM-046-01</x:v>
      </x:c>
      <x:c r="C216" s="28" t="n">
        <x:v>12</x:v>
      </x:c>
      <x:c r="D216" s="47" t="n">
        <x:v>77.64</x:v>
      </x:c>
      <x:c r="E216" s="47" t="n">
        <x:v>247.69</x:v>
      </x:c>
      <x:c r="F216" s="47" t="n">
        <x:v>170.237</x:v>
      </x:c>
      <x:c r="G216" s="47" t="n">
        <x:v>261.876</x:v>
      </x:c>
      <x:c r="H216" s="50" t="n">
        <x:v>0.126863</x:v>
      </x:c>
      <x:c r="I216" s="50" t="n">
        <x:v>0.312739</x:v>
      </x:c>
      <x:c r="J216" s="50" t="n">
        <x:v>0.278164</x:v>
      </x:c>
      <x:c r="K216" s="50" t="n">
        <x:v>0.330652</x:v>
      </x:c>
      <x:c r="L216" s="47" t="n">
        <x:v>612</x:v>
      </x:c>
      <x:c r="M216" s="47" t="n">
        <x:v>792</x:v>
      </x:c>
      <x:c r="N216" s="28" t="str">
        <x:v>top-left</x:v>
      </x:c>
      <x:c r="O216" s="28" t="str">
        <x:v>PDF points</x:v>
      </x:c>
    </x:row>
    <x:row r="217" ht="22" customHeight="1">
      <x:c r="A217" s="28" t="str">
        <x:v>ANC-CAM-046-01-R22</x:v>
      </x:c>
      <x:c r="B217" s="28" t="str">
        <x:v>ANC-CAM-046-01</x:v>
      </x:c>
      <x:c r="C217" s="28" t="n">
        <x:v>12</x:v>
      </x:c>
      <x:c r="D217" s="47" t="n">
        <x:v>77.64</x:v>
      </x:c>
      <x:c r="E217" s="47" t="n">
        <x:v>261.13</x:v>
      </x:c>
      <x:c r="F217" s="47" t="n">
        <x:v>187.873</x:v>
      </x:c>
      <x:c r="G217" s="47" t="n">
        <x:v>275.316</x:v>
      </x:c>
      <x:c r="H217" s="50" t="n">
        <x:v>0.126863</x:v>
      </x:c>
      <x:c r="I217" s="50" t="n">
        <x:v>0.329709</x:v>
      </x:c>
      <x:c r="J217" s="50" t="n">
        <x:v>0.306982</x:v>
      </x:c>
      <x:c r="K217" s="50" t="n">
        <x:v>0.347621</x:v>
      </x:c>
      <x:c r="L217" s="47" t="n">
        <x:v>612</x:v>
      </x:c>
      <x:c r="M217" s="47" t="n">
        <x:v>792</x:v>
      </x:c>
      <x:c r="N217" s="28" t="str">
        <x:v>top-left</x:v>
      </x:c>
      <x:c r="O217" s="28" t="str">
        <x:v>PDF points</x:v>
      </x:c>
    </x:row>
    <x:row r="218" ht="22" customHeight="1">
      <x:c r="A218" s="28" t="str">
        <x:v>ANC-CAM-046-01-R23</x:v>
      </x:c>
      <x:c r="B218" s="28" t="str">
        <x:v>ANC-CAM-046-01</x:v>
      </x:c>
      <x:c r="C218" s="28" t="n">
        <x:v>12</x:v>
      </x:c>
      <x:c r="D218" s="47" t="n">
        <x:v>77.64</x:v>
      </x:c>
      <x:c r="E218" s="47" t="n">
        <x:v>274.565</x:v>
      </x:c>
      <x:c r="F218" s="47" t="n">
        <x:v>157.499</x:v>
      </x:c>
      <x:c r="G218" s="47" t="n">
        <x:v>288.752</x:v>
      </x:c>
      <x:c r="H218" s="50" t="n">
        <x:v>0.126863</x:v>
      </x:c>
      <x:c r="I218" s="50" t="n">
        <x:v>0.346673</x:v>
      </x:c>
      <x:c r="J218" s="50" t="n">
        <x:v>0.257351</x:v>
      </x:c>
      <x:c r="K218" s="50" t="n">
        <x:v>0.364585</x:v>
      </x:c>
      <x:c r="L218" s="47" t="n">
        <x:v>612</x:v>
      </x:c>
      <x:c r="M218" s="47" t="n">
        <x:v>792</x:v>
      </x:c>
      <x:c r="N218" s="28" t="str">
        <x:v>top-left</x:v>
      </x:c>
      <x:c r="O218" s="28" t="str">
        <x:v>PDF points</x:v>
      </x:c>
    </x:row>
    <x:row r="219" ht="22" customHeight="1">
      <x:c r="A219" s="28" t="str">
        <x:v>ANC-CAM-046-01-R24</x:v>
      </x:c>
      <x:c r="B219" s="28" t="str">
        <x:v>ANC-CAM-046-01</x:v>
      </x:c>
      <x:c r="C219" s="28" t="n">
        <x:v>12</x:v>
      </x:c>
      <x:c r="D219" s="47" t="n">
        <x:v>77.64</x:v>
      </x:c>
      <x:c r="E219" s="47" t="n">
        <x:v>288.001</x:v>
      </x:c>
      <x:c r="F219" s="47" t="n">
        <x:v>119.603</x:v>
      </x:c>
      <x:c r="G219" s="47" t="n">
        <x:v>302.187</x:v>
      </x:c>
      <x:c r="H219" s="50" t="n">
        <x:v>0.126863</x:v>
      </x:c>
      <x:c r="I219" s="50" t="n">
        <x:v>0.363638</x:v>
      </x:c>
      <x:c r="J219" s="50" t="n">
        <x:v>0.19543</x:v>
      </x:c>
      <x:c r="K219" s="50" t="n">
        <x:v>0.38155</x:v>
      </x:c>
      <x:c r="L219" s="47" t="n">
        <x:v>612</x:v>
      </x:c>
      <x:c r="M219" s="47" t="n">
        <x:v>792</x:v>
      </x:c>
      <x:c r="N219" s="28" t="str">
        <x:v>top-left</x:v>
      </x:c>
      <x:c r="O219" s="28" t="str">
        <x:v>PDF points</x:v>
      </x:c>
    </x:row>
    <x:row r="220" ht="22" customHeight="1">
      <x:c r="A220" s="28" t="str">
        <x:v>ANC-CAM-046-01-R25</x:v>
      </x:c>
      <x:c r="B220" s="28" t="str">
        <x:v>ANC-CAM-046-01</x:v>
      </x:c>
      <x:c r="C220" s="28" t="n">
        <x:v>12</x:v>
      </x:c>
      <x:c r="D220" s="47" t="n">
        <x:v>209.16</x:v>
      </x:c>
      <x:c r="E220" s="47" t="n">
        <x:v>247.69</x:v>
      </x:c>
      <x:c r="F220" s="47" t="n">
        <x:v>212.914</x:v>
      </x:c>
      <x:c r="G220" s="47" t="n">
        <x:v>261.876</x:v>
      </x:c>
      <x:c r="H220" s="50" t="n">
        <x:v>0.341765</x:v>
      </x:c>
      <x:c r="I220" s="50" t="n">
        <x:v>0.312739</x:v>
      </x:c>
      <x:c r="J220" s="50" t="n">
        <x:v>0.347898</x:v>
      </x:c>
      <x:c r="K220" s="50" t="n">
        <x:v>0.330652</x:v>
      </x:c>
      <x:c r="L220" s="47" t="n">
        <x:v>612</x:v>
      </x:c>
      <x:c r="M220" s="47" t="n">
        <x:v>792</x:v>
      </x:c>
      <x:c r="N220" s="28" t="str">
        <x:v>top-left</x:v>
      </x:c>
      <x:c r="O220" s="28" t="str">
        <x:v>PDF points</x:v>
      </x:c>
    </x:row>
    <x:row r="221" ht="22" customHeight="1">
      <x:c r="A221" s="28" t="str">
        <x:v>ANC-CAM-046-01-R26</x:v>
      </x:c>
      <x:c r="B221" s="28" t="str">
        <x:v>ANC-CAM-046-01</x:v>
      </x:c>
      <x:c r="C221" s="28" t="n">
        <x:v>12</x:v>
      </x:c>
      <x:c r="D221" s="47" t="n">
        <x:v>227.16</x:v>
      </x:c>
      <x:c r="E221" s="47" t="n">
        <x:v>247.69</x:v>
      </x:c>
      <x:c r="F221" s="47" t="n">
        <x:v>299.577</x:v>
      </x:c>
      <x:c r="G221" s="47" t="n">
        <x:v>261.876</x:v>
      </x:c>
      <x:c r="H221" s="50" t="n">
        <x:v>0.371176</x:v>
      </x:c>
      <x:c r="I221" s="50" t="n">
        <x:v>0.312739</x:v>
      </x:c>
      <x:c r="J221" s="50" t="n">
        <x:v>0.489505</x:v>
      </x:c>
      <x:c r="K221" s="50" t="n">
        <x:v>0.330652</x:v>
      </x:c>
      <x:c r="L221" s="47" t="n">
        <x:v>612</x:v>
      </x:c>
      <x:c r="M221" s="47" t="n">
        <x:v>792</x:v>
      </x:c>
      <x:c r="N221" s="28" t="str">
        <x:v>top-left</x:v>
      </x:c>
      <x:c r="O221" s="28" t="str">
        <x:v>PDF points</x:v>
      </x:c>
    </x:row>
    <x:row r="222" ht="22" customHeight="1">
      <x:c r="A222" s="28" t="str">
        <x:v>ANC-CAM-046-01-R27</x:v>
      </x:c>
      <x:c r="B222" s="28" t="str">
        <x:v>ANC-CAM-046-01</x:v>
      </x:c>
      <x:c r="C222" s="28" t="n">
        <x:v>12</x:v>
      </x:c>
      <x:c r="D222" s="47" t="n">
        <x:v>227.16</x:v>
      </x:c>
      <x:c r="E222" s="47" t="n">
        <x:v>261.13</x:v>
      </x:c>
      <x:c r="F222" s="47" t="n">
        <x:v>332.725</x:v>
      </x:c>
      <x:c r="G222" s="47" t="n">
        <x:v>275.316</x:v>
      </x:c>
      <x:c r="H222" s="50" t="n">
        <x:v>0.371176</x:v>
      </x:c>
      <x:c r="I222" s="50" t="n">
        <x:v>0.329709</x:v>
      </x:c>
      <x:c r="J222" s="50" t="n">
        <x:v>0.543668</x:v>
      </x:c>
      <x:c r="K222" s="50" t="n">
        <x:v>0.347621</x:v>
      </x:c>
      <x:c r="L222" s="47" t="n">
        <x:v>612</x:v>
      </x:c>
      <x:c r="M222" s="47" t="n">
        <x:v>792</x:v>
      </x:c>
      <x:c r="N222" s="28" t="str">
        <x:v>top-left</x:v>
      </x:c>
      <x:c r="O222" s="28" t="str">
        <x:v>PDF points</x:v>
      </x:c>
    </x:row>
    <x:row r="223" ht="22" customHeight="1">
      <x:c r="A223" s="28" t="str">
        <x:v>ANC-CAM-046-01-R28</x:v>
      </x:c>
      <x:c r="B223" s="28" t="str">
        <x:v>ANC-CAM-046-01</x:v>
      </x:c>
      <x:c r="C223" s="28" t="n">
        <x:v>12</x:v>
      </x:c>
      <x:c r="D223" s="47" t="n">
        <x:v>227.16</x:v>
      </x:c>
      <x:c r="E223" s="47" t="n">
        <x:v>274.565</x:v>
      </x:c>
      <x:c r="F223" s="47" t="n">
        <x:v>321.407</x:v>
      </x:c>
      <x:c r="G223" s="47" t="n">
        <x:v>288.752</x:v>
      </x:c>
      <x:c r="H223" s="50" t="n">
        <x:v>0.371176</x:v>
      </x:c>
      <x:c r="I223" s="50" t="n">
        <x:v>0.346673</x:v>
      </x:c>
      <x:c r="J223" s="50" t="n">
        <x:v>0.525175</x:v>
      </x:c>
      <x:c r="K223" s="50" t="n">
        <x:v>0.364585</x:v>
      </x:c>
      <x:c r="L223" s="47" t="n">
        <x:v>612</x:v>
      </x:c>
      <x:c r="M223" s="47" t="n">
        <x:v>792</x:v>
      </x:c>
      <x:c r="N223" s="28" t="str">
        <x:v>top-left</x:v>
      </x:c>
      <x:c r="O223" s="28" t="str">
        <x:v>PDF points</x:v>
      </x:c>
    </x:row>
    <x:row r="224" ht="22" customHeight="1">
      <x:c r="A224" s="28" t="str">
        <x:v>ANC-CAM-046-01-R29</x:v>
      </x:c>
      <x:c r="B224" s="28" t="str">
        <x:v>ANC-CAM-046-01</x:v>
      </x:c>
      <x:c r="C224" s="28" t="n">
        <x:v>12</x:v>
      </x:c>
      <x:c r="D224" s="47" t="n">
        <x:v>377.28</x:v>
      </x:c>
      <x:c r="E224" s="47" t="n">
        <x:v>247.69</x:v>
      </x:c>
      <x:c r="F224" s="47" t="n">
        <x:v>381.034</x:v>
      </x:c>
      <x:c r="G224" s="47" t="n">
        <x:v>261.876</x:v>
      </x:c>
      <x:c r="H224" s="50" t="n">
        <x:v>0.616471</x:v>
      </x:c>
      <x:c r="I224" s="50" t="n">
        <x:v>0.312739</x:v>
      </x:c>
      <x:c r="J224" s="50" t="n">
        <x:v>0.622604</x:v>
      </x:c>
      <x:c r="K224" s="50" t="n">
        <x:v>0.330652</x:v>
      </x:c>
      <x:c r="L224" s="47" t="n">
        <x:v>612</x:v>
      </x:c>
      <x:c r="M224" s="47" t="n">
        <x:v>792</x:v>
      </x:c>
      <x:c r="N224" s="28" t="str">
        <x:v>top-left</x:v>
      </x:c>
      <x:c r="O224" s="28" t="str">
        <x:v>PDF points</x:v>
      </x:c>
    </x:row>
    <x:row r="225" ht="22" customHeight="1">
      <x:c r="A225" s="28" t="str">
        <x:v>ANC-CAM-046-01-R30</x:v>
      </x:c>
      <x:c r="B225" s="28" t="str">
        <x:v>ANC-CAM-046-01</x:v>
      </x:c>
      <x:c r="C225" s="28" t="n">
        <x:v>12</x:v>
      </x:c>
      <x:c r="D225" s="47" t="n">
        <x:v>395.28</x:v>
      </x:c>
      <x:c r="E225" s="47" t="n">
        <x:v>247.69</x:v>
      </x:c>
      <x:c r="F225" s="47" t="n">
        <x:v>471.552</x:v>
      </x:c>
      <x:c r="G225" s="47" t="n">
        <x:v>261.876</x:v>
      </x:c>
      <x:c r="H225" s="50" t="n">
        <x:v>0.645882</x:v>
      </x:c>
      <x:c r="I225" s="50" t="n">
        <x:v>0.312739</x:v>
      </x:c>
      <x:c r="J225" s="50" t="n">
        <x:v>0.77051</x:v>
      </x:c>
      <x:c r="K225" s="50" t="n">
        <x:v>0.330652</x:v>
      </x:c>
      <x:c r="L225" s="47" t="n">
        <x:v>612</x:v>
      </x:c>
      <x:c r="M225" s="47" t="n">
        <x:v>792</x:v>
      </x:c>
      <x:c r="N225" s="28" t="str">
        <x:v>top-left</x:v>
      </x:c>
      <x:c r="O225" s="28" t="str">
        <x:v>PDF points</x:v>
      </x:c>
    </x:row>
    <x:row r="226" ht="22" customHeight="1">
      <x:c r="A226" s="28" t="str">
        <x:v>ANC-CAM-046-01-R31</x:v>
      </x:c>
      <x:c r="B226" s="28" t="str">
        <x:v>ANC-CAM-046-01</x:v>
      </x:c>
      <x:c r="C226" s="28" t="n">
        <x:v>12</x:v>
      </x:c>
      <x:c r="D226" s="47" t="n">
        <x:v>395.28</x:v>
      </x:c>
      <x:c r="E226" s="47" t="n">
        <x:v>261.13</x:v>
      </x:c>
      <x:c r="F226" s="47" t="n">
        <x:v>517.636</x:v>
      </x:c>
      <x:c r="G226" s="47" t="n">
        <x:v>275.316</x:v>
      </x:c>
      <x:c r="H226" s="50" t="n">
        <x:v>0.645882</x:v>
      </x:c>
      <x:c r="I226" s="50" t="n">
        <x:v>0.329709</x:v>
      </x:c>
      <x:c r="J226" s="50" t="n">
        <x:v>0.845811</x:v>
      </x:c>
      <x:c r="K226" s="50" t="n">
        <x:v>0.347621</x:v>
      </x:c>
      <x:c r="L226" s="47" t="n">
        <x:v>612</x:v>
      </x:c>
      <x:c r="M226" s="47" t="n">
        <x:v>792</x:v>
      </x:c>
      <x:c r="N226" s="28" t="str">
        <x:v>top-left</x:v>
      </x:c>
      <x:c r="O226" s="28" t="str">
        <x:v>PDF points</x:v>
      </x:c>
    </x:row>
    <x:row r="227" ht="22" customHeight="1">
      <x:c r="A227" s="28" t="str">
        <x:v>ANC-CAM-046-01-R32</x:v>
      </x:c>
      <x:c r="B227" s="28" t="str">
        <x:v>ANC-CAM-046-01</x:v>
      </x:c>
      <x:c r="C227" s="28" t="n">
        <x:v>12</x:v>
      </x:c>
      <x:c r="D227" s="47" t="n">
        <x:v>395.28</x:v>
      </x:c>
      <x:c r="E227" s="47" t="n">
        <x:v>274.565</x:v>
      </x:c>
      <x:c r="F227" s="47" t="n">
        <x:v>502.61</x:v>
      </x:c>
      <x:c r="G227" s="47" t="n">
        <x:v>288.752</x:v>
      </x:c>
      <x:c r="H227" s="50" t="n">
        <x:v>0.645882</x:v>
      </x:c>
      <x:c r="I227" s="50" t="n">
        <x:v>0.346673</x:v>
      </x:c>
      <x:c r="J227" s="50" t="n">
        <x:v>0.821258</x:v>
      </x:c>
      <x:c r="K227" s="50" t="n">
        <x:v>0.364585</x:v>
      </x:c>
      <x:c r="L227" s="47" t="n">
        <x:v>612</x:v>
      </x:c>
      <x:c r="M227" s="47" t="n">
        <x:v>792</x:v>
      </x:c>
      <x:c r="N227" s="28" t="str">
        <x:v>top-left</x:v>
      </x:c>
      <x:c r="O227" s="28" t="str">
        <x:v>PDF points</x:v>
      </x:c>
    </x:row>
    <x:row r="228" ht="22" customHeight="1">
      <x:c r="A228" s="28" t="str">
        <x:v>ANC-CAM-047-01-R01</x:v>
      </x:c>
      <x:c r="B228" s="28" t="str">
        <x:v>ANC-CAM-047-01</x:v>
      </x:c>
      <x:c r="C228" s="28" t="n">
        <x:v>12</x:v>
      </x:c>
      <x:c r="D228" s="47" t="n">
        <x:v>395.28</x:v>
      </x:c>
      <x:c r="E228" s="47" t="n">
        <x:v>261.13</x:v>
      </x:c>
      <x:c r="F228" s="47" t="n">
        <x:v>517.636</x:v>
      </x:c>
      <x:c r="G228" s="47" t="n">
        <x:v>275.316</x:v>
      </x:c>
      <x:c r="H228" s="50" t="n">
        <x:v>0.645882</x:v>
      </x:c>
      <x:c r="I228" s="50" t="n">
        <x:v>0.329709</x:v>
      </x:c>
      <x:c r="J228" s="50" t="n">
        <x:v>0.845811</x:v>
      </x:c>
      <x:c r="K228" s="50" t="n">
        <x:v>0.347621</x:v>
      </x:c>
      <x:c r="L228" s="47" t="n">
        <x:v>612</x:v>
      </x:c>
      <x:c r="M228" s="47" t="n">
        <x:v>792</x:v>
      </x:c>
      <x:c r="N228" s="28" t="str">
        <x:v>top-left</x:v>
      </x:c>
      <x:c r="O228" s="28" t="str">
        <x:v>PDF points</x:v>
      </x:c>
    </x:row>
    <x:row r="229" ht="22" customHeight="1">
      <x:c r="A229" s="28" t="str">
        <x:v>ANC-CAM-048-01-R01</x:v>
      </x:c>
      <x:c r="B229" s="28" t="str">
        <x:v>ANC-CAM-048-01</x:v>
      </x:c>
      <x:c r="C229" s="28" t="n">
        <x:v>12</x:v>
      </x:c>
      <x:c r="D229" s="47" t="n">
        <x:v>227.16</x:v>
      </x:c>
      <x:c r="E229" s="47" t="n">
        <x:v>395.89</x:v>
      </x:c>
      <x:c r="F229" s="47" t="n">
        <x:v>327.897</x:v>
      </x:c>
      <x:c r="G229" s="47" t="n">
        <x:v>410.076</x:v>
      </x:c>
      <x:c r="H229" s="50" t="n">
        <x:v>0.371176</x:v>
      </x:c>
      <x:c r="I229" s="50" t="n">
        <x:v>0.499861</x:v>
      </x:c>
      <x:c r="J229" s="50" t="n">
        <x:v>0.535779</x:v>
      </x:c>
      <x:c r="K229" s="50" t="n">
        <x:v>0.517773</x:v>
      </x:c>
      <x:c r="L229" s="47" t="n">
        <x:v>612</x:v>
      </x:c>
      <x:c r="M229" s="47" t="n">
        <x:v>792</x:v>
      </x:c>
      <x:c r="N229" s="28" t="str">
        <x:v>top-left</x:v>
      </x:c>
      <x:c r="O229" s="28" t="str">
        <x:v>PDF points</x:v>
      </x:c>
    </x:row>
    <x:row r="230" ht="22" customHeight="1">
      <x:c r="A230" s="28" t="str">
        <x:v>ANC-CAM-048-01-R02</x:v>
      </x:c>
      <x:c r="B230" s="28" t="str">
        <x:v>ANC-CAM-048-01</x:v>
      </x:c>
      <x:c r="C230" s="28" t="n">
        <x:v>12</x:v>
      </x:c>
      <x:c r="D230" s="47" t="n">
        <x:v>227.16</x:v>
      </x:c>
      <x:c r="E230" s="47" t="n">
        <x:v>409.325</x:v>
      </x:c>
      <x:c r="F230" s="47" t="n">
        <x:v>347.605</x:v>
      </x:c>
      <x:c r="G230" s="47" t="n">
        <x:v>423.512</x:v>
      </x:c>
      <x:c r="H230" s="50" t="n">
        <x:v>0.371176</x:v>
      </x:c>
      <x:c r="I230" s="50" t="n">
        <x:v>0.516825</x:v>
      </x:c>
      <x:c r="J230" s="50" t="n">
        <x:v>0.567983</x:v>
      </x:c>
      <x:c r="K230" s="50" t="n">
        <x:v>0.534737</x:v>
      </x:c>
      <x:c r="L230" s="47" t="n">
        <x:v>612</x:v>
      </x:c>
      <x:c r="M230" s="47" t="n">
        <x:v>792</x:v>
      </x:c>
      <x:c r="N230" s="28" t="str">
        <x:v>top-left</x:v>
      </x:c>
      <x:c r="O230" s="28" t="str">
        <x:v>PDF points</x:v>
      </x:c>
    </x:row>
    <x:row r="231" ht="22" customHeight="1">
      <x:c r="A231" s="28" t="str">
        <x:v>ANC-CAM-048-01-R03</x:v>
      </x:c>
      <x:c r="B231" s="28" t="str">
        <x:v>ANC-CAM-048-01</x:v>
      </x:c>
      <x:c r="C231" s="28" t="n">
        <x:v>12</x:v>
      </x:c>
      <x:c r="D231" s="47" t="n">
        <x:v>227.16</x:v>
      </x:c>
      <x:c r="E231" s="47" t="n">
        <x:v>422.761</x:v>
      </x:c>
      <x:c r="F231" s="47" t="n">
        <x:v>283.516</x:v>
      </x:c>
      <x:c r="G231" s="47" t="n">
        <x:v>436.947</x:v>
      </x:c>
      <x:c r="H231" s="50" t="n">
        <x:v>0.371176</x:v>
      </x:c>
      <x:c r="I231" s="50" t="n">
        <x:v>0.533789</x:v>
      </x:c>
      <x:c r="J231" s="50" t="n">
        <x:v>0.463261</x:v>
      </x:c>
      <x:c r="K231" s="50" t="n">
        <x:v>0.551701</x:v>
      </x:c>
      <x:c r="L231" s="47" t="n">
        <x:v>612</x:v>
      </x:c>
      <x:c r="M231" s="47" t="n">
        <x:v>792</x:v>
      </x:c>
      <x:c r="N231" s="28" t="str">
        <x:v>top-left</x:v>
      </x:c>
      <x:c r="O231" s="28" t="str">
        <x:v>PDF points</x:v>
      </x:c>
    </x:row>
    <x:row r="232" ht="22" customHeight="1">
      <x:c r="A232" s="28" t="str">
        <x:v>ANC-CAM-049-01-R01</x:v>
      </x:c>
      <x:c r="B232" s="28" t="str">
        <x:v>ANC-CAM-049-01</x:v>
      </x:c>
      <x:c r="C232" s="28" t="n">
        <x:v>12</x:v>
      </x:c>
      <x:c r="D232" s="47" t="n">
        <x:v>227.155</x:v>
      </x:c>
      <x:c r="E232" s="47" t="n">
        <x:v>449.645</x:v>
      </x:c>
      <x:c r="F232" s="47" t="n">
        <x:v>358.838</x:v>
      </x:c>
      <x:c r="G232" s="47" t="n">
        <x:v>463.832</x:v>
      </x:c>
      <x:c r="H232" s="50" t="n">
        <x:v>0.371169</x:v>
      </x:c>
      <x:c r="I232" s="50" t="n">
        <x:v>0.567734</x:v>
      </x:c>
      <x:c r="J232" s="50" t="n">
        <x:v>0.586337</x:v>
      </x:c>
      <x:c r="K232" s="50" t="n">
        <x:v>0.585646</x:v>
      </x:c>
      <x:c r="L232" s="47" t="n">
        <x:v>612</x:v>
      </x:c>
      <x:c r="M232" s="47" t="n">
        <x:v>792</x:v>
      </x:c>
      <x:c r="N232" s="28" t="str">
        <x:v>top-left</x:v>
      </x:c>
      <x:c r="O232" s="28" t="str">
        <x:v>PDF points</x:v>
      </x:c>
    </x:row>
    <x:row r="233" ht="22" customHeight="1">
      <x:c r="A233" s="28" t="str">
        <x:v>ANC-CAM-050-01-R01</x:v>
      </x:c>
      <x:c r="B233" s="28" t="str">
        <x:v>ANC-CAM-050-01</x:v>
      </x:c>
      <x:c r="C233" s="28" t="n">
        <x:v>12</x:v>
      </x:c>
      <x:c r="D233" s="47" t="n">
        <x:v>395.28</x:v>
      </x:c>
      <x:c r="E233" s="47" t="n">
        <x:v>382.45</x:v>
      </x:c>
      <x:c r="F233" s="47" t="n">
        <x:v>521.198</x:v>
      </x:c>
      <x:c r="G233" s="47" t="n">
        <x:v>396.636</x:v>
      </x:c>
      <x:c r="H233" s="50" t="n">
        <x:v>0.645882</x:v>
      </x:c>
      <x:c r="I233" s="50" t="n">
        <x:v>0.482891</x:v>
      </x:c>
      <x:c r="J233" s="50" t="n">
        <x:v>0.85163</x:v>
      </x:c>
      <x:c r="K233" s="50" t="n">
        <x:v>0.500803</x:v>
      </x:c>
      <x:c r="L233" s="47" t="n">
        <x:v>612</x:v>
      </x:c>
      <x:c r="M233" s="47" t="n">
        <x:v>792</x:v>
      </x:c>
      <x:c r="N233" s="28" t="str">
        <x:v>top-left</x:v>
      </x:c>
      <x:c r="O233" s="28" t="str">
        <x:v>PDF points</x:v>
      </x:c>
    </x:row>
    <x:row r="234" ht="22" customHeight="1">
      <x:c r="A234" s="28" t="str">
        <x:v>ANC-CAM-050-01-R02</x:v>
      </x:c>
      <x:c r="B234" s="28" t="str">
        <x:v>ANC-CAM-050-01</x:v>
      </x:c>
      <x:c r="C234" s="28" t="n">
        <x:v>12</x:v>
      </x:c>
      <x:c r="D234" s="47" t="n">
        <x:v>395.28</x:v>
      </x:c>
      <x:c r="E234" s="47" t="n">
        <x:v>395.89</x:v>
      </x:c>
      <x:c r="F234" s="47" t="n">
        <x:v>542.682</x:v>
      </x:c>
      <x:c r="G234" s="47" t="n">
        <x:v>410.076</x:v>
      </x:c>
      <x:c r="H234" s="50" t="n">
        <x:v>0.645882</x:v>
      </x:c>
      <x:c r="I234" s="50" t="n">
        <x:v>0.499861</x:v>
      </x:c>
      <x:c r="J234" s="50" t="n">
        <x:v>0.886735</x:v>
      </x:c>
      <x:c r="K234" s="50" t="n">
        <x:v>0.517773</x:v>
      </x:c>
      <x:c r="L234" s="47" t="n">
        <x:v>612</x:v>
      </x:c>
      <x:c r="M234" s="47" t="n">
        <x:v>792</x:v>
      </x:c>
      <x:c r="N234" s="28" t="str">
        <x:v>top-left</x:v>
      </x:c>
      <x:c r="O234" s="28" t="str">
        <x:v>PDF points</x:v>
      </x:c>
    </x:row>
    <x:row r="235" ht="22" customHeight="1">
      <x:c r="A235" s="28" t="str">
        <x:v>ANC-CAM-050-01-R03</x:v>
      </x:c>
      <x:c r="B235" s="28" t="str">
        <x:v>ANC-CAM-050-01</x:v>
      </x:c>
      <x:c r="C235" s="28" t="n">
        <x:v>12</x:v>
      </x:c>
      <x:c r="D235" s="47" t="n">
        <x:v>395.28</x:v>
      </x:c>
      <x:c r="E235" s="47" t="n">
        <x:v>409.325</x:v>
      </x:c>
      <x:c r="F235" s="47" t="n">
        <x:v>525.665</x:v>
      </x:c>
      <x:c r="G235" s="47" t="n">
        <x:v>423.512</x:v>
      </x:c>
      <x:c r="H235" s="50" t="n">
        <x:v>0.645882</x:v>
      </x:c>
      <x:c r="I235" s="50" t="n">
        <x:v>0.516825</x:v>
      </x:c>
      <x:c r="J235" s="50" t="n">
        <x:v>0.858929</x:v>
      </x:c>
      <x:c r="K235" s="50" t="n">
        <x:v>0.534737</x:v>
      </x:c>
      <x:c r="L235" s="47" t="n">
        <x:v>612</x:v>
      </x:c>
      <x:c r="M235" s="47" t="n">
        <x:v>792</x:v>
      </x:c>
      <x:c r="N235" s="28" t="str">
        <x:v>top-left</x:v>
      </x:c>
      <x:c r="O235" s="28" t="str">
        <x:v>PDF points</x:v>
      </x:c>
    </x:row>
    <x:row r="236" ht="22" customHeight="1">
      <x:c r="A236" s="28" t="str">
        <x:v>ANC-CAM-051-01-R01</x:v>
      </x:c>
      <x:c r="B236" s="28" t="str">
        <x:v>ANC-CAM-051-01</x:v>
      </x:c>
      <x:c r="C236" s="28" t="n">
        <x:v>12</x:v>
      </x:c>
      <x:c r="D236" s="47" t="n">
        <x:v>227.16</x:v>
      </x:c>
      <x:c r="E236" s="47" t="n">
        <x:v>571.45</x:v>
      </x:c>
      <x:c r="F236" s="47" t="n">
        <x:v>355.504</x:v>
      </x:c>
      <x:c r="G236" s="47" t="n">
        <x:v>585.636</x:v>
      </x:c>
      <x:c r="H236" s="50" t="n">
        <x:v>0.371176</x:v>
      </x:c>
      <x:c r="I236" s="50" t="n">
        <x:v>0.721527</x:v>
      </x:c>
      <x:c r="J236" s="50" t="n">
        <x:v>0.58089</x:v>
      </x:c>
      <x:c r="K236" s="50" t="n">
        <x:v>0.739439</x:v>
      </x:c>
      <x:c r="L236" s="47" t="n">
        <x:v>612</x:v>
      </x:c>
      <x:c r="M236" s="47" t="n">
        <x:v>792</x:v>
      </x:c>
      <x:c r="N236" s="28" t="str">
        <x:v>top-left</x:v>
      </x:c>
      <x:c r="O236" s="28" t="str">
        <x:v>PDF points</x:v>
      </x:c>
    </x:row>
    <x:row r="237" ht="22" customHeight="1">
      <x:c r="A237" s="28" t="str">
        <x:v>ANC-CAM-051-01-R02</x:v>
      </x:c>
      <x:c r="B237" s="28" t="str">
        <x:v>ANC-CAM-051-01</x:v>
      </x:c>
      <x:c r="C237" s="28" t="n">
        <x:v>12</x:v>
      </x:c>
      <x:c r="D237" s="47" t="n">
        <x:v>227.16</x:v>
      </x:c>
      <x:c r="E237" s="47" t="n">
        <x:v>584.89</x:v>
      </x:c>
      <x:c r="F237" s="47" t="n">
        <x:v>334.503</x:v>
      </x:c>
      <x:c r="G237" s="47" t="n">
        <x:v>599.076</x:v>
      </x:c>
      <x:c r="H237" s="50" t="n">
        <x:v>0.371176</x:v>
      </x:c>
      <x:c r="I237" s="50" t="n">
        <x:v>0.738497</x:v>
      </x:c>
      <x:c r="J237" s="50" t="n">
        <x:v>0.546574</x:v>
      </x:c>
      <x:c r="K237" s="50" t="n">
        <x:v>0.756409</x:v>
      </x:c>
      <x:c r="L237" s="47" t="n">
        <x:v>612</x:v>
      </x:c>
      <x:c r="M237" s="47" t="n">
        <x:v>792</x:v>
      </x:c>
      <x:c r="N237" s="28" t="str">
        <x:v>top-left</x:v>
      </x:c>
      <x:c r="O237" s="28" t="str">
        <x:v>PDF points</x:v>
      </x:c>
    </x:row>
    <x:row r="238" ht="22" customHeight="1">
      <x:c r="A238" s="28" t="str">
        <x:v>ANC-CAM-051-01-R03</x:v>
      </x:c>
      <x:c r="B238" s="28" t="str">
        <x:v>ANC-CAM-051-01</x:v>
      </x:c>
      <x:c r="C238" s="28" t="n">
        <x:v>12</x:v>
      </x:c>
      <x:c r="D238" s="47" t="n">
        <x:v>227.16</x:v>
      </x:c>
      <x:c r="E238" s="47" t="n">
        <x:v>598.325</x:v>
      </x:c>
      <x:c r="F238" s="47" t="n">
        <x:v>259.764</x:v>
      </x:c>
      <x:c r="G238" s="47" t="n">
        <x:v>612.512</x:v>
      </x:c>
      <x:c r="H238" s="50" t="n">
        <x:v>0.371176</x:v>
      </x:c>
      <x:c r="I238" s="50" t="n">
        <x:v>0.755461</x:v>
      </x:c>
      <x:c r="J238" s="50" t="n">
        <x:v>0.424452</x:v>
      </x:c>
      <x:c r="K238" s="50" t="n">
        <x:v>0.773373</x:v>
      </x:c>
      <x:c r="L238" s="47" t="n">
        <x:v>612</x:v>
      </x:c>
      <x:c r="M238" s="47" t="n">
        <x:v>792</x:v>
      </x:c>
      <x:c r="N238" s="28" t="str">
        <x:v>top-left</x:v>
      </x:c>
      <x:c r="O238" s="28" t="str">
        <x:v>PDF points</x:v>
      </x:c>
    </x:row>
    <x:row r="239" ht="22" customHeight="1">
      <x:c r="A239" s="28" t="str">
        <x:v>ANC-CAM-052-01-R01</x:v>
      </x:c>
      <x:c r="B239" s="28" t="str">
        <x:v>ANC-CAM-052-01</x:v>
      </x:c>
      <x:c r="C239" s="28" t="n">
        <x:v>12</x:v>
      </x:c>
      <x:c r="D239" s="47" t="n">
        <x:v>77.629</x:v>
      </x:c>
      <x:c r="E239" s="47" t="n">
        <x:v>476.504</x:v>
      </x:c>
      <x:c r="F239" s="47" t="n">
        <x:v>162.307</x:v>
      </x:c>
      <x:c r="G239" s="47" t="n">
        <x:v>490.69</x:v>
      </x:c>
      <x:c r="H239" s="50" t="n">
        <x:v>0.126845</x:v>
      </x:c>
      <x:c r="I239" s="50" t="n">
        <x:v>0.601646</x:v>
      </x:c>
      <x:c r="J239" s="50" t="n">
        <x:v>0.265207</x:v>
      </x:c>
      <x:c r="K239" s="50" t="n">
        <x:v>0.619558</x:v>
      </x:c>
      <x:c r="L239" s="47" t="n">
        <x:v>612</x:v>
      </x:c>
      <x:c r="M239" s="47" t="n">
        <x:v>792</x:v>
      </x:c>
      <x:c r="N239" s="28" t="str">
        <x:v>top-left</x:v>
      </x:c>
      <x:c r="O239" s="28" t="str">
        <x:v>PDF points</x:v>
      </x:c>
    </x:row>
    <x:row r="240" ht="22" customHeight="1">
      <x:c r="A240" s="28" t="str">
        <x:v>ANC-CAM-052-01-R02</x:v>
      </x:c>
      <x:c r="B240" s="28" t="str">
        <x:v>ANC-CAM-052-01</x:v>
      </x:c>
      <x:c r="C240" s="28" t="n">
        <x:v>12</x:v>
      </x:c>
      <x:c r="D240" s="47" t="n">
        <x:v>77.629</x:v>
      </x:c>
      <x:c r="E240" s="47" t="n">
        <x:v>489.939</x:v>
      </x:c>
      <x:c r="F240" s="47" t="n">
        <x:v>153.549</x:v>
      </x:c>
      <x:c r="G240" s="47" t="n">
        <x:v>504.126</x:v>
      </x:c>
      <x:c r="H240" s="50" t="n">
        <x:v>0.126845</x:v>
      </x:c>
      <x:c r="I240" s="50" t="n">
        <x:v>0.61861</x:v>
      </x:c>
      <x:c r="J240" s="50" t="n">
        <x:v>0.250897</x:v>
      </x:c>
      <x:c r="K240" s="50" t="n">
        <x:v>0.636522</x:v>
      </x:c>
      <x:c r="L240" s="47" t="n">
        <x:v>612</x:v>
      </x:c>
      <x:c r="M240" s="47" t="n">
        <x:v>792</x:v>
      </x:c>
      <x:c r="N240" s="28" t="str">
        <x:v>top-left</x:v>
      </x:c>
      <x:c r="O240" s="28" t="str">
        <x:v>PDF points</x:v>
      </x:c>
    </x:row>
    <x:row r="241" ht="22" customHeight="1">
      <x:c r="A241" s="28" t="str">
        <x:v>ANC-CAM-052-01-R03</x:v>
      </x:c>
      <x:c r="B241" s="28" t="str">
        <x:v>ANC-CAM-052-01</x:v>
      </x:c>
      <x:c r="C241" s="28" t="n">
        <x:v>12</x:v>
      </x:c>
      <x:c r="D241" s="47" t="n">
        <x:v>77.629</x:v>
      </x:c>
      <x:c r="E241" s="47" t="n">
        <x:v>503.265</x:v>
      </x:c>
      <x:c r="F241" s="47" t="n">
        <x:v>152.697</x:v>
      </x:c>
      <x:c r="G241" s="47" t="n">
        <x:v>517.451</x:v>
      </x:c>
      <x:c r="H241" s="50" t="n">
        <x:v>0.126845</x:v>
      </x:c>
      <x:c r="I241" s="50" t="n">
        <x:v>0.635435</x:v>
      </x:c>
      <x:c r="J241" s="50" t="n">
        <x:v>0.249504</x:v>
      </x:c>
      <x:c r="K241" s="50" t="n">
        <x:v>0.653347</x:v>
      </x:c>
      <x:c r="L241" s="47" t="n">
        <x:v>612</x:v>
      </x:c>
      <x:c r="M241" s="47" t="n">
        <x:v>792</x:v>
      </x:c>
      <x:c r="N241" s="28" t="str">
        <x:v>top-left</x:v>
      </x:c>
      <x:c r="O241" s="28" t="str">
        <x:v>PDF points</x:v>
      </x:c>
    </x:row>
    <x:row r="242" ht="22" customHeight="1">
      <x:c r="A242" s="28" t="str">
        <x:v>ANC-CAM-052-01-R04</x:v>
      </x:c>
      <x:c r="B242" s="28" t="str">
        <x:v>ANC-CAM-052-01</x:v>
      </x:c>
      <x:c r="C242" s="28" t="n">
        <x:v>12</x:v>
      </x:c>
      <x:c r="D242" s="47" t="n">
        <x:v>77.629</x:v>
      </x:c>
      <x:c r="E242" s="47" t="n">
        <x:v>516.7</x:v>
      </x:c>
      <x:c r="F242" s="47" t="n">
        <x:v>198.419</x:v>
      </x:c>
      <x:c r="G242" s="47" t="n">
        <x:v>530.887</x:v>
      </x:c>
      <x:c r="H242" s="50" t="n">
        <x:v>0.126845</x:v>
      </x:c>
      <x:c r="I242" s="50" t="n">
        <x:v>0.652399</x:v>
      </x:c>
      <x:c r="J242" s="50" t="n">
        <x:v>0.324214</x:v>
      </x:c>
      <x:c r="K242" s="50" t="n">
        <x:v>0.670311</x:v>
      </x:c>
      <x:c r="L242" s="47" t="n">
        <x:v>612</x:v>
      </x:c>
      <x:c r="M242" s="47" t="n">
        <x:v>792</x:v>
      </x:c>
      <x:c r="N242" s="28" t="str">
        <x:v>top-left</x:v>
      </x:c>
      <x:c r="O242" s="28" t="str">
        <x:v>PDF points</x:v>
      </x:c>
    </x:row>
    <x:row r="243" ht="22" customHeight="1">
      <x:c r="A243" s="28" t="str">
        <x:v>ANC-CAM-052-01-R05</x:v>
      </x:c>
      <x:c r="B243" s="28" t="str">
        <x:v>ANC-CAM-052-01</x:v>
      </x:c>
      <x:c r="C243" s="28" t="n">
        <x:v>12</x:v>
      </x:c>
      <x:c r="D243" s="47" t="n">
        <x:v>77.629</x:v>
      </x:c>
      <x:c r="E243" s="47" t="n">
        <x:v>530.136</x:v>
      </x:c>
      <x:c r="F243" s="47" t="n">
        <x:v>153.667</x:v>
      </x:c>
      <x:c r="G243" s="47" t="n">
        <x:v>544.322</x:v>
      </x:c>
      <x:c r="H243" s="50" t="n">
        <x:v>0.126845</x:v>
      </x:c>
      <x:c r="I243" s="50" t="n">
        <x:v>0.669364</x:v>
      </x:c>
      <x:c r="J243" s="50" t="n">
        <x:v>0.25109</x:v>
      </x:c>
      <x:c r="K243" s="50" t="n">
        <x:v>0.687276</x:v>
      </x:c>
      <x:c r="L243" s="47" t="n">
        <x:v>612</x:v>
      </x:c>
      <x:c r="M243" s="47" t="n">
        <x:v>792</x:v>
      </x:c>
      <x:c r="N243" s="28" t="str">
        <x:v>top-left</x:v>
      </x:c>
      <x:c r="O243" s="28" t="str">
        <x:v>PDF points</x:v>
      </x:c>
    </x:row>
    <x:row r="244" ht="22" customHeight="1">
      <x:c r="A244" s="28" t="str">
        <x:v>ANC-CAM-052-01-R06</x:v>
      </x:c>
      <x:c r="B244" s="28" t="str">
        <x:v>ANC-CAM-052-01</x:v>
      </x:c>
      <x:c r="C244" s="28" t="n">
        <x:v>12</x:v>
      </x:c>
      <x:c r="D244" s="47" t="n">
        <x:v>77.64</x:v>
      </x:c>
      <x:c r="E244" s="47" t="n">
        <x:v>543.61</x:v>
      </x:c>
      <x:c r="F244" s="47" t="n">
        <x:v>168.217</x:v>
      </x:c>
      <x:c r="G244" s="47" t="n">
        <x:v>557.796</x:v>
      </x:c>
      <x:c r="H244" s="50" t="n">
        <x:v>0.126863</x:v>
      </x:c>
      <x:c r="I244" s="50" t="n">
        <x:v>0.686376</x:v>
      </x:c>
      <x:c r="J244" s="50" t="n">
        <x:v>0.274864</x:v>
      </x:c>
      <x:c r="K244" s="50" t="n">
        <x:v>0.704288</x:v>
      </x:c>
      <x:c r="L244" s="47" t="n">
        <x:v>612</x:v>
      </x:c>
      <x:c r="M244" s="47" t="n">
        <x:v>792</x:v>
      </x:c>
      <x:c r="N244" s="28" t="str">
        <x:v>top-left</x:v>
      </x:c>
      <x:c r="O244" s="28" t="str">
        <x:v>PDF points</x:v>
      </x:c>
    </x:row>
    <x:row r="245" ht="22" customHeight="1">
      <x:c r="A245" s="28" t="str">
        <x:v>ANC-CAM-052-01-R07</x:v>
      </x:c>
      <x:c r="B245" s="28" t="str">
        <x:v>ANC-CAM-052-01</x:v>
      </x:c>
      <x:c r="C245" s="28" t="n">
        <x:v>12</x:v>
      </x:c>
      <x:c r="D245" s="47" t="n">
        <x:v>227.155</x:v>
      </x:c>
      <x:c r="E245" s="47" t="n">
        <x:v>476.517</x:v>
      </x:c>
      <x:c r="F245" s="47" t="n">
        <x:v>316.365</x:v>
      </x:c>
      <x:c r="G245" s="47" t="n">
        <x:v>490.703</x:v>
      </x:c>
      <x:c r="H245" s="50" t="n">
        <x:v>0.371169</x:v>
      </x:c>
      <x:c r="I245" s="50" t="n">
        <x:v>0.601662</x:v>
      </x:c>
      <x:c r="J245" s="50" t="n">
        <x:v>0.516936</x:v>
      </x:c>
      <x:c r="K245" s="50" t="n">
        <x:v>0.619574</x:v>
      </x:c>
      <x:c r="L245" s="47" t="n">
        <x:v>612</x:v>
      </x:c>
      <x:c r="M245" s="47" t="n">
        <x:v>792</x:v>
      </x:c>
      <x:c r="N245" s="28" t="str">
        <x:v>top-left</x:v>
      </x:c>
      <x:c r="O245" s="28" t="str">
        <x:v>PDF points</x:v>
      </x:c>
    </x:row>
    <x:row r="246" ht="22" customHeight="1">
      <x:c r="A246" s="28" t="str">
        <x:v>ANC-CAM-052-01-R08</x:v>
      </x:c>
      <x:c r="B246" s="28" t="str">
        <x:v>ANC-CAM-052-01</x:v>
      </x:c>
      <x:c r="C246" s="28" t="n">
        <x:v>12</x:v>
      </x:c>
      <x:c r="D246" s="47" t="n">
        <x:v>227.155</x:v>
      </x:c>
      <x:c r="E246" s="47" t="n">
        <x:v>489.952</x:v>
      </x:c>
      <x:c r="F246" s="47" t="n">
        <x:v>282.059</x:v>
      </x:c>
      <x:c r="G246" s="47" t="n">
        <x:v>504.139</x:v>
      </x:c>
      <x:c r="H246" s="50" t="n">
        <x:v>0.371169</x:v>
      </x:c>
      <x:c r="I246" s="50" t="n">
        <x:v>0.618627</x:v>
      </x:c>
      <x:c r="J246" s="50" t="n">
        <x:v>0.460881</x:v>
      </x:c>
      <x:c r="K246" s="50" t="n">
        <x:v>0.636539</x:v>
      </x:c>
      <x:c r="L246" s="47" t="n">
        <x:v>612</x:v>
      </x:c>
      <x:c r="M246" s="47" t="n">
        <x:v>792</x:v>
      </x:c>
      <x:c r="N246" s="28" t="str">
        <x:v>top-left</x:v>
      </x:c>
      <x:c r="O246" s="28" t="str">
        <x:v>PDF points</x:v>
      </x:c>
    </x:row>
    <x:row r="247" ht="22" customHeight="1">
      <x:c r="A247" s="28" t="str">
        <x:v>ANC-CAM-052-01-R09</x:v>
      </x:c>
      <x:c r="B247" s="28" t="str">
        <x:v>ANC-CAM-052-01</x:v>
      </x:c>
      <x:c r="C247" s="28" t="n">
        <x:v>12</x:v>
      </x:c>
      <x:c r="D247" s="47" t="n">
        <x:v>436.554</x:v>
      </x:c>
      <x:c r="E247" s="47" t="n">
        <x:v>463.077</x:v>
      </x:c>
      <x:c r="F247" s="47" t="n">
        <x:v>491.353</x:v>
      </x:c>
      <x:c r="G247" s="47" t="n">
        <x:v>477.263</x:v>
      </x:c>
      <x:c r="H247" s="50" t="n">
        <x:v>0.713323</x:v>
      </x:c>
      <x:c r="I247" s="50" t="n">
        <x:v>0.584693</x:v>
      </x:c>
      <x:c r="J247" s="50" t="n">
        <x:v>0.802864</x:v>
      </x:c>
      <x:c r="K247" s="50" t="n">
        <x:v>0.602605</x:v>
      </x:c>
      <x:c r="L247" s="47" t="n">
        <x:v>612</x:v>
      </x:c>
      <x:c r="M247" s="47" t="n">
        <x:v>792</x:v>
      </x:c>
      <x:c r="N247" s="28" t="str">
        <x:v>top-left</x:v>
      </x:c>
      <x:c r="O247" s="28" t="str">
        <x:v>PDF points</x:v>
      </x:c>
    </x:row>
    <x:row r="248" ht="22" customHeight="1">
      <x:c r="A248" s="28" t="str">
        <x:v>ANC-CAM-052-01-R10</x:v>
      </x:c>
      <x:c r="B248" s="28" t="str">
        <x:v>ANC-CAM-052-01</x:v>
      </x:c>
      <x:c r="C248" s="28" t="n">
        <x:v>12</x:v>
      </x:c>
      <x:c r="D248" s="47" t="n">
        <x:v>77.64</x:v>
      </x:c>
      <x:c r="E248" s="47" t="n">
        <x:v>557.53</x:v>
      </x:c>
      <x:c r="F248" s="47" t="n">
        <x:v>158.228</x:v>
      </x:c>
      <x:c r="G248" s="47" t="n">
        <x:v>571.716</x:v>
      </x:c>
      <x:c r="H248" s="50" t="n">
        <x:v>0.126863</x:v>
      </x:c>
      <x:c r="I248" s="50" t="n">
        <x:v>0.703952</x:v>
      </x:c>
      <x:c r="J248" s="50" t="n">
        <x:v>0.258542</x:v>
      </x:c>
      <x:c r="K248" s="50" t="n">
        <x:v>0.721864</x:v>
      </x:c>
      <x:c r="L248" s="47" t="n">
        <x:v>612</x:v>
      </x:c>
      <x:c r="M248" s="47" t="n">
        <x:v>792</x:v>
      </x:c>
      <x:c r="N248" s="28" t="str">
        <x:v>top-left</x:v>
      </x:c>
      <x:c r="O248" s="28" t="str">
        <x:v>PDF points</x:v>
      </x:c>
    </x:row>
    <x:row r="249" ht="22" customHeight="1">
      <x:c r="A249" s="28" t="str">
        <x:v>ANC-CAM-052-01-R11</x:v>
      </x:c>
      <x:c r="B249" s="28" t="str">
        <x:v>ANC-CAM-052-01</x:v>
      </x:c>
      <x:c r="C249" s="28" t="n">
        <x:v>12</x:v>
      </x:c>
      <x:c r="D249" s="47" t="n">
        <x:v>77.64</x:v>
      </x:c>
      <x:c r="E249" s="47" t="n">
        <x:v>571.45</x:v>
      </x:c>
      <x:c r="F249" s="47" t="n">
        <x:v>177.559</x:v>
      </x:c>
      <x:c r="G249" s="47" t="n">
        <x:v>585.636</x:v>
      </x:c>
      <x:c r="H249" s="50" t="n">
        <x:v>0.126863</x:v>
      </x:c>
      <x:c r="I249" s="50" t="n">
        <x:v>0.721527</x:v>
      </x:c>
      <x:c r="J249" s="50" t="n">
        <x:v>0.290129</x:v>
      </x:c>
      <x:c r="K249" s="50" t="n">
        <x:v>0.739439</x:v>
      </x:c>
      <x:c r="L249" s="47" t="n">
        <x:v>612</x:v>
      </x:c>
      <x:c r="M249" s="47" t="n">
        <x:v>792</x:v>
      </x:c>
      <x:c r="N249" s="28" t="str">
        <x:v>top-left</x:v>
      </x:c>
      <x:c r="O249" s="28" t="str">
        <x:v>PDF points</x:v>
      </x:c>
    </x:row>
    <x:row r="250" ht="22" customHeight="1">
      <x:c r="A250" s="28" t="str">
        <x:v>ANC-CAM-052-01-R12</x:v>
      </x:c>
      <x:c r="B250" s="28" t="str">
        <x:v>ANC-CAM-052-01</x:v>
      </x:c>
      <x:c r="C250" s="28" t="n">
        <x:v>12</x:v>
      </x:c>
      <x:c r="D250" s="47" t="n">
        <x:v>77.64</x:v>
      </x:c>
      <x:c r="E250" s="47" t="n">
        <x:v>584.89</x:v>
      </x:c>
      <x:c r="F250" s="47" t="n">
        <x:v>189.536</x:v>
      </x:c>
      <x:c r="G250" s="47" t="n">
        <x:v>599.076</x:v>
      </x:c>
      <x:c r="H250" s="50" t="n">
        <x:v>0.126863</x:v>
      </x:c>
      <x:c r="I250" s="50" t="n">
        <x:v>0.738497</x:v>
      </x:c>
      <x:c r="J250" s="50" t="n">
        <x:v>0.309699</x:v>
      </x:c>
      <x:c r="K250" s="50" t="n">
        <x:v>0.756409</x:v>
      </x:c>
      <x:c r="L250" s="47" t="n">
        <x:v>612</x:v>
      </x:c>
      <x:c r="M250" s="47" t="n">
        <x:v>792</x:v>
      </x:c>
      <x:c r="N250" s="28" t="str">
        <x:v>top-left</x:v>
      </x:c>
      <x:c r="O250" s="28" t="str">
        <x:v>PDF points</x:v>
      </x:c>
    </x:row>
    <x:row r="251" ht="22" customHeight="1">
      <x:c r="A251" s="28" t="str">
        <x:v>ANC-CAM-052-01-R13</x:v>
      </x:c>
      <x:c r="B251" s="28" t="str">
        <x:v>ANC-CAM-052-01</x:v>
      </x:c>
      <x:c r="C251" s="28" t="n">
        <x:v>12</x:v>
      </x:c>
      <x:c r="D251" s="47" t="n">
        <x:v>77.64</x:v>
      </x:c>
      <x:c r="E251" s="47" t="n">
        <x:v>598.325</x:v>
      </x:c>
      <x:c r="F251" s="47" t="n">
        <x:v>174.018</x:v>
      </x:c>
      <x:c r="G251" s="47" t="n">
        <x:v>612.512</x:v>
      </x:c>
      <x:c r="H251" s="50" t="n">
        <x:v>0.126863</x:v>
      </x:c>
      <x:c r="I251" s="50" t="n">
        <x:v>0.755461</x:v>
      </x:c>
      <x:c r="J251" s="50" t="n">
        <x:v>0.284343</x:v>
      </x:c>
      <x:c r="K251" s="50" t="n">
        <x:v>0.773373</x:v>
      </x:c>
      <x:c r="L251" s="47" t="n">
        <x:v>612</x:v>
      </x:c>
      <x:c r="M251" s="47" t="n">
        <x:v>792</x:v>
      </x:c>
      <x:c r="N251" s="28" t="str">
        <x:v>top-left</x:v>
      </x:c>
      <x:c r="O251" s="28" t="str">
        <x:v>PDF points</x:v>
      </x:c>
    </x:row>
    <x:row r="252" ht="22" customHeight="1">
      <x:c r="A252" s="28" t="str">
        <x:v>ANC-CAM-052-01-R14</x:v>
      </x:c>
      <x:c r="B252" s="28" t="str">
        <x:v>ANC-CAM-052-01</x:v>
      </x:c>
      <x:c r="C252" s="28" t="n">
        <x:v>12</x:v>
      </x:c>
      <x:c r="D252" s="47" t="n">
        <x:v>77.64</x:v>
      </x:c>
      <x:c r="E252" s="47" t="n">
        <x:v>611.761</x:v>
      </x:c>
      <x:c r="F252" s="47" t="n">
        <x:v>176.356</x:v>
      </x:c>
      <x:c r="G252" s="47" t="n">
        <x:v>625.947</x:v>
      </x:c>
      <x:c r="H252" s="50" t="n">
        <x:v>0.126863</x:v>
      </x:c>
      <x:c r="I252" s="50" t="n">
        <x:v>0.772425</x:v>
      </x:c>
      <x:c r="J252" s="50" t="n">
        <x:v>0.288164</x:v>
      </x:c>
      <x:c r="K252" s="50" t="n">
        <x:v>0.790338</x:v>
      </x:c>
      <x:c r="L252" s="47" t="n">
        <x:v>612</x:v>
      </x:c>
      <x:c r="M252" s="47" t="n">
        <x:v>792</x:v>
      </x:c>
      <x:c r="N252" s="28" t="str">
        <x:v>top-left</x:v>
      </x:c>
      <x:c r="O252" s="28" t="str">
        <x:v>PDF points</x:v>
      </x:c>
    </x:row>
    <x:row r="253" ht="22" customHeight="1">
      <x:c r="A253" s="28" t="str">
        <x:v>ANC-CAM-052-01-R15</x:v>
      </x:c>
      <x:c r="B253" s="28" t="str">
        <x:v>ANC-CAM-052-01</x:v>
      </x:c>
      <x:c r="C253" s="28" t="n">
        <x:v>12</x:v>
      </x:c>
      <x:c r="D253" s="47" t="n">
        <x:v>77.64</x:v>
      </x:c>
      <x:c r="E253" s="47" t="n">
        <x:v>625.197</x:v>
      </x:c>
      <x:c r="F253" s="47" t="n">
        <x:v>172.244</x:v>
      </x:c>
      <x:c r="G253" s="47" t="n">
        <x:v>639.383</x:v>
      </x:c>
      <x:c r="H253" s="50" t="n">
        <x:v>0.126863</x:v>
      </x:c>
      <x:c r="I253" s="50" t="n">
        <x:v>0.78939</x:v>
      </x:c>
      <x:c r="J253" s="50" t="n">
        <x:v>0.281444</x:v>
      </x:c>
      <x:c r="K253" s="50" t="n">
        <x:v>0.807302</x:v>
      </x:c>
      <x:c r="L253" s="47" t="n">
        <x:v>612</x:v>
      </x:c>
      <x:c r="M253" s="47" t="n">
        <x:v>792</x:v>
      </x:c>
      <x:c r="N253" s="28" t="str">
        <x:v>top-left</x:v>
      </x:c>
      <x:c r="O253" s="28" t="str">
        <x:v>PDF points</x:v>
      </x:c>
    </x:row>
    <x:row r="254" ht="22" customHeight="1">
      <x:c r="A254" s="28" t="str">
        <x:v>ANC-CAM-052-01-R16</x:v>
      </x:c>
      <x:c r="B254" s="28" t="str">
        <x:v>ANC-CAM-052-01</x:v>
      </x:c>
      <x:c r="C254" s="28" t="n">
        <x:v>12</x:v>
      </x:c>
      <x:c r="D254" s="47" t="n">
        <x:v>77.64</x:v>
      </x:c>
      <x:c r="E254" s="47" t="n">
        <x:v>638.632</x:v>
      </x:c>
      <x:c r="F254" s="47" t="n">
        <x:v>160.523</x:v>
      </x:c>
      <x:c r="G254" s="47" t="n">
        <x:v>652.819</x:v>
      </x:c>
      <x:c r="H254" s="50" t="n">
        <x:v>0.126863</x:v>
      </x:c>
      <x:c r="I254" s="50" t="n">
        <x:v>0.806354</x:v>
      </x:c>
      <x:c r="J254" s="50" t="n">
        <x:v>0.262292</x:v>
      </x:c>
      <x:c r="K254" s="50" t="n">
        <x:v>0.824266</x:v>
      </x:c>
      <x:c r="L254" s="47" t="n">
        <x:v>612</x:v>
      </x:c>
      <x:c r="M254" s="47" t="n">
        <x:v>792</x:v>
      </x:c>
      <x:c r="N254" s="28" t="str">
        <x:v>top-left</x:v>
      </x:c>
      <x:c r="O254" s="28" t="str">
        <x:v>PDF points</x:v>
      </x:c>
    </x:row>
    <x:row r="255" ht="22" customHeight="1">
      <x:c r="A255" s="28" t="str">
        <x:v>ANC-CAM-052-01-R17</x:v>
      </x:c>
      <x:c r="B255" s="28" t="str">
        <x:v>ANC-CAM-052-01</x:v>
      </x:c>
      <x:c r="C255" s="28" t="n">
        <x:v>12</x:v>
      </x:c>
      <x:c r="D255" s="47" t="n">
        <x:v>77.64</x:v>
      </x:c>
      <x:c r="E255" s="47" t="n">
        <x:v>652.068</x:v>
      </x:c>
      <x:c r="F255" s="47" t="n">
        <x:v>152.348</x:v>
      </x:c>
      <x:c r="G255" s="47" t="n">
        <x:v>666.254</x:v>
      </x:c>
      <x:c r="H255" s="50" t="n">
        <x:v>0.126863</x:v>
      </x:c>
      <x:c r="I255" s="50" t="n">
        <x:v>0.823318</x:v>
      </x:c>
      <x:c r="J255" s="50" t="n">
        <x:v>0.248934</x:v>
      </x:c>
      <x:c r="K255" s="50" t="n">
        <x:v>0.84123</x:v>
      </x:c>
      <x:c r="L255" s="47" t="n">
        <x:v>612</x:v>
      </x:c>
      <x:c r="M255" s="47" t="n">
        <x:v>792</x:v>
      </x:c>
      <x:c r="N255" s="28" t="str">
        <x:v>top-left</x:v>
      </x:c>
      <x:c r="O255" s="28" t="str">
        <x:v>PDF points</x:v>
      </x:c>
    </x:row>
    <x:row r="256" ht="22" customHeight="1">
      <x:c r="A256" s="28" t="str">
        <x:v>ANC-CAM-052-01-R18</x:v>
      </x:c>
      <x:c r="B256" s="28" t="str">
        <x:v>ANC-CAM-052-01</x:v>
      </x:c>
      <x:c r="C256" s="28" t="n">
        <x:v>12</x:v>
      </x:c>
      <x:c r="D256" s="47" t="n">
        <x:v>209.16</x:v>
      </x:c>
      <x:c r="E256" s="47" t="n">
        <x:v>571.45</x:v>
      </x:c>
      <x:c r="F256" s="47" t="n">
        <x:v>212.914</x:v>
      </x:c>
      <x:c r="G256" s="47" t="n">
        <x:v>585.636</x:v>
      </x:c>
      <x:c r="H256" s="50" t="n">
        <x:v>0.341765</x:v>
      </x:c>
      <x:c r="I256" s="50" t="n">
        <x:v>0.721527</x:v>
      </x:c>
      <x:c r="J256" s="50" t="n">
        <x:v>0.347898</x:v>
      </x:c>
      <x:c r="K256" s="50" t="n">
        <x:v>0.739439</x:v>
      </x:c>
      <x:c r="L256" s="47" t="n">
        <x:v>612</x:v>
      </x:c>
      <x:c r="M256" s="47" t="n">
        <x:v>792</x:v>
      </x:c>
      <x:c r="N256" s="28" t="str">
        <x:v>top-left</x:v>
      </x:c>
      <x:c r="O256" s="28" t="str">
        <x:v>PDF points</x:v>
      </x:c>
    </x:row>
    <x:row r="257" ht="22" customHeight="1">
      <x:c r="A257" s="28" t="str">
        <x:v>ANC-CAM-052-01-R19</x:v>
      </x:c>
      <x:c r="B257" s="28" t="str">
        <x:v>ANC-CAM-052-01</x:v>
      </x:c>
      <x:c r="C257" s="28" t="n">
        <x:v>12</x:v>
      </x:c>
      <x:c r="D257" s="47" t="n">
        <x:v>227.16</x:v>
      </x:c>
      <x:c r="E257" s="47" t="n">
        <x:v>571.45</x:v>
      </x:c>
      <x:c r="F257" s="47" t="n">
        <x:v>355.504</x:v>
      </x:c>
      <x:c r="G257" s="47" t="n">
        <x:v>585.636</x:v>
      </x:c>
      <x:c r="H257" s="50" t="n">
        <x:v>0.371176</x:v>
      </x:c>
      <x:c r="I257" s="50" t="n">
        <x:v>0.721527</x:v>
      </x:c>
      <x:c r="J257" s="50" t="n">
        <x:v>0.58089</x:v>
      </x:c>
      <x:c r="K257" s="50" t="n">
        <x:v>0.739439</x:v>
      </x:c>
      <x:c r="L257" s="47" t="n">
        <x:v>612</x:v>
      </x:c>
      <x:c r="M257" s="47" t="n">
        <x:v>792</x:v>
      </x:c>
      <x:c r="N257" s="28" t="str">
        <x:v>top-left</x:v>
      </x:c>
      <x:c r="O257" s="28" t="str">
        <x:v>PDF points</x:v>
      </x:c>
    </x:row>
    <x:row r="258" ht="22" customHeight="1">
      <x:c r="A258" s="28" t="str">
        <x:v>ANC-CAM-052-01-R20</x:v>
      </x:c>
      <x:c r="B258" s="28" t="str">
        <x:v>ANC-CAM-052-01</x:v>
      </x:c>
      <x:c r="C258" s="28" t="n">
        <x:v>12</x:v>
      </x:c>
      <x:c r="D258" s="47" t="n">
        <x:v>227.16</x:v>
      </x:c>
      <x:c r="E258" s="47" t="n">
        <x:v>584.89</x:v>
      </x:c>
      <x:c r="F258" s="47" t="n">
        <x:v>334.503</x:v>
      </x:c>
      <x:c r="G258" s="47" t="n">
        <x:v>599.076</x:v>
      </x:c>
      <x:c r="H258" s="50" t="n">
        <x:v>0.371176</x:v>
      </x:c>
      <x:c r="I258" s="50" t="n">
        <x:v>0.738497</x:v>
      </x:c>
      <x:c r="J258" s="50" t="n">
        <x:v>0.546574</x:v>
      </x:c>
      <x:c r="K258" s="50" t="n">
        <x:v>0.756409</x:v>
      </x:c>
      <x:c r="L258" s="47" t="n">
        <x:v>612</x:v>
      </x:c>
      <x:c r="M258" s="47" t="n">
        <x:v>792</x:v>
      </x:c>
      <x:c r="N258" s="28" t="str">
        <x:v>top-left</x:v>
      </x:c>
      <x:c r="O258" s="28" t="str">
        <x:v>PDF points</x:v>
      </x:c>
    </x:row>
    <x:row r="259" ht="22" customHeight="1">
      <x:c r="A259" s="28" t="str">
        <x:v>ANC-CAM-052-01-R21</x:v>
      </x:c>
      <x:c r="B259" s="28" t="str">
        <x:v>ANC-CAM-052-01</x:v>
      </x:c>
      <x:c r="C259" s="28" t="n">
        <x:v>12</x:v>
      </x:c>
      <x:c r="D259" s="47" t="n">
        <x:v>227.16</x:v>
      </x:c>
      <x:c r="E259" s="47" t="n">
        <x:v>598.325</x:v>
      </x:c>
      <x:c r="F259" s="47" t="n">
        <x:v>259.764</x:v>
      </x:c>
      <x:c r="G259" s="47" t="n">
        <x:v>612.512</x:v>
      </x:c>
      <x:c r="H259" s="50" t="n">
        <x:v>0.371176</x:v>
      </x:c>
      <x:c r="I259" s="50" t="n">
        <x:v>0.755461</x:v>
      </x:c>
      <x:c r="J259" s="50" t="n">
        <x:v>0.424452</x:v>
      </x:c>
      <x:c r="K259" s="50" t="n">
        <x:v>0.773373</x:v>
      </x:c>
      <x:c r="L259" s="47" t="n">
        <x:v>612</x:v>
      </x:c>
      <x:c r="M259" s="47" t="n">
        <x:v>792</x:v>
      </x:c>
      <x:c r="N259" s="28" t="str">
        <x:v>top-left</x:v>
      </x:c>
      <x:c r="O259" s="28" t="str">
        <x:v>PDF points</x:v>
      </x:c>
    </x:row>
    <x:row r="260" ht="22" customHeight="1">
      <x:c r="A260" s="28" t="str">
        <x:v>ANC-CAM-052-01-R22</x:v>
      </x:c>
      <x:c r="B260" s="28" t="str">
        <x:v>ANC-CAM-052-01</x:v>
      </x:c>
      <x:c r="C260" s="28" t="n">
        <x:v>12</x:v>
      </x:c>
      <x:c r="D260" s="47" t="n">
        <x:v>209.16</x:v>
      </x:c>
      <x:c r="E260" s="47" t="n">
        <x:v>611.77</x:v>
      </x:c>
      <x:c r="F260" s="47" t="n">
        <x:v>212.914</x:v>
      </x:c>
      <x:c r="G260" s="47" t="n">
        <x:v>625.956</x:v>
      </x:c>
      <x:c r="H260" s="50" t="n">
        <x:v>0.341765</x:v>
      </x:c>
      <x:c r="I260" s="50" t="n">
        <x:v>0.772436</x:v>
      </x:c>
      <x:c r="J260" s="50" t="n">
        <x:v>0.347898</x:v>
      </x:c>
      <x:c r="K260" s="50" t="n">
        <x:v>0.790348</x:v>
      </x:c>
      <x:c r="L260" s="47" t="n">
        <x:v>612</x:v>
      </x:c>
      <x:c r="M260" s="47" t="n">
        <x:v>792</x:v>
      </x:c>
      <x:c r="N260" s="28" t="str">
        <x:v>top-left</x:v>
      </x:c>
      <x:c r="O260" s="28" t="str">
        <x:v>PDF points</x:v>
      </x:c>
    </x:row>
    <x:row r="261" ht="22" customHeight="1">
      <x:c r="A261" s="28" t="str">
        <x:v>ANC-CAM-052-01-R23</x:v>
      </x:c>
      <x:c r="B261" s="28" t="str">
        <x:v>ANC-CAM-052-01</x:v>
      </x:c>
      <x:c r="C261" s="28" t="n">
        <x:v>12</x:v>
      </x:c>
      <x:c r="D261" s="47" t="n">
        <x:v>227.155</x:v>
      </x:c>
      <x:c r="E261" s="47" t="n">
        <x:v>611.77</x:v>
      </x:c>
      <x:c r="F261" s="47" t="n">
        <x:v>359.807</x:v>
      </x:c>
      <x:c r="G261" s="47" t="n">
        <x:v>625.956</x:v>
      </x:c>
      <x:c r="H261" s="50" t="n">
        <x:v>0.371169</x:v>
      </x:c>
      <x:c r="I261" s="50" t="n">
        <x:v>0.772436</x:v>
      </x:c>
      <x:c r="J261" s="50" t="n">
        <x:v>0.58792</x:v>
      </x:c>
      <x:c r="K261" s="50" t="n">
        <x:v>0.790348</x:v>
      </x:c>
      <x:c r="L261" s="47" t="n">
        <x:v>612</x:v>
      </x:c>
      <x:c r="M261" s="47" t="n">
        <x:v>792</x:v>
      </x:c>
      <x:c r="N261" s="28" t="str">
        <x:v>top-left</x:v>
      </x:c>
      <x:c r="O261" s="28" t="str">
        <x:v>PDF points</x:v>
      </x:c>
    </x:row>
    <x:row r="262" ht="22" customHeight="1">
      <x:c r="A262" s="28" t="str">
        <x:v>ANC-CAM-052-01-R24</x:v>
      </x:c>
      <x:c r="B262" s="28" t="str">
        <x:v>ANC-CAM-052-01</x:v>
      </x:c>
      <x:c r="C262" s="28" t="n">
        <x:v>12</x:v>
      </x:c>
      <x:c r="D262" s="47" t="n">
        <x:v>227.155</x:v>
      </x:c>
      <x:c r="E262" s="47" t="n">
        <x:v>625.205</x:v>
      </x:c>
      <x:c r="F262" s="47" t="n">
        <x:v>341.339</x:v>
      </x:c>
      <x:c r="G262" s="47" t="n">
        <x:v>639.392</x:v>
      </x:c>
      <x:c r="H262" s="50" t="n">
        <x:v>0.371169</x:v>
      </x:c>
      <x:c r="I262" s="50" t="n">
        <x:v>0.789401</x:v>
      </x:c>
      <x:c r="J262" s="50" t="n">
        <x:v>0.557743</x:v>
      </x:c>
      <x:c r="K262" s="50" t="n">
        <x:v>0.807313</x:v>
      </x:c>
      <x:c r="L262" s="47" t="n">
        <x:v>612</x:v>
      </x:c>
      <x:c r="M262" s="47" t="n">
        <x:v>792</x:v>
      </x:c>
      <x:c r="N262" s="28" t="str">
        <x:v>top-left</x:v>
      </x:c>
      <x:c r="O262" s="28" t="str">
        <x:v>PDF points</x:v>
      </x:c>
    </x:row>
    <x:row r="263" ht="22" customHeight="1">
      <x:c r="A263" s="28" t="str">
        <x:v>ANC-CAM-052-01-R25</x:v>
      </x:c>
      <x:c r="B263" s="28" t="str">
        <x:v>ANC-CAM-052-01</x:v>
      </x:c>
      <x:c r="C263" s="28" t="n">
        <x:v>12</x:v>
      </x:c>
      <x:c r="D263" s="47" t="n">
        <x:v>227.155</x:v>
      </x:c>
      <x:c r="E263" s="47" t="n">
        <x:v>638.641</x:v>
      </x:c>
      <x:c r="F263" s="47" t="n">
        <x:v>311.356</x:v>
      </x:c>
      <x:c r="G263" s="47" t="n">
        <x:v>652.827</x:v>
      </x:c>
      <x:c r="H263" s="50" t="n">
        <x:v>0.371169</x:v>
      </x:c>
      <x:c r="I263" s="50" t="n">
        <x:v>0.806365</x:v>
      </x:c>
      <x:c r="J263" s="50" t="n">
        <x:v>0.508752</x:v>
      </x:c>
      <x:c r="K263" s="50" t="n">
        <x:v>0.824277</x:v>
      </x:c>
      <x:c r="L263" s="47" t="n">
        <x:v>612</x:v>
      </x:c>
      <x:c r="M263" s="47" t="n">
        <x:v>792</x:v>
      </x:c>
      <x:c r="N263" s="28" t="str">
        <x:v>top-left</x:v>
      </x:c>
      <x:c r="O263" s="28" t="str">
        <x:v>PDF points</x:v>
      </x:c>
    </x:row>
    <x:row r="264" ht="22" customHeight="1">
      <x:c r="A264" s="28" t="str">
        <x:v>ANC-CAM-052-01-R26</x:v>
      </x:c>
      <x:c r="B264" s="28" t="str">
        <x:v>ANC-CAM-052-01</x:v>
      </x:c>
      <x:c r="C264" s="28" t="n">
        <x:v>12</x:v>
      </x:c>
      <x:c r="D264" s="47" t="n">
        <x:v>377.28</x:v>
      </x:c>
      <x:c r="E264" s="47" t="n">
        <x:v>571.45</x:v>
      </x:c>
      <x:c r="F264" s="47" t="n">
        <x:v>381.034</x:v>
      </x:c>
      <x:c r="G264" s="47" t="n">
        <x:v>585.636</x:v>
      </x:c>
      <x:c r="H264" s="50" t="n">
        <x:v>0.616471</x:v>
      </x:c>
      <x:c r="I264" s="50" t="n">
        <x:v>0.721527</x:v>
      </x:c>
      <x:c r="J264" s="50" t="n">
        <x:v>0.622604</x:v>
      </x:c>
      <x:c r="K264" s="50" t="n">
        <x:v>0.739439</x:v>
      </x:c>
      <x:c r="L264" s="47" t="n">
        <x:v>612</x:v>
      </x:c>
      <x:c r="M264" s="47" t="n">
        <x:v>792</x:v>
      </x:c>
      <x:c r="N264" s="28" t="str">
        <x:v>top-left</x:v>
      </x:c>
      <x:c r="O264" s="28" t="str">
        <x:v>PDF points</x:v>
      </x:c>
    </x:row>
    <x:row r="265" ht="22" customHeight="1">
      <x:c r="A265" s="28" t="str">
        <x:v>ANC-CAM-052-01-R27</x:v>
      </x:c>
      <x:c r="B265" s="28" t="str">
        <x:v>ANC-CAM-052-01</x:v>
      </x:c>
      <x:c r="C265" s="28" t="n">
        <x:v>12</x:v>
      </x:c>
      <x:c r="D265" s="47" t="n">
        <x:v>395.28</x:v>
      </x:c>
      <x:c r="E265" s="47" t="n">
        <x:v>571.45</x:v>
      </x:c>
      <x:c r="F265" s="47" t="n">
        <x:v>527.936</x:v>
      </x:c>
      <x:c r="G265" s="47" t="n">
        <x:v>585.636</x:v>
      </x:c>
      <x:c r="H265" s="50" t="n">
        <x:v>0.645882</x:v>
      </x:c>
      <x:c r="I265" s="50" t="n">
        <x:v>0.721527</x:v>
      </x:c>
      <x:c r="J265" s="50" t="n">
        <x:v>0.86264</x:v>
      </x:c>
      <x:c r="K265" s="50" t="n">
        <x:v>0.739439</x:v>
      </x:c>
      <x:c r="L265" s="47" t="n">
        <x:v>612</x:v>
      </x:c>
      <x:c r="M265" s="47" t="n">
        <x:v>792</x:v>
      </x:c>
      <x:c r="N265" s="28" t="str">
        <x:v>top-left</x:v>
      </x:c>
      <x:c r="O265" s="28" t="str">
        <x:v>PDF points</x:v>
      </x:c>
    </x:row>
    <x:row r="266" ht="22" customHeight="1">
      <x:c r="A266" s="28" t="str">
        <x:v>ANC-CAM-052-01-R28</x:v>
      </x:c>
      <x:c r="B266" s="28" t="str">
        <x:v>ANC-CAM-052-01</x:v>
      </x:c>
      <x:c r="C266" s="28" t="n">
        <x:v>12</x:v>
      </x:c>
      <x:c r="D266" s="47" t="n">
        <x:v>395.28</x:v>
      </x:c>
      <x:c r="E266" s="47" t="n">
        <x:v>584.89</x:v>
      </x:c>
      <x:c r="F266" s="47" t="n">
        <x:v>538.013</x:v>
      </x:c>
      <x:c r="G266" s="47" t="n">
        <x:v>599.076</x:v>
      </x:c>
      <x:c r="H266" s="50" t="n">
        <x:v>0.645882</x:v>
      </x:c>
      <x:c r="I266" s="50" t="n">
        <x:v>0.738497</x:v>
      </x:c>
      <x:c r="J266" s="50" t="n">
        <x:v>0.879106</x:v>
      </x:c>
      <x:c r="K266" s="50" t="n">
        <x:v>0.756409</x:v>
      </x:c>
      <x:c r="L266" s="47" t="n">
        <x:v>612</x:v>
      </x:c>
      <x:c r="M266" s="47" t="n">
        <x:v>792</x:v>
      </x:c>
      <x:c r="N266" s="28" t="str">
        <x:v>top-left</x:v>
      </x:c>
      <x:c r="O266" s="28" t="str">
        <x:v>PDF points</x:v>
      </x:c>
    </x:row>
    <x:row r="267" ht="22" customHeight="1">
      <x:c r="A267" s="28" t="str">
        <x:v>ANC-CAM-052-01-R29</x:v>
      </x:c>
      <x:c r="B267" s="28" t="str">
        <x:v>ANC-CAM-052-01</x:v>
      </x:c>
      <x:c r="C267" s="28" t="n">
        <x:v>12</x:v>
      </x:c>
      <x:c r="D267" s="47" t="n">
        <x:v>395.28</x:v>
      </x:c>
      <x:c r="E267" s="47" t="n">
        <x:v>598.325</x:v>
      </x:c>
      <x:c r="F267" s="47" t="n">
        <x:v>421.317</x:v>
      </x:c>
      <x:c r="G267" s="47" t="n">
        <x:v>612.512</x:v>
      </x:c>
      <x:c r="H267" s="50" t="n">
        <x:v>0.645882</x:v>
      </x:c>
      <x:c r="I267" s="50" t="n">
        <x:v>0.755461</x:v>
      </x:c>
      <x:c r="J267" s="50" t="n">
        <x:v>0.688426</x:v>
      </x:c>
      <x:c r="K267" s="50" t="n">
        <x:v>0.773373</x:v>
      </x:c>
      <x:c r="L267" s="47" t="n">
        <x:v>612</x:v>
      </x:c>
      <x:c r="M267" s="47" t="n">
        <x:v>792</x:v>
      </x:c>
      <x:c r="N267" s="28" t="str">
        <x:v>top-left</x:v>
      </x:c>
      <x:c r="O267" s="28" t="str">
        <x:v>PDF points</x:v>
      </x:c>
    </x:row>
    <x:row r="268" ht="22" customHeight="1">
      <x:c r="A268" s="28" t="str">
        <x:v>ANC-CAM-053-01-R01</x:v>
      </x:c>
      <x:c r="B268" s="28" t="str">
        <x:v>ANC-CAM-053-01</x:v>
      </x:c>
      <x:c r="C268" s="28" t="n">
        <x:v>13</x:v>
      </x:c>
      <x:c r="D268" s="47" t="n">
        <x:v>209.16</x:v>
      </x:c>
      <x:c r="E268" s="47" t="n">
        <x:v>112.93</x:v>
      </x:c>
      <x:c r="F268" s="47" t="n">
        <x:v>212.914</x:v>
      </x:c>
      <x:c r="G268" s="47" t="n">
        <x:v>127.116</x:v>
      </x:c>
      <x:c r="H268" s="50" t="n">
        <x:v>0.341765</x:v>
      </x:c>
      <x:c r="I268" s="50" t="n">
        <x:v>0.142588</x:v>
      </x:c>
      <x:c r="J268" s="50" t="n">
        <x:v>0.347898</x:v>
      </x:c>
      <x:c r="K268" s="50" t="n">
        <x:v>0.1605</x:v>
      </x:c>
      <x:c r="L268" s="47" t="n">
        <x:v>612</x:v>
      </x:c>
      <x:c r="M268" s="47" t="n">
        <x:v>792</x:v>
      </x:c>
      <x:c r="N268" s="28" t="str">
        <x:v>top-left</x:v>
      </x:c>
      <x:c r="O268" s="28" t="str">
        <x:v>PDF points</x:v>
      </x:c>
    </x:row>
    <x:row r="269" ht="22" customHeight="1">
      <x:c r="A269" s="28" t="str">
        <x:v>ANC-CAM-053-01-R02</x:v>
      </x:c>
      <x:c r="B269" s="28" t="str">
        <x:v>ANC-CAM-053-01</x:v>
      </x:c>
      <x:c r="C269" s="28" t="n">
        <x:v>13</x:v>
      </x:c>
      <x:c r="D269" s="47" t="n">
        <x:v>227.16</x:v>
      </x:c>
      <x:c r="E269" s="47" t="n">
        <x:v>126.37</x:v>
      </x:c>
      <x:c r="F269" s="47" t="n">
        <x:v>335.461</x:v>
      </x:c>
      <x:c r="G269" s="47" t="n">
        <x:v>140.556</x:v>
      </x:c>
      <x:c r="H269" s="50" t="n">
        <x:v>0.371176</x:v>
      </x:c>
      <x:c r="I269" s="50" t="n">
        <x:v>0.159558</x:v>
      </x:c>
      <x:c r="J269" s="50" t="n">
        <x:v>0.548139</x:v>
      </x:c>
      <x:c r="K269" s="50" t="n">
        <x:v>0.17747</x:v>
      </x:c>
      <x:c r="L269" s="47" t="n">
        <x:v>612</x:v>
      </x:c>
      <x:c r="M269" s="47" t="n">
        <x:v>792</x:v>
      </x:c>
      <x:c r="N269" s="28" t="str">
        <x:v>top-left</x:v>
      </x:c>
      <x:c r="O269" s="28" t="str">
        <x:v>PDF points</x:v>
      </x:c>
    </x:row>
    <x:row r="270" ht="22" customHeight="1">
      <x:c r="A270" s="28" t="str">
        <x:v>ANC-CAM-053-01-R03</x:v>
      </x:c>
      <x:c r="B270" s="28" t="str">
        <x:v>ANC-CAM-053-01</x:v>
      </x:c>
      <x:c r="C270" s="28" t="n">
        <x:v>13</x:v>
      </x:c>
      <x:c r="D270" s="47" t="n">
        <x:v>209.16</x:v>
      </x:c>
      <x:c r="E270" s="47" t="n">
        <x:v>139.81</x:v>
      </x:c>
      <x:c r="F270" s="47" t="n">
        <x:v>212.914</x:v>
      </x:c>
      <x:c r="G270" s="47" t="n">
        <x:v>153.996</x:v>
      </x:c>
      <x:c r="H270" s="50" t="n">
        <x:v>0.341765</x:v>
      </x:c>
      <x:c r="I270" s="50" t="n">
        <x:v>0.176527</x:v>
      </x:c>
      <x:c r="J270" s="50" t="n">
        <x:v>0.347898</x:v>
      </x:c>
      <x:c r="K270" s="50" t="n">
        <x:v>0.194439</x:v>
      </x:c>
      <x:c r="L270" s="47" t="n">
        <x:v>612</x:v>
      </x:c>
      <x:c r="M270" s="47" t="n">
        <x:v>792</x:v>
      </x:c>
      <x:c r="N270" s="28" t="str">
        <x:v>top-left</x:v>
      </x:c>
      <x:c r="O270" s="28" t="str">
        <x:v>PDF points</x:v>
      </x:c>
    </x:row>
    <x:row r="271" ht="22" customHeight="1">
      <x:c r="A271" s="28" t="str">
        <x:v>ANC-CAM-053-01-R04</x:v>
      </x:c>
      <x:c r="B271" s="28" t="str">
        <x:v>ANC-CAM-053-01</x:v>
      </x:c>
      <x:c r="C271" s="28" t="n">
        <x:v>13</x:v>
      </x:c>
      <x:c r="D271" s="47" t="n">
        <x:v>227.166</x:v>
      </x:c>
      <x:c r="E271" s="47" t="n">
        <x:v>153.245</x:v>
      </x:c>
      <x:c r="F271" s="47" t="n">
        <x:v>327.692</x:v>
      </x:c>
      <x:c r="G271" s="47" t="n">
        <x:v>167.432</x:v>
      </x:c>
      <x:c r="H271" s="50" t="n">
        <x:v>0.371187</x:v>
      </x:c>
      <x:c r="I271" s="50" t="n">
        <x:v>0.193492</x:v>
      </x:c>
      <x:c r="J271" s="50" t="n">
        <x:v>0.535445</x:v>
      </x:c>
      <x:c r="K271" s="50" t="n">
        <x:v>0.211404</x:v>
      </x:c>
      <x:c r="L271" s="47" t="n">
        <x:v>612</x:v>
      </x:c>
      <x:c r="M271" s="47" t="n">
        <x:v>792</x:v>
      </x:c>
      <x:c r="N271" s="28" t="str">
        <x:v>top-left</x:v>
      </x:c>
      <x:c r="O271" s="28" t="str">
        <x:v>PDF points</x:v>
      </x:c>
    </x:row>
    <x:row r="272" ht="22" customHeight="1">
      <x:c r="A272" s="28" t="str">
        <x:v>ANC-CAM-053-01-R05</x:v>
      </x:c>
      <x:c r="B272" s="28" t="str">
        <x:v>ANC-CAM-053-01</x:v>
      </x:c>
      <x:c r="C272" s="28" t="n">
        <x:v>13</x:v>
      </x:c>
      <x:c r="D272" s="47" t="n">
        <x:v>227.166</x:v>
      </x:c>
      <x:c r="E272" s="47" t="n">
        <x:v>166.681</x:v>
      </x:c>
      <x:c r="F272" s="47" t="n">
        <x:v>267.354</x:v>
      </x:c>
      <x:c r="G272" s="47" t="n">
        <x:v>180.867</x:v>
      </x:c>
      <x:c r="H272" s="50" t="n">
        <x:v>0.371187</x:v>
      </x:c>
      <x:c r="I272" s="50" t="n">
        <x:v>0.210456</x:v>
      </x:c>
      <x:c r="J272" s="50" t="n">
        <x:v>0.436853</x:v>
      </x:c>
      <x:c r="K272" s="50" t="n">
        <x:v>0.228368</x:v>
      </x:c>
      <x:c r="L272" s="47" t="n">
        <x:v>612</x:v>
      </x:c>
      <x:c r="M272" s="47" t="n">
        <x:v>792</x:v>
      </x:c>
      <x:c r="N272" s="28" t="str">
        <x:v>top-left</x:v>
      </x:c>
      <x:c r="O272" s="28" t="str">
        <x:v>PDF points</x:v>
      </x:c>
    </x:row>
    <x:row r="273" ht="22" customHeight="1">
      <x:c r="A273" s="28" t="str">
        <x:v>ANC-CAM-054-01-R01</x:v>
      </x:c>
      <x:c r="B273" s="28" t="str">
        <x:v>ANC-CAM-054-01</x:v>
      </x:c>
      <x:c r="C273" s="28" t="n">
        <x:v>13</x:v>
      </x:c>
      <x:c r="D273" s="47" t="n">
        <x:v>227.166</x:v>
      </x:c>
      <x:c r="E273" s="47" t="n">
        <x:v>233.749</x:v>
      </x:c>
      <x:c r="F273" s="47" t="n">
        <x:v>339.874</x:v>
      </x:c>
      <x:c r="G273" s="47" t="n">
        <x:v>247.935</x:v>
      </x:c>
      <x:c r="H273" s="50" t="n">
        <x:v>0.371187</x:v>
      </x:c>
      <x:c r="I273" s="50" t="n">
        <x:v>0.295137</x:v>
      </x:c>
      <x:c r="J273" s="50" t="n">
        <x:v>0.555349</x:v>
      </x:c>
      <x:c r="K273" s="50" t="n">
        <x:v>0.31305</x:v>
      </x:c>
      <x:c r="L273" s="47" t="n">
        <x:v>612</x:v>
      </x:c>
      <x:c r="M273" s="47" t="n">
        <x:v>792</x:v>
      </x:c>
      <x:c r="N273" s="28" t="str">
        <x:v>top-left</x:v>
      </x:c>
      <x:c r="O273" s="28" t="str">
        <x:v>PDF points</x:v>
      </x:c>
    </x:row>
    <x:row r="274" ht="22" customHeight="1">
      <x:c r="A274" s="28" t="str">
        <x:v>ANC-CAM-054-01-R02</x:v>
      </x:c>
      <x:c r="B274" s="28" t="str">
        <x:v>ANC-CAM-054-01</x:v>
      </x:c>
      <x:c r="C274" s="28" t="n">
        <x:v>13</x:v>
      </x:c>
      <x:c r="D274" s="47" t="n">
        <x:v>227.166</x:v>
      </x:c>
      <x:c r="E274" s="47" t="n">
        <x:v>247.185</x:v>
      </x:c>
      <x:c r="F274" s="47" t="n">
        <x:v>282.07</x:v>
      </x:c>
      <x:c r="G274" s="47" t="n">
        <x:v>261.371</x:v>
      </x:c>
      <x:c r="H274" s="50" t="n">
        <x:v>0.371187</x:v>
      </x:c>
      <x:c r="I274" s="50" t="n">
        <x:v>0.312102</x:v>
      </x:c>
      <x:c r="J274" s="50" t="n">
        <x:v>0.460899</x:v>
      </x:c>
      <x:c r="K274" s="50" t="n">
        <x:v>0.330014</x:v>
      </x:c>
      <x:c r="L274" s="47" t="n">
        <x:v>612</x:v>
      </x:c>
      <x:c r="M274" s="47" t="n">
        <x:v>792</x:v>
      </x:c>
      <x:c r="N274" s="28" t="str">
        <x:v>top-left</x:v>
      </x:c>
      <x:c r="O274" s="28" t="str">
        <x:v>PDF points</x:v>
      </x:c>
    </x:row>
    <x:row r="275" ht="22" customHeight="1">
      <x:c r="A275" s="28" t="str">
        <x:v>ANC-CAM-054-01-R03</x:v>
      </x:c>
      <x:c r="B275" s="28" t="str">
        <x:v>ANC-CAM-054-01</x:v>
      </x:c>
      <x:c r="C275" s="28" t="n">
        <x:v>13</x:v>
      </x:c>
      <x:c r="D275" s="47" t="n">
        <x:v>209.16</x:v>
      </x:c>
      <x:c r="E275" s="47" t="n">
        <x:v>260.65</x:v>
      </x:c>
      <x:c r="F275" s="47" t="n">
        <x:v>212.914</x:v>
      </x:c>
      <x:c r="G275" s="47" t="n">
        <x:v>274.836</x:v>
      </x:c>
      <x:c r="H275" s="50" t="n">
        <x:v>0.341765</x:v>
      </x:c>
      <x:c r="I275" s="50" t="n">
        <x:v>0.329103</x:v>
      </x:c>
      <x:c r="J275" s="50" t="n">
        <x:v>0.347898</x:v>
      </x:c>
      <x:c r="K275" s="50" t="n">
        <x:v>0.347015</x:v>
      </x:c>
      <x:c r="L275" s="47" t="n">
        <x:v>612</x:v>
      </x:c>
      <x:c r="M275" s="47" t="n">
        <x:v>792</x:v>
      </x:c>
      <x:c r="N275" s="28" t="str">
        <x:v>top-left</x:v>
      </x:c>
      <x:c r="O275" s="28" t="str">
        <x:v>PDF points</x:v>
      </x:c>
    </x:row>
    <x:row r="276" ht="22" customHeight="1">
      <x:c r="A276" s="28" t="str">
        <x:v>ANC-CAM-054-01-R04</x:v>
      </x:c>
      <x:c r="B276" s="28" t="str">
        <x:v>ANC-CAM-054-01</x:v>
      </x:c>
      <x:c r="C276" s="28" t="n">
        <x:v>13</x:v>
      </x:c>
      <x:c r="D276" s="47" t="n">
        <x:v>227.155</x:v>
      </x:c>
      <x:c r="E276" s="47" t="n">
        <x:v>260.65</x:v>
      </x:c>
      <x:c r="F276" s="47" t="n">
        <x:v>358.744</x:v>
      </x:c>
      <x:c r="G276" s="47" t="n">
        <x:v>274.836</x:v>
      </x:c>
      <x:c r="H276" s="50" t="n">
        <x:v>0.371169</x:v>
      </x:c>
      <x:c r="I276" s="50" t="n">
        <x:v>0.329103</x:v>
      </x:c>
      <x:c r="J276" s="50" t="n">
        <x:v>0.586183</x:v>
      </x:c>
      <x:c r="K276" s="50" t="n">
        <x:v>0.347015</x:v>
      </x:c>
      <x:c r="L276" s="47" t="n">
        <x:v>612</x:v>
      </x:c>
      <x:c r="M276" s="47" t="n">
        <x:v>792</x:v>
      </x:c>
      <x:c r="N276" s="28" t="str">
        <x:v>top-left</x:v>
      </x:c>
      <x:c r="O276" s="28" t="str">
        <x:v>PDF points</x:v>
      </x:c>
    </x:row>
    <x:row r="277" ht="22" customHeight="1">
      <x:c r="A277" s="28" t="str">
        <x:v>ANC-CAM-054-01-R05</x:v>
      </x:c>
      <x:c r="B277" s="28" t="str">
        <x:v>ANC-CAM-054-01</x:v>
      </x:c>
      <x:c r="C277" s="28" t="n">
        <x:v>13</x:v>
      </x:c>
      <x:c r="D277" s="47" t="n">
        <x:v>227.155</x:v>
      </x:c>
      <x:c r="E277" s="47" t="n">
        <x:v>274.085</x:v>
      </x:c>
      <x:c r="F277" s="47" t="n">
        <x:v>325.393</x:v>
      </x:c>
      <x:c r="G277" s="47" t="n">
        <x:v>288.272</x:v>
      </x:c>
      <x:c r="H277" s="50" t="n">
        <x:v>0.371169</x:v>
      </x:c>
      <x:c r="I277" s="50" t="n">
        <x:v>0.346067</x:v>
      </x:c>
      <x:c r="J277" s="50" t="n">
        <x:v>0.531689</x:v>
      </x:c>
      <x:c r="K277" s="50" t="n">
        <x:v>0.363979</x:v>
      </x:c>
      <x:c r="L277" s="47" t="n">
        <x:v>612</x:v>
      </x:c>
      <x:c r="M277" s="47" t="n">
        <x:v>792</x:v>
      </x:c>
      <x:c r="N277" s="28" t="str">
        <x:v>top-left</x:v>
      </x:c>
      <x:c r="O277" s="28" t="str">
        <x:v>PDF points</x:v>
      </x:c>
    </x:row>
    <x:row r="278" ht="22" customHeight="1">
      <x:c r="A278" s="28" t="str">
        <x:v>ANC-CAM-054-01-R06</x:v>
      </x:c>
      <x:c r="B278" s="28" t="str">
        <x:v>ANC-CAM-054-01</x:v>
      </x:c>
      <x:c r="C278" s="28" t="n">
        <x:v>13</x:v>
      </x:c>
      <x:c r="D278" s="47" t="n">
        <x:v>227.155</x:v>
      </x:c>
      <x:c r="E278" s="47" t="n">
        <x:v>287.521</x:v>
      </x:c>
      <x:c r="F278" s="47" t="n">
        <x:v>318.18</x:v>
      </x:c>
      <x:c r="G278" s="47" t="n">
        <x:v>301.707</x:v>
      </x:c>
      <x:c r="H278" s="50" t="n">
        <x:v>0.371169</x:v>
      </x:c>
      <x:c r="I278" s="50" t="n">
        <x:v>0.363031</x:v>
      </x:c>
      <x:c r="J278" s="50" t="n">
        <x:v>0.519902</x:v>
      </x:c>
      <x:c r="K278" s="50" t="n">
        <x:v>0.380944</x:v>
      </x:c>
      <x:c r="L278" s="47" t="n">
        <x:v>612</x:v>
      </x:c>
      <x:c r="M278" s="47" t="n">
        <x:v>792</x:v>
      </x:c>
      <x:c r="N278" s="28" t="str">
        <x:v>top-left</x:v>
      </x:c>
      <x:c r="O278" s="28" t="str">
        <x:v>PDF points</x:v>
      </x:c>
    </x:row>
    <x:row r="279" ht="22" customHeight="1">
      <x:c r="A279" s="28" t="str">
        <x:v>ANC-CAM-054-01-R07</x:v>
      </x:c>
      <x:c r="B279" s="28" t="str">
        <x:v>ANC-CAM-054-01</x:v>
      </x:c>
      <x:c r="C279" s="28" t="n">
        <x:v>13</x:v>
      </x:c>
      <x:c r="D279" s="47" t="n">
        <x:v>227.155</x:v>
      </x:c>
      <x:c r="E279" s="47" t="n">
        <x:v>300.957</x:v>
      </x:c>
      <x:c r="F279" s="47" t="n">
        <x:v>347.461</x:v>
      </x:c>
      <x:c r="G279" s="47" t="n">
        <x:v>315.143</x:v>
      </x:c>
      <x:c r="H279" s="50" t="n">
        <x:v>0.371169</x:v>
      </x:c>
      <x:c r="I279" s="50" t="n">
        <x:v>0.379996</x:v>
      </x:c>
      <x:c r="J279" s="50" t="n">
        <x:v>0.567747</x:v>
      </x:c>
      <x:c r="K279" s="50" t="n">
        <x:v>0.397908</x:v>
      </x:c>
      <x:c r="L279" s="47" t="n">
        <x:v>612</x:v>
      </x:c>
      <x:c r="M279" s="47" t="n">
        <x:v>792</x:v>
      </x:c>
      <x:c r="N279" s="28" t="str">
        <x:v>top-left</x:v>
      </x:c>
      <x:c r="O279" s="28" t="str">
        <x:v>PDF points</x:v>
      </x:c>
    </x:row>
    <x:row r="280" ht="22" customHeight="1">
      <x:c r="A280" s="28" t="str">
        <x:v>ANC-CAM-054-01-R08</x:v>
      </x:c>
      <x:c r="B280" s="28" t="str">
        <x:v>ANC-CAM-054-01</x:v>
      </x:c>
      <x:c r="C280" s="28" t="n">
        <x:v>13</x:v>
      </x:c>
      <x:c r="D280" s="47" t="n">
        <x:v>227.16</x:v>
      </x:c>
      <x:c r="E280" s="47" t="n">
        <x:v>314.41</x:v>
      </x:c>
      <x:c r="F280" s="47" t="n">
        <x:v>317.471</x:v>
      </x:c>
      <x:c r="G280" s="47" t="n">
        <x:v>328.596</x:v>
      </x:c>
      <x:c r="H280" s="50" t="n">
        <x:v>0.371176</x:v>
      </x:c>
      <x:c r="I280" s="50" t="n">
        <x:v>0.396982</x:v>
      </x:c>
      <x:c r="J280" s="50" t="n">
        <x:v>0.518743</x:v>
      </x:c>
      <x:c r="K280" s="50" t="n">
        <x:v>0.414894</x:v>
      </x:c>
      <x:c r="L280" s="47" t="n">
        <x:v>612</x:v>
      </x:c>
      <x:c r="M280" s="47" t="n">
        <x:v>792</x:v>
      </x:c>
      <x:c r="N280" s="28" t="str">
        <x:v>top-left</x:v>
      </x:c>
      <x:c r="O280" s="28" t="str">
        <x:v>PDF points</x:v>
      </x:c>
    </x:row>
    <x:row r="281" ht="22" customHeight="1">
      <x:c r="A281" s="28" t="str">
        <x:v>ANC-CAM-054-01-R09</x:v>
      </x:c>
      <x:c r="B281" s="28" t="str">
        <x:v>ANC-CAM-054-01</x:v>
      </x:c>
      <x:c r="C281" s="28" t="n">
        <x:v>13</x:v>
      </x:c>
      <x:c r="D281" s="47" t="n">
        <x:v>395.275</x:v>
      </x:c>
      <x:c r="E281" s="47" t="n">
        <x:v>233.758</x:v>
      </x:c>
      <x:c r="F281" s="47" t="n">
        <x:v>528.623</x:v>
      </x:c>
      <x:c r="G281" s="47" t="n">
        <x:v>247.944</x:v>
      </x:c>
      <x:c r="H281" s="50" t="n">
        <x:v>0.645875</x:v>
      </x:c>
      <x:c r="I281" s="50" t="n">
        <x:v>0.295148</x:v>
      </x:c>
      <x:c r="J281" s="50" t="n">
        <x:v>0.863763</x:v>
      </x:c>
      <x:c r="K281" s="50" t="n">
        <x:v>0.313061</x:v>
      </x:c>
      <x:c r="L281" s="47" t="n">
        <x:v>612</x:v>
      </x:c>
      <x:c r="M281" s="47" t="n">
        <x:v>792</x:v>
      </x:c>
      <x:c r="N281" s="28" t="str">
        <x:v>top-left</x:v>
      </x:c>
      <x:c r="O281" s="28" t="str">
        <x:v>PDF points</x:v>
      </x:c>
    </x:row>
    <x:row r="282" ht="22" customHeight="1">
      <x:c r="A282" s="28" t="str">
        <x:v>ANC-CAM-054-01-R10</x:v>
      </x:c>
      <x:c r="B282" s="28" t="str">
        <x:v>ANC-CAM-054-01</x:v>
      </x:c>
      <x:c r="C282" s="28" t="n">
        <x:v>13</x:v>
      </x:c>
      <x:c r="D282" s="47" t="n">
        <x:v>395.275</x:v>
      </x:c>
      <x:c r="E282" s="47" t="n">
        <x:v>247.193</x:v>
      </x:c>
      <x:c r="F282" s="47" t="n">
        <x:v>528.771</x:v>
      </x:c>
      <x:c r="G282" s="47" t="n">
        <x:v>261.38</x:v>
      </x:c>
      <x:c r="H282" s="50" t="n">
        <x:v>0.645875</x:v>
      </x:c>
      <x:c r="I282" s="50" t="n">
        <x:v>0.312113</x:v>
      </x:c>
      <x:c r="J282" s="50" t="n">
        <x:v>0.864005</x:v>
      </x:c>
      <x:c r="K282" s="50" t="n">
        <x:v>0.330025</x:v>
      </x:c>
      <x:c r="L282" s="47" t="n">
        <x:v>612</x:v>
      </x:c>
      <x:c r="M282" s="47" t="n">
        <x:v>792</x:v>
      </x:c>
      <x:c r="N282" s="28" t="str">
        <x:v>top-left</x:v>
      </x:c>
      <x:c r="O282" s="28" t="str">
        <x:v>PDF points</x:v>
      </x:c>
    </x:row>
    <x:row r="283" ht="22" customHeight="1">
      <x:c r="A283" s="28" t="str">
        <x:v>ANC-CAM-054-01-R11</x:v>
      </x:c>
      <x:c r="B283" s="28" t="str">
        <x:v>ANC-CAM-054-01</x:v>
      </x:c>
      <x:c r="C283" s="28" t="n">
        <x:v>13</x:v>
      </x:c>
      <x:c r="D283" s="47" t="n">
        <x:v>395.275</x:v>
      </x:c>
      <x:c r="E283" s="47" t="n">
        <x:v>260.629</x:v>
      </x:c>
      <x:c r="F283" s="47" t="n">
        <x:v>485.582</x:v>
      </x:c>
      <x:c r="G283" s="47" t="n">
        <x:v>274.815</x:v>
      </x:c>
      <x:c r="H283" s="50" t="n">
        <x:v>0.645875</x:v>
      </x:c>
      <x:c r="I283" s="50" t="n">
        <x:v>0.329077</x:v>
      </x:c>
      <x:c r="J283" s="50" t="n">
        <x:v>0.793435</x:v>
      </x:c>
      <x:c r="K283" s="50" t="n">
        <x:v>0.346989</x:v>
      </x:c>
      <x:c r="L283" s="47" t="n">
        <x:v>612</x:v>
      </x:c>
      <x:c r="M283" s="47" t="n">
        <x:v>792</x:v>
      </x:c>
      <x:c r="N283" s="28" t="str">
        <x:v>top-left</x:v>
      </x:c>
      <x:c r="O283" s="28" t="str">
        <x:v>PDF points</x:v>
      </x:c>
    </x:row>
    <x:row r="284" ht="22" customHeight="1">
      <x:c r="A284" s="28" t="str">
        <x:v>ANC-CAM-054-01-R12</x:v>
      </x:c>
      <x:c r="B284" s="28" t="str">
        <x:v>ANC-CAM-054-01</x:v>
      </x:c>
      <x:c r="C284" s="28" t="n">
        <x:v>13</x:v>
      </x:c>
      <x:c r="D284" s="47" t="n">
        <x:v>77.64</x:v>
      </x:c>
      <x:c r="E284" s="47" t="n">
        <x:v>328.33</x:v>
      </x:c>
      <x:c r="F284" s="47" t="n">
        <x:v>194.833</x:v>
      </x:c>
      <x:c r="G284" s="47" t="n">
        <x:v>342.516</x:v>
      </x:c>
      <x:c r="H284" s="50" t="n">
        <x:v>0.126863</x:v>
      </x:c>
      <x:c r="I284" s="50" t="n">
        <x:v>0.414558</x:v>
      </x:c>
      <x:c r="J284" s="50" t="n">
        <x:v>0.318355</x:v>
      </x:c>
      <x:c r="K284" s="50" t="n">
        <x:v>0.43247</x:v>
      </x:c>
      <x:c r="L284" s="47" t="n">
        <x:v>612</x:v>
      </x:c>
      <x:c r="M284" s="47" t="n">
        <x:v>792</x:v>
      </x:c>
      <x:c r="N284" s="28" t="str">
        <x:v>top-left</x:v>
      </x:c>
      <x:c r="O284" s="28" t="str">
        <x:v>PDF points</x:v>
      </x:c>
    </x:row>
    <x:row r="285" ht="22" customHeight="1">
      <x:c r="A285" s="28" t="str">
        <x:v>ANC-CAM-054-01-R13</x:v>
      </x:c>
      <x:c r="B285" s="28" t="str">
        <x:v>ANC-CAM-054-01</x:v>
      </x:c>
      <x:c r="C285" s="28" t="n">
        <x:v>13</x:v>
      </x:c>
      <x:c r="D285" s="47" t="n">
        <x:v>77.64</x:v>
      </x:c>
      <x:c r="E285" s="47" t="n">
        <x:v>341.77</x:v>
      </x:c>
      <x:c r="F285" s="47" t="n">
        <x:v>179.827</x:v>
      </x:c>
      <x:c r="G285" s="47" t="n">
        <x:v>355.956</x:v>
      </x:c>
      <x:c r="H285" s="50" t="n">
        <x:v>0.126863</x:v>
      </x:c>
      <x:c r="I285" s="50" t="n">
        <x:v>0.431527</x:v>
      </x:c>
      <x:c r="J285" s="50" t="n">
        <x:v>0.293836</x:v>
      </x:c>
      <x:c r="K285" s="50" t="n">
        <x:v>0.449439</x:v>
      </x:c>
      <x:c r="L285" s="47" t="n">
        <x:v>612</x:v>
      </x:c>
      <x:c r="M285" s="47" t="n">
        <x:v>792</x:v>
      </x:c>
      <x:c r="N285" s="28" t="str">
        <x:v>top-left</x:v>
      </x:c>
      <x:c r="O285" s="28" t="str">
        <x:v>PDF points</x:v>
      </x:c>
    </x:row>
    <x:row r="286" ht="22" customHeight="1">
      <x:c r="A286" s="28" t="str">
        <x:v>ANC-CAM-054-01-R14</x:v>
      </x:c>
      <x:c r="B286" s="28" t="str">
        <x:v>ANC-CAM-054-01</x:v>
      </x:c>
      <x:c r="C286" s="28" t="n">
        <x:v>13</x:v>
      </x:c>
      <x:c r="D286" s="47" t="n">
        <x:v>77.64</x:v>
      </x:c>
      <x:c r="E286" s="47" t="n">
        <x:v>355.095</x:v>
      </x:c>
      <x:c r="F286" s="47" t="n">
        <x:v>179.211</x:v>
      </x:c>
      <x:c r="G286" s="47" t="n">
        <x:v>369.281</x:v>
      </x:c>
      <x:c r="H286" s="50" t="n">
        <x:v>0.126863</x:v>
      </x:c>
      <x:c r="I286" s="50" t="n">
        <x:v>0.448352</x:v>
      </x:c>
      <x:c r="J286" s="50" t="n">
        <x:v>0.292829</x:v>
      </x:c>
      <x:c r="K286" s="50" t="n">
        <x:v>0.466264</x:v>
      </x:c>
      <x:c r="L286" s="47" t="n">
        <x:v>612</x:v>
      </x:c>
      <x:c r="M286" s="47" t="n">
        <x:v>792</x:v>
      </x:c>
      <x:c r="N286" s="28" t="str">
        <x:v>top-left</x:v>
      </x:c>
      <x:c r="O286" s="28" t="str">
        <x:v>PDF points</x:v>
      </x:c>
    </x:row>
    <x:row r="287" ht="22" customHeight="1">
      <x:c r="A287" s="28" t="str">
        <x:v>ANC-CAM-054-01-R15</x:v>
      </x:c>
      <x:c r="B287" s="28" t="str">
        <x:v>ANC-CAM-054-01</x:v>
      </x:c>
      <x:c r="C287" s="28" t="n">
        <x:v>13</x:v>
      </x:c>
      <x:c r="D287" s="47" t="n">
        <x:v>77.64</x:v>
      </x:c>
      <x:c r="E287" s="47" t="n">
        <x:v>368.531</x:v>
      </x:c>
      <x:c r="F287" s="47" t="n">
        <x:v>165.545</x:v>
      </x:c>
      <x:c r="G287" s="47" t="n">
        <x:v>382.717</x:v>
      </x:c>
      <x:c r="H287" s="50" t="n">
        <x:v>0.126863</x:v>
      </x:c>
      <x:c r="I287" s="50" t="n">
        <x:v>0.465316</x:v>
      </x:c>
      <x:c r="J287" s="50" t="n">
        <x:v>0.270498</x:v>
      </x:c>
      <x:c r="K287" s="50" t="n">
        <x:v>0.483229</x:v>
      </x:c>
      <x:c r="L287" s="47" t="n">
        <x:v>612</x:v>
      </x:c>
      <x:c r="M287" s="47" t="n">
        <x:v>792</x:v>
      </x:c>
      <x:c r="N287" s="28" t="str">
        <x:v>top-left</x:v>
      </x:c>
      <x:c r="O287" s="28" t="str">
        <x:v>PDF points</x:v>
      </x:c>
    </x:row>
    <x:row r="288" ht="22" customHeight="1">
      <x:c r="A288" s="28" t="str">
        <x:v>ANC-CAM-054-01-R16</x:v>
      </x:c>
      <x:c r="B288" s="28" t="str">
        <x:v>ANC-CAM-054-01</x:v>
      </x:c>
      <x:c r="C288" s="28" t="n">
        <x:v>13</x:v>
      </x:c>
      <x:c r="D288" s="47" t="n">
        <x:v>77.64</x:v>
      </x:c>
      <x:c r="E288" s="47" t="n">
        <x:v>381.966</x:v>
      </x:c>
      <x:c r="F288" s="47" t="n">
        <x:v>163.265</x:v>
      </x:c>
      <x:c r="G288" s="47" t="n">
        <x:v>396.153</x:v>
      </x:c>
      <x:c r="H288" s="50" t="n">
        <x:v>0.126863</x:v>
      </x:c>
      <x:c r="I288" s="50" t="n">
        <x:v>0.482281</x:v>
      </x:c>
      <x:c r="J288" s="50" t="n">
        <x:v>0.266773</x:v>
      </x:c>
      <x:c r="K288" s="50" t="n">
        <x:v>0.500193</x:v>
      </x:c>
      <x:c r="L288" s="47" t="n">
        <x:v>612</x:v>
      </x:c>
      <x:c r="M288" s="47" t="n">
        <x:v>792</x:v>
      </x:c>
      <x:c r="N288" s="28" t="str">
        <x:v>top-left</x:v>
      </x:c>
      <x:c r="O288" s="28" t="str">
        <x:v>PDF points</x:v>
      </x:c>
    </x:row>
    <x:row r="289" ht="22" customHeight="1">
      <x:c r="A289" s="28" t="str">
        <x:v>ANC-CAM-054-01-R17</x:v>
      </x:c>
      <x:c r="B289" s="28" t="str">
        <x:v>ANC-CAM-054-01</x:v>
      </x:c>
      <x:c r="C289" s="28" t="n">
        <x:v>13</x:v>
      </x:c>
      <x:c r="D289" s="47" t="n">
        <x:v>209.16</x:v>
      </x:c>
      <x:c r="E289" s="47" t="n">
        <x:v>328.33</x:v>
      </x:c>
      <x:c r="F289" s="47" t="n">
        <x:v>212.914</x:v>
      </x:c>
      <x:c r="G289" s="47" t="n">
        <x:v>342.516</x:v>
      </x:c>
      <x:c r="H289" s="50" t="n">
        <x:v>0.341765</x:v>
      </x:c>
      <x:c r="I289" s="50" t="n">
        <x:v>0.414558</x:v>
      </x:c>
      <x:c r="J289" s="50" t="n">
        <x:v>0.347898</x:v>
      </x:c>
      <x:c r="K289" s="50" t="n">
        <x:v>0.43247</x:v>
      </x:c>
      <x:c r="L289" s="47" t="n">
        <x:v>612</x:v>
      </x:c>
      <x:c r="M289" s="47" t="n">
        <x:v>792</x:v>
      </x:c>
      <x:c r="N289" s="28" t="str">
        <x:v>top-left</x:v>
      </x:c>
      <x:c r="O289" s="28" t="str">
        <x:v>PDF points</x:v>
      </x:c>
    </x:row>
    <x:row r="290" ht="22" customHeight="1">
      <x:c r="A290" s="28" t="str">
        <x:v>ANC-CAM-054-01-R18</x:v>
      </x:c>
      <x:c r="B290" s="28" t="str">
        <x:v>ANC-CAM-054-01</x:v>
      </x:c>
      <x:c r="C290" s="28" t="n">
        <x:v>13</x:v>
      </x:c>
      <x:c r="D290" s="47" t="n">
        <x:v>227.16</x:v>
      </x:c>
      <x:c r="E290" s="47" t="n">
        <x:v>328.33</x:v>
      </x:c>
      <x:c r="F290" s="47" t="n">
        <x:v>352.267</x:v>
      </x:c>
      <x:c r="G290" s="47" t="n">
        <x:v>342.516</x:v>
      </x:c>
      <x:c r="H290" s="50" t="n">
        <x:v>0.371176</x:v>
      </x:c>
      <x:c r="I290" s="50" t="n">
        <x:v>0.414558</x:v>
      </x:c>
      <x:c r="J290" s="50" t="n">
        <x:v>0.5756</x:v>
      </x:c>
      <x:c r="K290" s="50" t="n">
        <x:v>0.43247</x:v>
      </x:c>
      <x:c r="L290" s="47" t="n">
        <x:v>612</x:v>
      </x:c>
      <x:c r="M290" s="47" t="n">
        <x:v>792</x:v>
      </x:c>
      <x:c r="N290" s="28" t="str">
        <x:v>top-left</x:v>
      </x:c>
      <x:c r="O290" s="28" t="str">
        <x:v>PDF points</x:v>
      </x:c>
    </x:row>
    <x:row r="291" ht="22" customHeight="1">
      <x:c r="A291" s="28" t="str">
        <x:v>ANC-CAM-054-01-R19</x:v>
      </x:c>
      <x:c r="B291" s="28" t="str">
        <x:v>ANC-CAM-054-01</x:v>
      </x:c>
      <x:c r="C291" s="28" t="n">
        <x:v>13</x:v>
      </x:c>
      <x:c r="D291" s="47" t="n">
        <x:v>227.16</x:v>
      </x:c>
      <x:c r="E291" s="47" t="n">
        <x:v>341.77</x:v>
      </x:c>
      <x:c r="F291" s="47" t="n">
        <x:v>297.92</x:v>
      </x:c>
      <x:c r="G291" s="47" t="n">
        <x:v>355.956</x:v>
      </x:c>
      <x:c r="H291" s="50" t="n">
        <x:v>0.371176</x:v>
      </x:c>
      <x:c r="I291" s="50" t="n">
        <x:v>0.431527</x:v>
      </x:c>
      <x:c r="J291" s="50" t="n">
        <x:v>0.486797</x:v>
      </x:c>
      <x:c r="K291" s="50" t="n">
        <x:v>0.449439</x:v>
      </x:c>
      <x:c r="L291" s="47" t="n">
        <x:v>612</x:v>
      </x:c>
      <x:c r="M291" s="47" t="n">
        <x:v>792</x:v>
      </x:c>
      <x:c r="N291" s="28" t="str">
        <x:v>top-left</x:v>
      </x:c>
      <x:c r="O291" s="28" t="str">
        <x:v>PDF points</x:v>
      </x:c>
    </x:row>
    <x:row r="292" ht="22" customHeight="1">
      <x:c r="A292" s="28" t="str">
        <x:v>ANC-CAM-054-01-R20</x:v>
      </x:c>
      <x:c r="B292" s="28" t="str">
        <x:v>ANC-CAM-054-01</x:v>
      </x:c>
      <x:c r="C292" s="28" t="n">
        <x:v>13</x:v>
      </x:c>
      <x:c r="D292" s="47" t="n">
        <x:v>209.16</x:v>
      </x:c>
      <x:c r="E292" s="47" t="n">
        <x:v>355.09</x:v>
      </x:c>
      <x:c r="F292" s="47" t="n">
        <x:v>212.914</x:v>
      </x:c>
      <x:c r="G292" s="47" t="n">
        <x:v>369.276</x:v>
      </x:c>
      <x:c r="H292" s="50" t="n">
        <x:v>0.341765</x:v>
      </x:c>
      <x:c r="I292" s="50" t="n">
        <x:v>0.448345</x:v>
      </x:c>
      <x:c r="J292" s="50" t="n">
        <x:v>0.347898</x:v>
      </x:c>
      <x:c r="K292" s="50" t="n">
        <x:v>0.466258</x:v>
      </x:c>
      <x:c r="L292" s="47" t="n">
        <x:v>612</x:v>
      </x:c>
      <x:c r="M292" s="47" t="n">
        <x:v>792</x:v>
      </x:c>
      <x:c r="N292" s="28" t="str">
        <x:v>top-left</x:v>
      </x:c>
      <x:c r="O292" s="28" t="str">
        <x:v>PDF points</x:v>
      </x:c>
    </x:row>
    <x:row r="293" ht="22" customHeight="1">
      <x:c r="A293" s="28" t="str">
        <x:v>ANC-CAM-054-01-R21</x:v>
      </x:c>
      <x:c r="B293" s="28" t="str">
        <x:v>ANC-CAM-054-01</x:v>
      </x:c>
      <x:c r="C293" s="28" t="n">
        <x:v>13</x:v>
      </x:c>
      <x:c r="D293" s="47" t="n">
        <x:v>227.155</x:v>
      </x:c>
      <x:c r="E293" s="47" t="n">
        <x:v>355.09</x:v>
      </x:c>
      <x:c r="F293" s="47" t="n">
        <x:v>339.899</x:v>
      </x:c>
      <x:c r="G293" s="47" t="n">
        <x:v>369.276</x:v>
      </x:c>
      <x:c r="H293" s="50" t="n">
        <x:v>0.371169</x:v>
      </x:c>
      <x:c r="I293" s="50" t="n">
        <x:v>0.448345</x:v>
      </x:c>
      <x:c r="J293" s="50" t="n">
        <x:v>0.555391</x:v>
      </x:c>
      <x:c r="K293" s="50" t="n">
        <x:v>0.466258</x:v>
      </x:c>
      <x:c r="L293" s="47" t="n">
        <x:v>612</x:v>
      </x:c>
      <x:c r="M293" s="47" t="n">
        <x:v>792</x:v>
      </x:c>
      <x:c r="N293" s="28" t="str">
        <x:v>top-left</x:v>
      </x:c>
      <x:c r="O293" s="28" t="str">
        <x:v>PDF points</x:v>
      </x:c>
    </x:row>
    <x:row r="294" ht="22" customHeight="1">
      <x:c r="A294" s="28" t="str">
        <x:v>ANC-CAM-054-01-R22</x:v>
      </x:c>
      <x:c r="B294" s="28" t="str">
        <x:v>ANC-CAM-054-01</x:v>
      </x:c>
      <x:c r="C294" s="28" t="n">
        <x:v>13</x:v>
      </x:c>
      <x:c r="D294" s="47" t="n">
        <x:v>227.155</x:v>
      </x:c>
      <x:c r="E294" s="47" t="n">
        <x:v>368.525</x:v>
      </x:c>
      <x:c r="F294" s="47" t="n">
        <x:v>328.36</x:v>
      </x:c>
      <x:c r="G294" s="47" t="n">
        <x:v>382.712</x:v>
      </x:c>
      <x:c r="H294" s="50" t="n">
        <x:v>0.371169</x:v>
      </x:c>
      <x:c r="I294" s="50" t="n">
        <x:v>0.46531</x:v>
      </x:c>
      <x:c r="J294" s="50" t="n">
        <x:v>0.536536</x:v>
      </x:c>
      <x:c r="K294" s="50" t="n">
        <x:v>0.483222</x:v>
      </x:c>
      <x:c r="L294" s="47" t="n">
        <x:v>612</x:v>
      </x:c>
      <x:c r="M294" s="47" t="n">
        <x:v>792</x:v>
      </x:c>
      <x:c r="N294" s="28" t="str">
        <x:v>top-left</x:v>
      </x:c>
      <x:c r="O294" s="28" t="str">
        <x:v>PDF points</x:v>
      </x:c>
    </x:row>
    <x:row r="295" ht="22" customHeight="1">
      <x:c r="A295" s="28" t="str">
        <x:v>ANC-CAM-054-01-R23</x:v>
      </x:c>
      <x:c r="B295" s="28" t="str">
        <x:v>ANC-CAM-054-01</x:v>
      </x:c>
      <x:c r="C295" s="28" t="n">
        <x:v>13</x:v>
      </x:c>
      <x:c r="D295" s="47" t="n">
        <x:v>227.155</x:v>
      </x:c>
      <x:c r="E295" s="47" t="n">
        <x:v>381.961</x:v>
      </x:c>
      <x:c r="F295" s="47" t="n">
        <x:v>266.591</x:v>
      </x:c>
      <x:c r="G295" s="47" t="n">
        <x:v>396.147</x:v>
      </x:c>
      <x:c r="H295" s="50" t="n">
        <x:v>0.371169</x:v>
      </x:c>
      <x:c r="I295" s="50" t="n">
        <x:v>0.482274</x:v>
      </x:c>
      <x:c r="J295" s="50" t="n">
        <x:v>0.435607</x:v>
      </x:c>
      <x:c r="K295" s="50" t="n">
        <x:v>0.500186</x:v>
      </x:c>
      <x:c r="L295" s="47" t="n">
        <x:v>612</x:v>
      </x:c>
      <x:c r="M295" s="47" t="n">
        <x:v>792</x:v>
      </x:c>
      <x:c r="N295" s="28" t="str">
        <x:v>top-left</x:v>
      </x:c>
      <x:c r="O295" s="28" t="str">
        <x:v>PDF points</x:v>
      </x:c>
    </x:row>
    <x:row r="296" ht="22" customHeight="1">
      <x:c r="A296" s="28" t="str">
        <x:v>ANC-CAM-054-01-R24</x:v>
      </x:c>
      <x:c r="B296" s="28" t="str">
        <x:v>ANC-CAM-054-01</x:v>
      </x:c>
      <x:c r="C296" s="28" t="n">
        <x:v>13</x:v>
      </x:c>
      <x:c r="D296" s="47" t="n">
        <x:v>377.28</x:v>
      </x:c>
      <x:c r="E296" s="47" t="n">
        <x:v>328.33</x:v>
      </x:c>
      <x:c r="F296" s="47" t="n">
        <x:v>381.034</x:v>
      </x:c>
      <x:c r="G296" s="47" t="n">
        <x:v>342.516</x:v>
      </x:c>
      <x:c r="H296" s="50" t="n">
        <x:v>0.616471</x:v>
      </x:c>
      <x:c r="I296" s="50" t="n">
        <x:v>0.414558</x:v>
      </x:c>
      <x:c r="J296" s="50" t="n">
        <x:v>0.622604</x:v>
      </x:c>
      <x:c r="K296" s="50" t="n">
        <x:v>0.43247</x:v>
      </x:c>
      <x:c r="L296" s="47" t="n">
        <x:v>612</x:v>
      </x:c>
      <x:c r="M296" s="47" t="n">
        <x:v>792</x:v>
      </x:c>
      <x:c r="N296" s="28" t="str">
        <x:v>top-left</x:v>
      </x:c>
      <x:c r="O296" s="28" t="str">
        <x:v>PDF points</x:v>
      </x:c>
    </x:row>
    <x:row r="297" ht="22" customHeight="1">
      <x:c r="A297" s="28" t="str">
        <x:v>ANC-CAM-054-01-R25</x:v>
      </x:c>
      <x:c r="B297" s="28" t="str">
        <x:v>ANC-CAM-054-01</x:v>
      </x:c>
      <x:c r="C297" s="28" t="n">
        <x:v>13</x:v>
      </x:c>
      <x:c r="D297" s="47" t="n">
        <x:v>395.28</x:v>
      </x:c>
      <x:c r="E297" s="47" t="n">
        <x:v>328.33</x:v>
      </x:c>
      <x:c r="F297" s="47" t="n">
        <x:v>515.237</x:v>
      </x:c>
      <x:c r="G297" s="47" t="n">
        <x:v>342.516</x:v>
      </x:c>
      <x:c r="H297" s="50" t="n">
        <x:v>0.645882</x:v>
      </x:c>
      <x:c r="I297" s="50" t="n">
        <x:v>0.414558</x:v>
      </x:c>
      <x:c r="J297" s="50" t="n">
        <x:v>0.84189</x:v>
      </x:c>
      <x:c r="K297" s="50" t="n">
        <x:v>0.43247</x:v>
      </x:c>
      <x:c r="L297" s="47" t="n">
        <x:v>612</x:v>
      </x:c>
      <x:c r="M297" s="47" t="n">
        <x:v>792</x:v>
      </x:c>
      <x:c r="N297" s="28" t="str">
        <x:v>top-left</x:v>
      </x:c>
      <x:c r="O297" s="28" t="str">
        <x:v>PDF points</x:v>
      </x:c>
    </x:row>
    <x:row r="298" ht="22" customHeight="1">
      <x:c r="A298" s="28" t="str">
        <x:v>ANC-CAM-054-01-R26</x:v>
      </x:c>
      <x:c r="B298" s="28" t="str">
        <x:v>ANC-CAM-054-01</x:v>
      </x:c>
      <x:c r="C298" s="28" t="n">
        <x:v>13</x:v>
      </x:c>
      <x:c r="D298" s="47" t="n">
        <x:v>395.28</x:v>
      </x:c>
      <x:c r="E298" s="47" t="n">
        <x:v>341.77</x:v>
      </x:c>
      <x:c r="F298" s="47" t="n">
        <x:v>530.107</x:v>
      </x:c>
      <x:c r="G298" s="47" t="n">
        <x:v>355.956</x:v>
      </x:c>
      <x:c r="H298" s="50" t="n">
        <x:v>0.645882</x:v>
      </x:c>
      <x:c r="I298" s="50" t="n">
        <x:v>0.431527</x:v>
      </x:c>
      <x:c r="J298" s="50" t="n">
        <x:v>0.866188</x:v>
      </x:c>
      <x:c r="K298" s="50" t="n">
        <x:v>0.449439</x:v>
      </x:c>
      <x:c r="L298" s="47" t="n">
        <x:v>612</x:v>
      </x:c>
      <x:c r="M298" s="47" t="n">
        <x:v>792</x:v>
      </x:c>
      <x:c r="N298" s="28" t="str">
        <x:v>top-left</x:v>
      </x:c>
      <x:c r="O298" s="28" t="str">
        <x:v>PDF points</x:v>
      </x:c>
    </x:row>
    <x:row r="299" ht="22" customHeight="1">
      <x:c r="A299" s="28" t="str">
        <x:v>ANC-CAM-054-01-R27</x:v>
      </x:c>
      <x:c r="B299" s="28" t="str">
        <x:v>ANC-CAM-054-01</x:v>
      </x:c>
      <x:c r="C299" s="28" t="n">
        <x:v>13</x:v>
      </x:c>
      <x:c r="D299" s="47" t="n">
        <x:v>395.28</x:v>
      </x:c>
      <x:c r="E299" s="47" t="n">
        <x:v>355.095</x:v>
      </x:c>
      <x:c r="F299" s="47" t="n">
        <x:v>541.624</x:v>
      </x:c>
      <x:c r="G299" s="47" t="n">
        <x:v>369.281</x:v>
      </x:c>
      <x:c r="H299" s="50" t="n">
        <x:v>0.645882</x:v>
      </x:c>
      <x:c r="I299" s="50" t="n">
        <x:v>0.448352</x:v>
      </x:c>
      <x:c r="J299" s="50" t="n">
        <x:v>0.885007</x:v>
      </x:c>
      <x:c r="K299" s="50" t="n">
        <x:v>0.466264</x:v>
      </x:c>
      <x:c r="L299" s="47" t="n">
        <x:v>612</x:v>
      </x:c>
      <x:c r="M299" s="47" t="n">
        <x:v>792</x:v>
      </x:c>
      <x:c r="N299" s="28" t="str">
        <x:v>top-left</x:v>
      </x:c>
      <x:c r="O299" s="28" t="str">
        <x:v>PDF points</x:v>
      </x:c>
    </x:row>
    <x:row r="300" ht="22" customHeight="1">
      <x:c r="A300" s="28" t="str">
        <x:v>ANC-CAM-054-01-R28</x:v>
      </x:c>
      <x:c r="B300" s="28" t="str">
        <x:v>ANC-CAM-054-01</x:v>
      </x:c>
      <x:c r="C300" s="28" t="n">
        <x:v>13</x:v>
      </x:c>
      <x:c r="D300" s="47" t="n">
        <x:v>395.28</x:v>
      </x:c>
      <x:c r="E300" s="47" t="n">
        <x:v>368.531</x:v>
      </x:c>
      <x:c r="F300" s="47" t="n">
        <x:v>433.527</x:v>
      </x:c>
      <x:c r="G300" s="47" t="n">
        <x:v>382.717</x:v>
      </x:c>
      <x:c r="H300" s="50" t="n">
        <x:v>0.645882</x:v>
      </x:c>
      <x:c r="I300" s="50" t="n">
        <x:v>0.465316</x:v>
      </x:c>
      <x:c r="J300" s="50" t="n">
        <x:v>0.708377</x:v>
      </x:c>
      <x:c r="K300" s="50" t="n">
        <x:v>0.483229</x:v>
      </x:c>
      <x:c r="L300" s="47" t="n">
        <x:v>612</x:v>
      </x:c>
      <x:c r="M300" s="47" t="n">
        <x:v>792</x:v>
      </x:c>
      <x:c r="N300" s="28" t="str">
        <x:v>top-left</x:v>
      </x:c>
      <x:c r="O300" s="28" t="str">
        <x:v>PDF points</x:v>
      </x:c>
    </x:row>
    <x:row r="301" ht="22" customHeight="1">
      <x:c r="A301" s="28" t="str">
        <x:v>ANC-CAM-054-01-R29</x:v>
      </x:c>
      <x:c r="B301" s="28" t="str">
        <x:v>ANC-CAM-054-01</x:v>
      </x:c>
      <x:c r="C301" s="28" t="n">
        <x:v>13</x:v>
      </x:c>
      <x:c r="D301" s="47" t="n">
        <x:v>377.28</x:v>
      </x:c>
      <x:c r="E301" s="47" t="n">
        <x:v>381.97</x:v>
      </x:c>
      <x:c r="F301" s="47" t="n">
        <x:v>381.034</x:v>
      </x:c>
      <x:c r="G301" s="47" t="n">
        <x:v>396.156</x:v>
      </x:c>
      <x:c r="H301" s="50" t="n">
        <x:v>0.616471</x:v>
      </x:c>
      <x:c r="I301" s="50" t="n">
        <x:v>0.482285</x:v>
      </x:c>
      <x:c r="J301" s="50" t="n">
        <x:v>0.622604</x:v>
      </x:c>
      <x:c r="K301" s="50" t="n">
        <x:v>0.500197</x:v>
      </x:c>
      <x:c r="L301" s="47" t="n">
        <x:v>612</x:v>
      </x:c>
      <x:c r="M301" s="47" t="n">
        <x:v>792</x:v>
      </x:c>
      <x:c r="N301" s="28" t="str">
        <x:v>top-left</x:v>
      </x:c>
      <x:c r="O301" s="28" t="str">
        <x:v>PDF points</x:v>
      </x:c>
    </x:row>
    <x:row r="302" ht="22" customHeight="1">
      <x:c r="A302" s="28" t="str">
        <x:v>ANC-CAM-054-01-R30</x:v>
      </x:c>
      <x:c r="B302" s="28" t="str">
        <x:v>ANC-CAM-054-01</x:v>
      </x:c>
      <x:c r="C302" s="28" t="n">
        <x:v>13</x:v>
      </x:c>
      <x:c r="D302" s="47" t="n">
        <x:v>395.275</x:v>
      </x:c>
      <x:c r="E302" s="47" t="n">
        <x:v>381.97</x:v>
      </x:c>
      <x:c r="F302" s="47" t="n">
        <x:v>495.937</x:v>
      </x:c>
      <x:c r="G302" s="47" t="n">
        <x:v>396.156</x:v>
      </x:c>
      <x:c r="H302" s="50" t="n">
        <x:v>0.645875</x:v>
      </x:c>
      <x:c r="I302" s="50" t="n">
        <x:v>0.482285</x:v>
      </x:c>
      <x:c r="J302" s="50" t="n">
        <x:v>0.810354</x:v>
      </x:c>
      <x:c r="K302" s="50" t="n">
        <x:v>0.500197</x:v>
      </x:c>
      <x:c r="L302" s="47" t="n">
        <x:v>612</x:v>
      </x:c>
      <x:c r="M302" s="47" t="n">
        <x:v>792</x:v>
      </x:c>
      <x:c r="N302" s="28" t="str">
        <x:v>top-left</x:v>
      </x:c>
      <x:c r="O302" s="28" t="str">
        <x:v>PDF points</x:v>
      </x:c>
    </x:row>
    <x:row r="303" ht="22" customHeight="1">
      <x:c r="A303" s="28" t="str">
        <x:v>ANC-CAM-055-01-R01</x:v>
      </x:c>
      <x:c r="B303" s="28" t="str">
        <x:v>ANC-CAM-055-01</x:v>
      </x:c>
      <x:c r="C303" s="28" t="n">
        <x:v>13</x:v>
      </x:c>
      <x:c r="D303" s="47" t="n">
        <x:v>227.155</x:v>
      </x:c>
      <x:c r="E303" s="47" t="n">
        <x:v>395.41</x:v>
      </x:c>
      <x:c r="F303" s="47" t="n">
        <x:v>339.897</x:v>
      </x:c>
      <x:c r="G303" s="47" t="n">
        <x:v>409.596</x:v>
      </x:c>
      <x:c r="H303" s="50" t="n">
        <x:v>0.371169</x:v>
      </x:c>
      <x:c r="I303" s="50" t="n">
        <x:v>0.499255</x:v>
      </x:c>
      <x:c r="J303" s="50" t="n">
        <x:v>0.555387</x:v>
      </x:c>
      <x:c r="K303" s="50" t="n">
        <x:v>0.517167</x:v>
      </x:c>
      <x:c r="L303" s="47" t="n">
        <x:v>612</x:v>
      </x:c>
      <x:c r="M303" s="47" t="n">
        <x:v>792</x:v>
      </x:c>
      <x:c r="N303" s="28" t="str">
        <x:v>top-left</x:v>
      </x:c>
      <x:c r="O303" s="28" t="str">
        <x:v>PDF points</x:v>
      </x:c>
    </x:row>
    <x:row r="304" ht="22" customHeight="1">
      <x:c r="A304" s="28" t="str">
        <x:v>ANC-CAM-055-01-R02</x:v>
      </x:c>
      <x:c r="B304" s="28" t="str">
        <x:v>ANC-CAM-055-01</x:v>
      </x:c>
      <x:c r="C304" s="28" t="n">
        <x:v>13</x:v>
      </x:c>
      <x:c r="D304" s="47" t="n">
        <x:v>227.155</x:v>
      </x:c>
      <x:c r="E304" s="47" t="n">
        <x:v>408.845</x:v>
      </x:c>
      <x:c r="F304" s="47" t="n">
        <x:v>325.853</x:v>
      </x:c>
      <x:c r="G304" s="47" t="n">
        <x:v>423.032</x:v>
      </x:c>
      <x:c r="H304" s="50" t="n">
        <x:v>0.371169</x:v>
      </x:c>
      <x:c r="I304" s="50" t="n">
        <x:v>0.516219</x:v>
      </x:c>
      <x:c r="J304" s="50" t="n">
        <x:v>0.532439</x:v>
      </x:c>
      <x:c r="K304" s="50" t="n">
        <x:v>0.534131</x:v>
      </x:c>
      <x:c r="L304" s="47" t="n">
        <x:v>612</x:v>
      </x:c>
      <x:c r="M304" s="47" t="n">
        <x:v>792</x:v>
      </x:c>
      <x:c r="N304" s="28" t="str">
        <x:v>top-left</x:v>
      </x:c>
      <x:c r="O304" s="28" t="str">
        <x:v>PDF points</x:v>
      </x:c>
    </x:row>
    <x:row r="305" ht="22" customHeight="1">
      <x:c r="A305" s="28" t="str">
        <x:v>ANC-CAM-055-01-R03</x:v>
      </x:c>
      <x:c r="B305" s="28" t="str">
        <x:v>ANC-CAM-055-01</x:v>
      </x:c>
      <x:c r="C305" s="28" t="n">
        <x:v>13</x:v>
      </x:c>
      <x:c r="D305" s="47" t="n">
        <x:v>227.155</x:v>
      </x:c>
      <x:c r="E305" s="47" t="n">
        <x:v>422.281</x:v>
      </x:c>
      <x:c r="F305" s="47" t="n">
        <x:v>349.525</x:v>
      </x:c>
      <x:c r="G305" s="47" t="n">
        <x:v>436.467</x:v>
      </x:c>
      <x:c r="H305" s="50" t="n">
        <x:v>0.371169</x:v>
      </x:c>
      <x:c r="I305" s="50" t="n">
        <x:v>0.533183</x:v>
      </x:c>
      <x:c r="J305" s="50" t="n">
        <x:v>0.571119</x:v>
      </x:c>
      <x:c r="K305" s="50" t="n">
        <x:v>0.551095</x:v>
      </x:c>
      <x:c r="L305" s="47" t="n">
        <x:v>612</x:v>
      </x:c>
      <x:c r="M305" s="47" t="n">
        <x:v>792</x:v>
      </x:c>
      <x:c r="N305" s="28" t="str">
        <x:v>top-left</x:v>
      </x:c>
      <x:c r="O305" s="28" t="str">
        <x:v>PDF points</x:v>
      </x:c>
    </x:row>
    <x:row r="306" ht="22" customHeight="1">
      <x:c r="A306" s="28" t="str">
        <x:v>ANC-CAM-056-01-R01</x:v>
      </x:c>
      <x:c r="B306" s="28" t="str">
        <x:v>ANC-CAM-056-01</x:v>
      </x:c>
      <x:c r="C306" s="28" t="n">
        <x:v>13</x:v>
      </x:c>
      <x:c r="D306" s="47" t="n">
        <x:v>395.28</x:v>
      </x:c>
      <x:c r="E306" s="47" t="n">
        <x:v>328.33</x:v>
      </x:c>
      <x:c r="F306" s="47" t="n">
        <x:v>515.237</x:v>
      </x:c>
      <x:c r="G306" s="47" t="n">
        <x:v>342.516</x:v>
      </x:c>
      <x:c r="H306" s="50" t="n">
        <x:v>0.645882</x:v>
      </x:c>
      <x:c r="I306" s="50" t="n">
        <x:v>0.414558</x:v>
      </x:c>
      <x:c r="J306" s="50" t="n">
        <x:v>0.84189</x:v>
      </x:c>
      <x:c r="K306" s="50" t="n">
        <x:v>0.43247</x:v>
      </x:c>
      <x:c r="L306" s="47" t="n">
        <x:v>612</x:v>
      </x:c>
      <x:c r="M306" s="47" t="n">
        <x:v>792</x:v>
      </x:c>
      <x:c r="N306" s="28" t="str">
        <x:v>top-left</x:v>
      </x:c>
      <x:c r="O306" s="28" t="str">
        <x:v>PDF points</x:v>
      </x:c>
    </x:row>
    <x:row r="307" ht="22" customHeight="1">
      <x:c r="A307" s="28" t="str">
        <x:v>ANC-CAM-056-01-R02</x:v>
      </x:c>
      <x:c r="B307" s="28" t="str">
        <x:v>ANC-CAM-056-01</x:v>
      </x:c>
      <x:c r="C307" s="28" t="n">
        <x:v>13</x:v>
      </x:c>
      <x:c r="D307" s="47" t="n">
        <x:v>395.28</x:v>
      </x:c>
      <x:c r="E307" s="47" t="n">
        <x:v>341.77</x:v>
      </x:c>
      <x:c r="F307" s="47" t="n">
        <x:v>530.107</x:v>
      </x:c>
      <x:c r="G307" s="47" t="n">
        <x:v>355.956</x:v>
      </x:c>
      <x:c r="H307" s="50" t="n">
        <x:v>0.645882</x:v>
      </x:c>
      <x:c r="I307" s="50" t="n">
        <x:v>0.431527</x:v>
      </x:c>
      <x:c r="J307" s="50" t="n">
        <x:v>0.866188</x:v>
      </x:c>
      <x:c r="K307" s="50" t="n">
        <x:v>0.449439</x:v>
      </x:c>
      <x:c r="L307" s="47" t="n">
        <x:v>612</x:v>
      </x:c>
      <x:c r="M307" s="47" t="n">
        <x:v>792</x:v>
      </x:c>
      <x:c r="N307" s="28" t="str">
        <x:v>top-left</x:v>
      </x:c>
      <x:c r="O307" s="28" t="str">
        <x:v>PDF points</x:v>
      </x:c>
    </x:row>
    <x:row r="308" ht="22" customHeight="1">
      <x:c r="A308" s="28" t="str">
        <x:v>ANC-CAM-056-01-R03</x:v>
      </x:c>
      <x:c r="B308" s="28" t="str">
        <x:v>ANC-CAM-056-01</x:v>
      </x:c>
      <x:c r="C308" s="28" t="n">
        <x:v>13</x:v>
      </x:c>
      <x:c r="D308" s="47" t="n">
        <x:v>395.28</x:v>
      </x:c>
      <x:c r="E308" s="47" t="n">
        <x:v>355.095</x:v>
      </x:c>
      <x:c r="F308" s="47" t="n">
        <x:v>541.624</x:v>
      </x:c>
      <x:c r="G308" s="47" t="n">
        <x:v>369.281</x:v>
      </x:c>
      <x:c r="H308" s="50" t="n">
        <x:v>0.645882</x:v>
      </x:c>
      <x:c r="I308" s="50" t="n">
        <x:v>0.448352</x:v>
      </x:c>
      <x:c r="J308" s="50" t="n">
        <x:v>0.885007</x:v>
      </x:c>
      <x:c r="K308" s="50" t="n">
        <x:v>0.466264</x:v>
      </x:c>
      <x:c r="L308" s="47" t="n">
        <x:v>612</x:v>
      </x:c>
      <x:c r="M308" s="47" t="n">
        <x:v>792</x:v>
      </x:c>
      <x:c r="N308" s="28" t="str">
        <x:v>top-left</x:v>
      </x:c>
      <x:c r="O308" s="28" t="str">
        <x:v>PDF points</x:v>
      </x:c>
    </x:row>
    <x:row r="309" ht="22" customHeight="1">
      <x:c r="A309" s="28" t="str">
        <x:v>ANC-CAM-056-01-R04</x:v>
      </x:c>
      <x:c r="B309" s="28" t="str">
        <x:v>ANC-CAM-056-01</x:v>
      </x:c>
      <x:c r="C309" s="28" t="n">
        <x:v>13</x:v>
      </x:c>
      <x:c r="D309" s="47" t="n">
        <x:v>395.28</x:v>
      </x:c>
      <x:c r="E309" s="47" t="n">
        <x:v>368.531</x:v>
      </x:c>
      <x:c r="F309" s="47" t="n">
        <x:v>433.527</x:v>
      </x:c>
      <x:c r="G309" s="47" t="n">
        <x:v>382.717</x:v>
      </x:c>
      <x:c r="H309" s="50" t="n">
        <x:v>0.645882</x:v>
      </x:c>
      <x:c r="I309" s="50" t="n">
        <x:v>0.465316</x:v>
      </x:c>
      <x:c r="J309" s="50" t="n">
        <x:v>0.708377</x:v>
      </x:c>
      <x:c r="K309" s="50" t="n">
        <x:v>0.483229</x:v>
      </x:c>
      <x:c r="L309" s="47" t="n">
        <x:v>612</x:v>
      </x:c>
      <x:c r="M309" s="47" t="n">
        <x:v>792</x:v>
      </x:c>
      <x:c r="N309" s="28" t="str">
        <x:v>top-left</x:v>
      </x:c>
      <x:c r="O309" s="28" t="str">
        <x:v>PDF points</x:v>
      </x:c>
    </x:row>
    <x:row r="310" ht="22" customHeight="1">
      <x:c r="A310" s="28" t="str">
        <x:v>ANC-CAM-057-01-R01</x:v>
      </x:c>
      <x:c r="B310" s="28" t="str">
        <x:v>ANC-CAM-057-01</x:v>
      </x:c>
      <x:c r="C310" s="28" t="n">
        <x:v>13</x:v>
      </x:c>
      <x:c r="D310" s="47" t="n">
        <x:v>227.16</x:v>
      </x:c>
      <x:c r="E310" s="47" t="n">
        <x:v>463.09</x:v>
      </x:c>
      <x:c r="F310" s="47" t="n">
        <x:v>346.051</x:v>
      </x:c>
      <x:c r="G310" s="47" t="n">
        <x:v>477.276</x:v>
      </x:c>
      <x:c r="H310" s="50" t="n">
        <x:v>0.371176</x:v>
      </x:c>
      <x:c r="I310" s="50" t="n">
        <x:v>0.584709</x:v>
      </x:c>
      <x:c r="J310" s="50" t="n">
        <x:v>0.565442</x:v>
      </x:c>
      <x:c r="K310" s="50" t="n">
        <x:v>0.602621</x:v>
      </x:c>
      <x:c r="L310" s="47" t="n">
        <x:v>612</x:v>
      </x:c>
      <x:c r="M310" s="47" t="n">
        <x:v>792</x:v>
      </x:c>
      <x:c r="N310" s="28" t="str">
        <x:v>top-left</x:v>
      </x:c>
      <x:c r="O310" s="28" t="str">
        <x:v>PDF points</x:v>
      </x:c>
    </x:row>
    <x:row r="311" ht="22" customHeight="1">
      <x:c r="A311" s="28" t="str">
        <x:v>ANC-CAM-057-01-R02</x:v>
      </x:c>
      <x:c r="B311" s="28" t="str">
        <x:v>ANC-CAM-057-01</x:v>
      </x:c>
      <x:c r="C311" s="28" t="n">
        <x:v>13</x:v>
      </x:c>
      <x:c r="D311" s="47" t="n">
        <x:v>227.16</x:v>
      </x:c>
      <x:c r="E311" s="47" t="n">
        <x:v>476.53</x:v>
      </x:c>
      <x:c r="F311" s="47" t="n">
        <x:v>341.98</x:v>
      </x:c>
      <x:c r="G311" s="47" t="n">
        <x:v>490.716</x:v>
      </x:c>
      <x:c r="H311" s="50" t="n">
        <x:v>0.371176</x:v>
      </x:c>
      <x:c r="I311" s="50" t="n">
        <x:v>0.601679</x:v>
      </x:c>
      <x:c r="J311" s="50" t="n">
        <x:v>0.558791</x:v>
      </x:c>
      <x:c r="K311" s="50" t="n">
        <x:v>0.619591</x:v>
      </x:c>
      <x:c r="L311" s="47" t="n">
        <x:v>612</x:v>
      </x:c>
      <x:c r="M311" s="47" t="n">
        <x:v>792</x:v>
      </x:c>
      <x:c r="N311" s="28" t="str">
        <x:v>top-left</x:v>
      </x:c>
      <x:c r="O311" s="28" t="str">
        <x:v>PDF points</x:v>
      </x:c>
    </x:row>
    <x:row r="312" ht="22" customHeight="1">
      <x:c r="A312" s="28" t="str">
        <x:v>ANC-CAM-058-01-R01</x:v>
      </x:c>
      <x:c r="B312" s="28" t="str">
        <x:v>ANC-CAM-058-01</x:v>
      </x:c>
      <x:c r="C312" s="28" t="n">
        <x:v>13</x:v>
      </x:c>
      <x:c r="D312" s="47" t="n">
        <x:v>395.28</x:v>
      </x:c>
      <x:c r="E312" s="47" t="n">
        <x:v>463.09</x:v>
      </x:c>
      <x:c r="F312" s="47" t="n">
        <x:v>517.156</x:v>
      </x:c>
      <x:c r="G312" s="47" t="n">
        <x:v>477.276</x:v>
      </x:c>
      <x:c r="H312" s="50" t="n">
        <x:v>0.645882</x:v>
      </x:c>
      <x:c r="I312" s="50" t="n">
        <x:v>0.584709</x:v>
      </x:c>
      <x:c r="J312" s="50" t="n">
        <x:v>0.845027</x:v>
      </x:c>
      <x:c r="K312" s="50" t="n">
        <x:v>0.602621</x:v>
      </x:c>
      <x:c r="L312" s="47" t="n">
        <x:v>612</x:v>
      </x:c>
      <x:c r="M312" s="47" t="n">
        <x:v>792</x:v>
      </x:c>
      <x:c r="N312" s="28" t="str">
        <x:v>top-left</x:v>
      </x:c>
      <x:c r="O312" s="28" t="str">
        <x:v>PDF points</x:v>
      </x:c>
    </x:row>
    <x:row r="313" ht="22" customHeight="1">
      <x:c r="A313" s="28" t="str">
        <x:v>ANC-CAM-058-01-R02</x:v>
      </x:c>
      <x:c r="B313" s="28" t="str">
        <x:v>ANC-CAM-058-01</x:v>
      </x:c>
      <x:c r="C313" s="28" t="n">
        <x:v>13</x:v>
      </x:c>
      <x:c r="D313" s="47" t="n">
        <x:v>395.28</x:v>
      </x:c>
      <x:c r="E313" s="47" t="n">
        <x:v>476.53</x:v>
      </x:c>
      <x:c r="F313" s="47" t="n">
        <x:v>540.547</x:v>
      </x:c>
      <x:c r="G313" s="47" t="n">
        <x:v>490.716</x:v>
      </x:c>
      <x:c r="H313" s="50" t="n">
        <x:v>0.645882</x:v>
      </x:c>
      <x:c r="I313" s="50" t="n">
        <x:v>0.601679</x:v>
      </x:c>
      <x:c r="J313" s="50" t="n">
        <x:v>0.883246</x:v>
      </x:c>
      <x:c r="K313" s="50" t="n">
        <x:v>0.619591</x:v>
      </x:c>
      <x:c r="L313" s="47" t="n">
        <x:v>612</x:v>
      </x:c>
      <x:c r="M313" s="47" t="n">
        <x:v>792</x:v>
      </x:c>
      <x:c r="N313" s="28" t="str">
        <x:v>top-left</x:v>
      </x:c>
      <x:c r="O313" s="28" t="str">
        <x:v>PDF points</x:v>
      </x:c>
    </x:row>
    <x:row r="314" ht="22" customHeight="1">
      <x:c r="A314" s="28" t="str">
        <x:v>ANC-CAM-059-01-R01</x:v>
      </x:c>
      <x:c r="B314" s="28" t="str">
        <x:v>ANC-CAM-059-01</x:v>
      </x:c>
      <x:c r="C314" s="28" t="n">
        <x:v>13</x:v>
      </x:c>
      <x:c r="D314" s="47" t="n">
        <x:v>395.275</x:v>
      </x:c>
      <x:c r="E314" s="47" t="n">
        <x:v>503.295</x:v>
      </x:c>
      <x:c r="F314" s="47" t="n">
        <x:v>541.031</x:v>
      </x:c>
      <x:c r="G314" s="47" t="n">
        <x:v>517.481</x:v>
      </x:c>
      <x:c r="H314" s="50" t="n">
        <x:v>0.645875</x:v>
      </x:c>
      <x:c r="I314" s="50" t="n">
        <x:v>0.635473</x:v>
      </x:c>
      <x:c r="J314" s="50" t="n">
        <x:v>0.884037</x:v>
      </x:c>
      <x:c r="K314" s="50" t="n">
        <x:v>0.653386</x:v>
      </x:c>
      <x:c r="L314" s="47" t="n">
        <x:v>612</x:v>
      </x:c>
      <x:c r="M314" s="47" t="n">
        <x:v>792</x:v>
      </x:c>
      <x:c r="N314" s="28" t="str">
        <x:v>top-left</x:v>
      </x:c>
      <x:c r="O314" s="28" t="str">
        <x:v>PDF points</x:v>
      </x:c>
    </x:row>
    <x:row r="315" ht="22" customHeight="1">
      <x:c r="A315" s="28" t="str">
        <x:v>ANC-CAM-059-01-R02</x:v>
      </x:c>
      <x:c r="B315" s="28" t="str">
        <x:v>ANC-CAM-059-01</x:v>
      </x:c>
      <x:c r="C315" s="28" t="n">
        <x:v>13</x:v>
      </x:c>
      <x:c r="D315" s="47" t="n">
        <x:v>395.275</x:v>
      </x:c>
      <x:c r="E315" s="47" t="n">
        <x:v>516.731</x:v>
      </x:c>
      <x:c r="F315" s="47" t="n">
        <x:v>533.627</x:v>
      </x:c>
      <x:c r="G315" s="47" t="n">
        <x:v>530.917</x:v>
      </x:c>
      <x:c r="H315" s="50" t="n">
        <x:v>0.645875</x:v>
      </x:c>
      <x:c r="I315" s="50" t="n">
        <x:v>0.652438</x:v>
      </x:c>
      <x:c r="J315" s="50" t="n">
        <x:v>0.87194</x:v>
      </x:c>
      <x:c r="K315" s="50" t="n">
        <x:v>0.67035</x:v>
      </x:c>
      <x:c r="L315" s="47" t="n">
        <x:v>612</x:v>
      </x:c>
      <x:c r="M315" s="47" t="n">
        <x:v>792</x:v>
      </x:c>
      <x:c r="N315" s="28" t="str">
        <x:v>top-left</x:v>
      </x:c>
      <x:c r="O315" s="28" t="str">
        <x:v>PDF points</x:v>
      </x:c>
    </x:row>
    <x:row r="316" ht="22" customHeight="1">
      <x:c r="A316" s="28" t="str">
        <x:v>ANC-CAM-060-01-R01</x:v>
      </x:c>
      <x:c r="B316" s="28" t="str">
        <x:v>ANC-CAM-060-01</x:v>
      </x:c>
      <x:c r="C316" s="28" t="n">
        <x:v>4</x:v>
      </x:c>
      <x:c r="D316" s="47" t="n">
        <x:v>72.037</x:v>
      </x:c>
      <x:c r="E316" s="47" t="n">
        <x:v>388.308</x:v>
      </x:c>
      <x:c r="F316" s="47" t="n">
        <x:v>152.625</x:v>
      </x:c>
      <x:c r="G316" s="47" t="n">
        <x:v>402.495</x:v>
      </x:c>
      <x:c r="H316" s="50" t="n">
        <x:v>0.117707</x:v>
      </x:c>
      <x:c r="I316" s="50" t="n">
        <x:v>0.490288</x:v>
      </x:c>
      <x:c r="J316" s="50" t="n">
        <x:v>0.249387</x:v>
      </x:c>
      <x:c r="K316" s="50" t="n">
        <x:v>0.5082</x:v>
      </x:c>
      <x:c r="L316" s="47" t="n">
        <x:v>612</x:v>
      </x:c>
      <x:c r="M316" s="47" t="n">
        <x:v>792</x:v>
      </x:c>
      <x:c r="N316" s="28" t="str">
        <x:v>top-left</x:v>
      </x:c>
      <x:c r="O316" s="28" t="str">
        <x:v>PDF points</x:v>
      </x:c>
    </x:row>
    <x:row r="317" ht="22" customHeight="1">
      <x:c r="A317" s="28" t="str">
        <x:v>ANC-CAM-060-01-R02</x:v>
      </x:c>
      <x:c r="B317" s="28" t="str">
        <x:v>ANC-CAM-060-01</x:v>
      </x:c>
      <x:c r="C317" s="28" t="n">
        <x:v>4</x:v>
      </x:c>
      <x:c r="D317" s="47" t="n">
        <x:v>72.037</x:v>
      </x:c>
      <x:c r="E317" s="47" t="n">
        <x:v>415.18</x:v>
      </x:c>
      <x:c r="F317" s="47" t="n">
        <x:v>540.101</x:v>
      </x:c>
      <x:c r="G317" s="47" t="n">
        <x:v>429.366</x:v>
      </x:c>
      <x:c r="H317" s="50" t="n">
        <x:v>0.117707</x:v>
      </x:c>
      <x:c r="I317" s="50" t="n">
        <x:v>0.524217</x:v>
      </x:c>
      <x:c r="J317" s="50" t="n">
        <x:v>0.882518</x:v>
      </x:c>
      <x:c r="K317" s="50" t="n">
        <x:v>0.542129</x:v>
      </x:c>
      <x:c r="L317" s="47" t="n">
        <x:v>612</x:v>
      </x:c>
      <x:c r="M317" s="47" t="n">
        <x:v>792</x:v>
      </x:c>
      <x:c r="N317" s="28" t="str">
        <x:v>top-left</x:v>
      </x:c>
      <x:c r="O317" s="28" t="str">
        <x:v>PDF points</x:v>
      </x:c>
    </x:row>
    <x:row r="318" ht="22" customHeight="1">
      <x:c r="A318" s="28" t="str">
        <x:v>ANC-CAM-060-01-R03</x:v>
      </x:c>
      <x:c r="B318" s="28" t="str">
        <x:v>ANC-CAM-060-01</x:v>
      </x:c>
      <x:c r="C318" s="28" t="n">
        <x:v>4</x:v>
      </x:c>
      <x:c r="D318" s="47" t="n">
        <x:v>72.037</x:v>
      </x:c>
      <x:c r="E318" s="47" t="n">
        <x:v>428.615</x:v>
      </x:c>
      <x:c r="F318" s="47" t="n">
        <x:v>540.102</x:v>
      </x:c>
      <x:c r="G318" s="47" t="n">
        <x:v>442.802</x:v>
      </x:c>
      <x:c r="H318" s="50" t="n">
        <x:v>0.117707</x:v>
      </x:c>
      <x:c r="I318" s="50" t="n">
        <x:v>0.541181</x:v>
      </x:c>
      <x:c r="J318" s="50" t="n">
        <x:v>0.88252</x:v>
      </x:c>
      <x:c r="K318" s="50" t="n">
        <x:v>0.559093</x:v>
      </x:c>
      <x:c r="L318" s="47" t="n">
        <x:v>612</x:v>
      </x:c>
      <x:c r="M318" s="47" t="n">
        <x:v>792</x:v>
      </x:c>
      <x:c r="N318" s="28" t="str">
        <x:v>top-left</x:v>
      </x:c>
      <x:c r="O318" s="28" t="str">
        <x:v>PDF points</x:v>
      </x:c>
    </x:row>
    <x:row r="319" ht="22" customHeight="1">
      <x:c r="A319" s="28" t="str">
        <x:v>ANC-CAM-060-01-R04</x:v>
      </x:c>
      <x:c r="B319" s="28" t="str">
        <x:v>ANC-CAM-060-01</x:v>
      </x:c>
      <x:c r="C319" s="28" t="n">
        <x:v>4</x:v>
      </x:c>
      <x:c r="D319" s="47" t="n">
        <x:v>72.037</x:v>
      </x:c>
      <x:c r="E319" s="47" t="n">
        <x:v>442.051</x:v>
      </x:c>
      <x:c r="F319" s="47" t="n">
        <x:v>540.104</x:v>
      </x:c>
      <x:c r="G319" s="47" t="n">
        <x:v>456.237</x:v>
      </x:c>
      <x:c r="H319" s="50" t="n">
        <x:v>0.117707</x:v>
      </x:c>
      <x:c r="I319" s="50" t="n">
        <x:v>0.558145</x:v>
      </x:c>
      <x:c r="J319" s="50" t="n">
        <x:v>0.882523</x:v>
      </x:c>
      <x:c r="K319" s="50" t="n">
        <x:v>0.576057</x:v>
      </x:c>
      <x:c r="L319" s="47" t="n">
        <x:v>612</x:v>
      </x:c>
      <x:c r="M319" s="47" t="n">
        <x:v>792</x:v>
      </x:c>
      <x:c r="N319" s="28" t="str">
        <x:v>top-left</x:v>
      </x:c>
      <x:c r="O319" s="28" t="str">
        <x:v>PDF points</x:v>
      </x:c>
    </x:row>
    <x:row r="320" ht="22" customHeight="1">
      <x:c r="A320" s="28" t="str">
        <x:v>ANC-CAM-060-01-R05</x:v>
      </x:c>
      <x:c r="B320" s="28" t="str">
        <x:v>ANC-CAM-060-01</x:v>
      </x:c>
      <x:c r="C320" s="28" t="n">
        <x:v>4</x:v>
      </x:c>
      <x:c r="D320" s="47" t="n">
        <x:v>72.037</x:v>
      </x:c>
      <x:c r="E320" s="47" t="n">
        <x:v>455.487</x:v>
      </x:c>
      <x:c r="F320" s="47" t="n">
        <x:v>284.709</x:v>
      </x:c>
      <x:c r="G320" s="47" t="n">
        <x:v>469.673</x:v>
      </x:c>
      <x:c r="H320" s="50" t="n">
        <x:v>0.117707</x:v>
      </x:c>
      <x:c r="I320" s="50" t="n">
        <x:v>0.57511</x:v>
      </x:c>
      <x:c r="J320" s="50" t="n">
        <x:v>0.465211</x:v>
      </x:c>
      <x:c r="K320" s="50" t="n">
        <x:v>0.593022</x:v>
      </x:c>
      <x:c r="L320" s="47" t="n">
        <x:v>612</x:v>
      </x:c>
      <x:c r="M320" s="47" t="n">
        <x:v>792</x:v>
      </x:c>
      <x:c r="N320" s="28" t="str">
        <x:v>top-left</x:v>
      </x:c>
      <x:c r="O320" s="28" t="str">
        <x:v>PDF points</x:v>
      </x:c>
    </x:row>
    <x:row r="321" ht="22" customHeight="1">
      <x:c r="A321" s="28" t="str">
        <x:v>ANC-CAM-061-01-R01</x:v>
      </x:c>
      <x:c r="B321" s="28" t="str">
        <x:v>ANC-CAM-061-01</x:v>
      </x:c>
      <x:c r="C321" s="28" t="n">
        <x:v>4</x:v>
      </x:c>
      <x:c r="D321" s="47" t="n">
        <x:v>288.399</x:v>
      </x:c>
      <x:c r="E321" s="47" t="n">
        <x:v>455.487</x:v>
      </x:c>
      <x:c r="F321" s="47" t="n">
        <x:v>540.124</x:v>
      </x:c>
      <x:c r="G321" s="47" t="n">
        <x:v>469.673</x:v>
      </x:c>
      <x:c r="H321" s="50" t="n">
        <x:v>0.47124</x:v>
      </x:c>
      <x:c r="I321" s="50" t="n">
        <x:v>0.57511</x:v>
      </x:c>
      <x:c r="J321" s="50" t="n">
        <x:v>0.882556</x:v>
      </x:c>
      <x:c r="K321" s="50" t="n">
        <x:v>0.593022</x:v>
      </x:c>
      <x:c r="L321" s="47" t="n">
        <x:v>612</x:v>
      </x:c>
      <x:c r="M321" s="47" t="n">
        <x:v>792</x:v>
      </x:c>
      <x:c r="N321" s="28" t="str">
        <x:v>top-left</x:v>
      </x:c>
      <x:c r="O321" s="28" t="str">
        <x:v>PDF points</x:v>
      </x:c>
    </x:row>
    <x:row r="322" ht="22" customHeight="1">
      <x:c r="A322" s="28" t="str">
        <x:v>ANC-CAM-061-01-R02</x:v>
      </x:c>
      <x:c r="B322" s="28" t="str">
        <x:v>ANC-CAM-061-01</x:v>
      </x:c>
      <x:c r="C322" s="28" t="n">
        <x:v>4</x:v>
      </x:c>
      <x:c r="D322" s="47" t="n">
        <x:v>72.037</x:v>
      </x:c>
      <x:c r="E322" s="47" t="n">
        <x:v>468.812</x:v>
      </x:c>
      <x:c r="F322" s="47" t="n">
        <x:v>540.086</x:v>
      </x:c>
      <x:c r="G322" s="47" t="n">
        <x:v>482.998</x:v>
      </x:c>
      <x:c r="H322" s="50" t="n">
        <x:v>0.117707</x:v>
      </x:c>
      <x:c r="I322" s="50" t="n">
        <x:v>0.591934</x:v>
      </x:c>
      <x:c r="J322" s="50" t="n">
        <x:v>0.882493</x:v>
      </x:c>
      <x:c r="K322" s="50" t="n">
        <x:v>0.609846</x:v>
      </x:c>
      <x:c r="L322" s="47" t="n">
        <x:v>612</x:v>
      </x:c>
      <x:c r="M322" s="47" t="n">
        <x:v>792</x:v>
      </x:c>
      <x:c r="N322" s="28" t="str">
        <x:v>top-left</x:v>
      </x:c>
      <x:c r="O322" s="28" t="str">
        <x:v>PDF points</x:v>
      </x:c>
    </x:row>
    <x:row r="323" ht="22" customHeight="1">
      <x:c r="A323" s="28" t="str">
        <x:v>ANC-CAM-061-01-R03</x:v>
      </x:c>
      <x:c r="B323" s="28" t="str">
        <x:v>ANC-CAM-061-01</x:v>
      </x:c>
      <x:c r="C323" s="28" t="n">
        <x:v>4</x:v>
      </x:c>
      <x:c r="D323" s="47" t="n">
        <x:v>72.037</x:v>
      </x:c>
      <x:c r="E323" s="47" t="n">
        <x:v>482.248</x:v>
      </x:c>
      <x:c r="F323" s="47" t="n">
        <x:v>425.473</x:v>
      </x:c>
      <x:c r="G323" s="47" t="n">
        <x:v>496.434</x:v>
      </x:c>
      <x:c r="H323" s="50" t="n">
        <x:v>0.117707</x:v>
      </x:c>
      <x:c r="I323" s="50" t="n">
        <x:v>0.608899</x:v>
      </x:c>
      <x:c r="J323" s="50" t="n">
        <x:v>0.695217</x:v>
      </x:c>
      <x:c r="K323" s="50" t="n">
        <x:v>0.626811</x:v>
      </x:c>
      <x:c r="L323" s="47" t="n">
        <x:v>612</x:v>
      </x:c>
      <x:c r="M323" s="47" t="n">
        <x:v>792</x:v>
      </x:c>
      <x:c r="N323" s="28" t="str">
        <x:v>top-left</x:v>
      </x:c>
      <x:c r="O323" s="28" t="str">
        <x:v>PDF points</x:v>
      </x:c>
    </x:row>
    <x:row r="324" ht="22" customHeight="1">
      <x:c r="A324" s="28" t="str">
        <x:v>ANC-CAM-062-01-R01</x:v>
      </x:c>
      <x:c r="B324" s="28" t="str">
        <x:v>ANC-CAM-062-01</x:v>
      </x:c>
      <x:c r="C324" s="28" t="n">
        <x:v>8</x:v>
      </x:c>
      <x:c r="D324" s="47" t="n">
        <x:v>72</x:v>
      </x:c>
      <x:c r="E324" s="47" t="n">
        <x:v>489.106</x:v>
      </x:c>
      <x:c r="F324" s="47" t="n">
        <x:v>540.072</x:v>
      </x:c>
      <x:c r="G324" s="47" t="n">
        <x:v>503.292</x:v>
      </x:c>
      <x:c r="H324" s="50" t="n">
        <x:v>0.117647</x:v>
      </x:c>
      <x:c r="I324" s="50" t="n">
        <x:v>0.617558</x:v>
      </x:c>
      <x:c r="J324" s="50" t="n">
        <x:v>0.88247</x:v>
      </x:c>
      <x:c r="K324" s="50" t="n">
        <x:v>0.63547</x:v>
      </x:c>
      <x:c r="L324" s="47" t="n">
        <x:v>612</x:v>
      </x:c>
      <x:c r="M324" s="47" t="n">
        <x:v>792</x:v>
      </x:c>
      <x:c r="N324" s="28" t="str">
        <x:v>top-left</x:v>
      </x:c>
      <x:c r="O324" s="28" t="str">
        <x:v>PDF points</x:v>
      </x:c>
    </x:row>
    <x:row r="325" ht="22" customHeight="1">
      <x:c r="A325" s="28" t="str">
        <x:v>ANC-CAM-062-01-R02</x:v>
      </x:c>
      <x:c r="B325" s="28" t="str">
        <x:v>ANC-CAM-062-01</x:v>
      </x:c>
      <x:c r="C325" s="28" t="n">
        <x:v>8</x:v>
      </x:c>
      <x:c r="D325" s="47" t="n">
        <x:v>72</x:v>
      </x:c>
      <x:c r="E325" s="47" t="n">
        <x:v>502.542</x:v>
      </x:c>
      <x:c r="F325" s="47" t="n">
        <x:v>540.119</x:v>
      </x:c>
      <x:c r="G325" s="47" t="n">
        <x:v>516.728</x:v>
      </x:c>
      <x:c r="H325" s="50" t="n">
        <x:v>0.117647</x:v>
      </x:c>
      <x:c r="I325" s="50" t="n">
        <x:v>0.634522</x:v>
      </x:c>
      <x:c r="J325" s="50" t="n">
        <x:v>0.882548</x:v>
      </x:c>
      <x:c r="K325" s="50" t="n">
        <x:v>0.652434</x:v>
      </x:c>
      <x:c r="L325" s="47" t="n">
        <x:v>612</x:v>
      </x:c>
      <x:c r="M325" s="47" t="n">
        <x:v>792</x:v>
      </x:c>
      <x:c r="N325" s="28" t="str">
        <x:v>top-left</x:v>
      </x:c>
      <x:c r="O325" s="28" t="str">
        <x:v>PDF points</x:v>
      </x:c>
    </x:row>
    <x:row r="326" ht="22" customHeight="1">
      <x:c r="A326" s="28" t="str">
        <x:v>ANC-CAM-062-01-R03</x:v>
      </x:c>
      <x:c r="B326" s="28" t="str">
        <x:v>ANC-CAM-062-01</x:v>
      </x:c>
      <x:c r="C326" s="28" t="n">
        <x:v>8</x:v>
      </x:c>
      <x:c r="D326" s="47" t="n">
        <x:v>72</x:v>
      </x:c>
      <x:c r="E326" s="47" t="n">
        <x:v>515.977</x:v>
      </x:c>
      <x:c r="F326" s="47" t="n">
        <x:v>540.197</x:v>
      </x:c>
      <x:c r="G326" s="47" t="n">
        <x:v>530.164</x:v>
      </x:c>
      <x:c r="H326" s="50" t="n">
        <x:v>0.117647</x:v>
      </x:c>
      <x:c r="I326" s="50" t="n">
        <x:v>0.651486</x:v>
      </x:c>
      <x:c r="J326" s="50" t="n">
        <x:v>0.882674</x:v>
      </x:c>
      <x:c r="K326" s="50" t="n">
        <x:v>0.669399</x:v>
      </x:c>
      <x:c r="L326" s="47" t="n">
        <x:v>612</x:v>
      </x:c>
      <x:c r="M326" s="47" t="n">
        <x:v>792</x:v>
      </x:c>
      <x:c r="N326" s="28" t="str">
        <x:v>top-left</x:v>
      </x:c>
      <x:c r="O326" s="28" t="str">
        <x:v>PDF points</x:v>
      </x:c>
    </x:row>
    <x:row r="327" ht="22" customHeight="1">
      <x:c r="A327" s="28" t="str">
        <x:v>ANC-CAM-062-01-R04</x:v>
      </x:c>
      <x:c r="B327" s="28" t="str">
        <x:v>ANC-CAM-062-01</x:v>
      </x:c>
      <x:c r="C327" s="28" t="n">
        <x:v>8</x:v>
      </x:c>
      <x:c r="D327" s="47" t="n">
        <x:v>72</x:v>
      </x:c>
      <x:c r="E327" s="47" t="n">
        <x:v>529.413</x:v>
      </x:c>
      <x:c r="F327" s="47" t="n">
        <x:v>394.801</x:v>
      </x:c>
      <x:c r="G327" s="47" t="n">
        <x:v>543.599</x:v>
      </x:c>
      <x:c r="H327" s="50" t="n">
        <x:v>0.117647</x:v>
      </x:c>
      <x:c r="I327" s="50" t="n">
        <x:v>0.668451</x:v>
      </x:c>
      <x:c r="J327" s="50" t="n">
        <x:v>0.645099</x:v>
      </x:c>
      <x:c r="K327" s="50" t="n">
        <x:v>0.686363</x:v>
      </x:c>
      <x:c r="L327" s="47" t="n">
        <x:v>612</x:v>
      </x:c>
      <x:c r="M327" s="47" t="n">
        <x:v>792</x:v>
      </x:c>
      <x:c r="N327" s="28" t="str">
        <x:v>top-left</x:v>
      </x:c>
      <x:c r="O327" s="28" t="str">
        <x:v>PDF points</x:v>
      </x:c>
    </x:row>
    <x:row r="328" ht="22" customHeight="1">
      <x:c r="A328" s="28" t="str">
        <x:v>ANC-CAM-063-01-R01</x:v>
      </x:c>
      <x:c r="B328" s="28" t="str">
        <x:v>ANC-CAM-063-01</x:v>
      </x:c>
      <x:c r="C328" s="28" t="n">
        <x:v>8</x:v>
      </x:c>
      <x:c r="D328" s="47" t="n">
        <x:v>72</x:v>
      </x:c>
      <x:c r="E328" s="47" t="n">
        <x:v>550.775</x:v>
      </x:c>
      <x:c r="F328" s="47" t="n">
        <x:v>540.063</x:v>
      </x:c>
      <x:c r="G328" s="47" t="n">
        <x:v>564.962</x:v>
      </x:c>
      <x:c r="H328" s="50" t="n">
        <x:v>0.117647</x:v>
      </x:c>
      <x:c r="I328" s="50" t="n">
        <x:v>0.695423</x:v>
      </x:c>
      <x:c r="J328" s="50" t="n">
        <x:v>0.882456</x:v>
      </x:c>
      <x:c r="K328" s="50" t="n">
        <x:v>0.713336</x:v>
      </x:c>
      <x:c r="L328" s="47" t="n">
        <x:v>612</x:v>
      </x:c>
      <x:c r="M328" s="47" t="n">
        <x:v>792</x:v>
      </x:c>
      <x:c r="N328" s="28" t="str">
        <x:v>top-left</x:v>
      </x:c>
      <x:c r="O328" s="28" t="str">
        <x:v>PDF points</x:v>
      </x:c>
    </x:row>
    <x:row r="329" ht="22" customHeight="1">
      <x:c r="A329" s="28" t="str">
        <x:v>ANC-CAM-063-01-R02</x:v>
      </x:c>
      <x:c r="B329" s="28" t="str">
        <x:v>ANC-CAM-063-01</x:v>
      </x:c>
      <x:c r="C329" s="28" t="n">
        <x:v>8</x:v>
      </x:c>
      <x:c r="D329" s="47" t="n">
        <x:v>72</x:v>
      </x:c>
      <x:c r="E329" s="47" t="n">
        <x:v>564.211</x:v>
      </x:c>
      <x:c r="F329" s="47" t="n">
        <x:v>540.063</x:v>
      </x:c>
      <x:c r="G329" s="47" t="n">
        <x:v>578.397</x:v>
      </x:c>
      <x:c r="H329" s="50" t="n">
        <x:v>0.117647</x:v>
      </x:c>
      <x:c r="I329" s="50" t="n">
        <x:v>0.712388</x:v>
      </x:c>
      <x:c r="J329" s="50" t="n">
        <x:v>0.882456</x:v>
      </x:c>
      <x:c r="K329" s="50" t="n">
        <x:v>0.7303</x:v>
      </x:c>
      <x:c r="L329" s="47" t="n">
        <x:v>612</x:v>
      </x:c>
      <x:c r="M329" s="47" t="n">
        <x:v>792</x:v>
      </x:c>
      <x:c r="N329" s="28" t="str">
        <x:v>top-left</x:v>
      </x:c>
      <x:c r="O329" s="28" t="str">
        <x:v>PDF points</x:v>
      </x:c>
    </x:row>
    <x:row r="330" ht="22" customHeight="1">
      <x:c r="A330" s="28" t="str">
        <x:v>ANC-CAM-063-01-R03</x:v>
      </x:c>
      <x:c r="B330" s="28" t="str">
        <x:v>ANC-CAM-063-01</x:v>
      </x:c>
      <x:c r="C330" s="28" t="n">
        <x:v>8</x:v>
      </x:c>
      <x:c r="D330" s="47" t="n">
        <x:v>72</x:v>
      </x:c>
      <x:c r="E330" s="47" t="n">
        <x:v>577.647</x:v>
      </x:c>
      <x:c r="F330" s="47" t="n">
        <x:v>540.131</x:v>
      </x:c>
      <x:c r="G330" s="47" t="n">
        <x:v>591.833</x:v>
      </x:c>
      <x:c r="H330" s="50" t="n">
        <x:v>0.117647</x:v>
      </x:c>
      <x:c r="I330" s="50" t="n">
        <x:v>0.729352</x:v>
      </x:c>
      <x:c r="J330" s="50" t="n">
        <x:v>0.882568</x:v>
      </x:c>
      <x:c r="K330" s="50" t="n">
        <x:v>0.747264</x:v>
      </x:c>
      <x:c r="L330" s="47" t="n">
        <x:v>612</x:v>
      </x:c>
      <x:c r="M330" s="47" t="n">
        <x:v>792</x:v>
      </x:c>
      <x:c r="N330" s="28" t="str">
        <x:v>top-left</x:v>
      </x:c>
      <x:c r="O330" s="28" t="str">
        <x:v>PDF points</x:v>
      </x:c>
    </x:row>
    <x:row r="331" ht="22" customHeight="1">
      <x:c r="A331" s="28" t="str">
        <x:v>ANC-CAM-063-01-R04</x:v>
      </x:c>
      <x:c r="B331" s="28" t="str">
        <x:v>ANC-CAM-063-01</x:v>
      </x:c>
      <x:c r="C331" s="28" t="n">
        <x:v>8</x:v>
      </x:c>
      <x:c r="D331" s="47" t="n">
        <x:v>72</x:v>
      </x:c>
      <x:c r="E331" s="47" t="n">
        <x:v>591.082</x:v>
      </x:c>
      <x:c r="F331" s="47" t="n">
        <x:v>540.151</x:v>
      </x:c>
      <x:c r="G331" s="47" t="n">
        <x:v>605.269</x:v>
      </x:c>
      <x:c r="H331" s="50" t="n">
        <x:v>0.117647</x:v>
      </x:c>
      <x:c r="I331" s="50" t="n">
        <x:v>0.746316</x:v>
      </x:c>
      <x:c r="J331" s="50" t="n">
        <x:v>0.8826</x:v>
      </x:c>
      <x:c r="K331" s="50" t="n">
        <x:v>0.764228</x:v>
      </x:c>
      <x:c r="L331" s="47" t="n">
        <x:v>612</x:v>
      </x:c>
      <x:c r="M331" s="47" t="n">
        <x:v>792</x:v>
      </x:c>
      <x:c r="N331" s="28" t="str">
        <x:v>top-left</x:v>
      </x:c>
      <x:c r="O331" s="28" t="str">
        <x:v>PDF points</x:v>
      </x:c>
    </x:row>
    <x:row r="332" ht="22" customHeight="1">
      <x:c r="A332" s="28" t="str">
        <x:v>ANC-CAM-063-01-R05</x:v>
      </x:c>
      <x:c r="B332" s="28" t="str">
        <x:v>ANC-CAM-063-01</x:v>
      </x:c>
      <x:c r="C332" s="28" t="n">
        <x:v>8</x:v>
      </x:c>
      <x:c r="D332" s="47" t="n">
        <x:v>72</x:v>
      </x:c>
      <x:c r="E332" s="47" t="n">
        <x:v>604.518</x:v>
      </x:c>
      <x:c r="F332" s="47" t="n">
        <x:v>439.445</x:v>
      </x:c>
      <x:c r="G332" s="47" t="n">
        <x:v>618.705</x:v>
      </x:c>
      <x:c r="H332" s="50" t="n">
        <x:v>0.117647</x:v>
      </x:c>
      <x:c r="I332" s="50" t="n">
        <x:v>0.76328</x:v>
      </x:c>
      <x:c r="J332" s="50" t="n">
        <x:v>0.718048</x:v>
      </x:c>
      <x:c r="K332" s="50" t="n">
        <x:v>0.781193</x:v>
      </x:c>
      <x:c r="L332" s="47" t="n">
        <x:v>612</x:v>
      </x:c>
      <x:c r="M332" s="47" t="n">
        <x:v>792</x:v>
      </x:c>
      <x:c r="N332" s="28" t="str">
        <x:v>top-left</x:v>
      </x:c>
      <x:c r="O332" s="28" t="str">
        <x:v>PDF points</x:v>
      </x:c>
    </x:row>
    <x:row r="333" ht="22" customHeight="1">
      <x:c r="A333" s="28" t="str">
        <x:v>ANC-CAM-064-01-R01</x:v>
      </x:c>
      <x:c r="B333" s="28" t="str">
        <x:v>ANC-CAM-064-01</x:v>
      </x:c>
      <x:c r="C333" s="28" t="n">
        <x:v>8</x:v>
      </x:c>
      <x:c r="D333" s="47" t="n">
        <x:v>201.95</x:v>
      </x:c>
      <x:c r="E333" s="47" t="n">
        <x:v>400.554</x:v>
      </x:c>
      <x:c r="F333" s="47" t="n">
        <x:v>540.259</x:v>
      </x:c>
      <x:c r="G333" s="47" t="n">
        <x:v>414.741</x:v>
      </x:c>
      <x:c r="H333" s="50" t="n">
        <x:v>0.329983</x:v>
      </x:c>
      <x:c r="I333" s="50" t="n">
        <x:v>0.50575</x:v>
      </x:c>
      <x:c r="J333" s="50" t="n">
        <x:v>0.882777</x:v>
      </x:c>
      <x:c r="K333" s="50" t="n">
        <x:v>0.523662</x:v>
      </x:c>
      <x:c r="L333" s="47" t="n">
        <x:v>612</x:v>
      </x:c>
      <x:c r="M333" s="47" t="n">
        <x:v>792</x:v>
      </x:c>
      <x:c r="N333" s="28" t="str">
        <x:v>top-left</x:v>
      </x:c>
      <x:c r="O333" s="28" t="str">
        <x:v>PDF points</x:v>
      </x:c>
    </x:row>
    <x:row r="334" ht="22" customHeight="1">
      <x:c r="A334" s="28" t="str">
        <x:v>ANC-CAM-064-01-R02</x:v>
      </x:c>
      <x:c r="B334" s="28" t="str">
        <x:v>ANC-CAM-064-01</x:v>
      </x:c>
      <x:c r="C334" s="28" t="n">
        <x:v>8</x:v>
      </x:c>
      <x:c r="D334" s="47" t="n">
        <x:v>71.989</x:v>
      </x:c>
      <x:c r="E334" s="47" t="n">
        <x:v>413.99</x:v>
      </x:c>
      <x:c r="F334" s="47" t="n">
        <x:v>540.1</x:v>
      </x:c>
      <x:c r="G334" s="47" t="n">
        <x:v>428.176</x:v>
      </x:c>
      <x:c r="H334" s="50" t="n">
        <x:v>0.117629</x:v>
      </x:c>
      <x:c r="I334" s="50" t="n">
        <x:v>0.522714</x:v>
      </x:c>
      <x:c r="J334" s="50" t="n">
        <x:v>0.882517</x:v>
      </x:c>
      <x:c r="K334" s="50" t="n">
        <x:v>0.540627</x:v>
      </x:c>
      <x:c r="L334" s="47" t="n">
        <x:v>612</x:v>
      </x:c>
      <x:c r="M334" s="47" t="n">
        <x:v>792</x:v>
      </x:c>
      <x:c r="N334" s="28" t="str">
        <x:v>top-left</x:v>
      </x:c>
      <x:c r="O334" s="28" t="str">
        <x:v>PDF points</x:v>
      </x:c>
    </x:row>
    <x:row r="335" ht="22" customHeight="1">
      <x:c r="A335" s="28" t="str">
        <x:v>ANC-CAM-064-01-R03</x:v>
      </x:c>
      <x:c r="B335" s="28" t="str">
        <x:v>ANC-CAM-064-01</x:v>
      </x:c>
      <x:c r="C335" s="28" t="n">
        <x:v>8</x:v>
      </x:c>
      <x:c r="D335" s="47" t="n">
        <x:v>71.989</x:v>
      </x:c>
      <x:c r="E335" s="47" t="n">
        <x:v>427.426</x:v>
      </x:c>
      <x:c r="F335" s="47" t="n">
        <x:v>540.126</x:v>
      </x:c>
      <x:c r="G335" s="47" t="n">
        <x:v>441.612</x:v>
      </x:c>
      <x:c r="H335" s="50" t="n">
        <x:v>0.117629</x:v>
      </x:c>
      <x:c r="I335" s="50" t="n">
        <x:v>0.539679</x:v>
      </x:c>
      <x:c r="J335" s="50" t="n">
        <x:v>0.882559</x:v>
      </x:c>
      <x:c r="K335" s="50" t="n">
        <x:v>0.557591</x:v>
      </x:c>
      <x:c r="L335" s="47" t="n">
        <x:v>612</x:v>
      </x:c>
      <x:c r="M335" s="47" t="n">
        <x:v>792</x:v>
      </x:c>
      <x:c r="N335" s="28" t="str">
        <x:v>top-left</x:v>
      </x:c>
      <x:c r="O335" s="28" t="str">
        <x:v>PDF points</x:v>
      </x:c>
    </x:row>
    <x:row r="336" ht="22" customHeight="1">
      <x:c r="A336" s="28" t="str">
        <x:v>ANC-CAM-064-01-R04</x:v>
      </x:c>
      <x:c r="B336" s="28" t="str">
        <x:v>ANC-CAM-064-01</x:v>
      </x:c>
      <x:c r="C336" s="28" t="n">
        <x:v>8</x:v>
      </x:c>
      <x:c r="D336" s="47" t="n">
        <x:v>71.989</x:v>
      </x:c>
      <x:c r="E336" s="47" t="n">
        <x:v>440.861</x:v>
      </x:c>
      <x:c r="F336" s="47" t="n">
        <x:v>101.307</x:v>
      </x:c>
      <x:c r="G336" s="47" t="n">
        <x:v>455.048</x:v>
      </x:c>
      <x:c r="H336" s="50" t="n">
        <x:v>0.117629</x:v>
      </x:c>
      <x:c r="I336" s="50" t="n">
        <x:v>0.556643</x:v>
      </x:c>
      <x:c r="J336" s="50" t="n">
        <x:v>0.165534</x:v>
      </x:c>
      <x:c r="K336" s="50" t="n">
        <x:v>0.574555</x:v>
      </x:c>
      <x:c r="L336" s="47" t="n">
        <x:v>612</x:v>
      </x:c>
      <x:c r="M336" s="47" t="n">
        <x:v>792</x:v>
      </x:c>
      <x:c r="N336" s="28" t="str">
        <x:v>top-left</x:v>
      </x:c>
      <x:c r="O336" s="28" t="str">
        <x:v>PDF points</x:v>
      </x:c>
    </x:row>
    <x:row r="337" ht="22" customHeight="1">
      <x:c r="A337" s="28" t="str">
        <x:v>ANC-CAM-065-01-R01</x:v>
      </x:c>
      <x:c r="B337" s="28" t="str">
        <x:v>ANC-CAM-065-01</x:v>
      </x:c>
      <x:c r="C337" s="28" t="n">
        <x:v>9</x:v>
      </x:c>
      <x:c r="D337" s="47" t="n">
        <x:v>218.777</x:v>
      </x:c>
      <x:c r="E337" s="47" t="n">
        <x:v>355.637</x:v>
      </x:c>
      <x:c r="F337" s="47" t="n">
        <x:v>540.081</x:v>
      </x:c>
      <x:c r="G337" s="47" t="n">
        <x:v>369.824</x:v>
      </x:c>
      <x:c r="H337" s="50" t="n">
        <x:v>0.357478</x:v>
      </x:c>
      <x:c r="I337" s="50" t="n">
        <x:v>0.449037</x:v>
      </x:c>
      <x:c r="J337" s="50" t="n">
        <x:v>0.882485</x:v>
      </x:c>
      <x:c r="K337" s="50" t="n">
        <x:v>0.466949</x:v>
      </x:c>
      <x:c r="L337" s="47" t="n">
        <x:v>612</x:v>
      </x:c>
      <x:c r="M337" s="47" t="n">
        <x:v>792</x:v>
      </x:c>
      <x:c r="N337" s="28" t="str">
        <x:v>top-left</x:v>
      </x:c>
      <x:c r="O337" s="28" t="str">
        <x:v>PDF points</x:v>
      </x:c>
    </x:row>
    <x:row r="338" ht="22" customHeight="1">
      <x:c r="A338" s="28" t="str">
        <x:v>ANC-CAM-065-01-R02</x:v>
      </x:c>
      <x:c r="B338" s="28" t="str">
        <x:v>ANC-CAM-065-01</x:v>
      </x:c>
      <x:c r="C338" s="28" t="n">
        <x:v>9</x:v>
      </x:c>
      <x:c r="D338" s="47" t="n">
        <x:v>72.033</x:v>
      </x:c>
      <x:c r="E338" s="47" t="n">
        <x:v>369.073</x:v>
      </x:c>
      <x:c r="F338" s="47" t="n">
        <x:v>540.188</x:v>
      </x:c>
      <x:c r="G338" s="47" t="n">
        <x:v>383.259</x:v>
      </x:c>
      <x:c r="H338" s="50" t="n">
        <x:v>0.117701</x:v>
      </x:c>
      <x:c r="I338" s="50" t="n">
        <x:v>0.466001</x:v>
      </x:c>
      <x:c r="J338" s="50" t="n">
        <x:v>0.882659</x:v>
      </x:c>
      <x:c r="K338" s="50" t="n">
        <x:v>0.483913</x:v>
      </x:c>
      <x:c r="L338" s="47" t="n">
        <x:v>612</x:v>
      </x:c>
      <x:c r="M338" s="47" t="n">
        <x:v>792</x:v>
      </x:c>
      <x:c r="N338" s="28" t="str">
        <x:v>top-left</x:v>
      </x:c>
      <x:c r="O338" s="28" t="str">
        <x:v>PDF points</x:v>
      </x:c>
    </x:row>
    <x:row r="339" ht="22" customHeight="1">
      <x:c r="A339" s="28" t="str">
        <x:v>ANC-CAM-065-01-R03</x:v>
      </x:c>
      <x:c r="B339" s="28" t="str">
        <x:v>ANC-CAM-065-01</x:v>
      </x:c>
      <x:c r="C339" s="28" t="n">
        <x:v>9</x:v>
      </x:c>
      <x:c r="D339" s="47" t="n">
        <x:v>72.044</x:v>
      </x:c>
      <x:c r="E339" s="47" t="n">
        <x:v>382.508</x:v>
      </x:c>
      <x:c r="F339" s="47" t="n">
        <x:v>540.142</x:v>
      </x:c>
      <x:c r="G339" s="47" t="n">
        <x:v>396.695</x:v>
      </x:c>
      <x:c r="H339" s="50" t="n">
        <x:v>0.117719</x:v>
      </x:c>
      <x:c r="I339" s="50" t="n">
        <x:v>0.482965</x:v>
      </x:c>
      <x:c r="J339" s="50" t="n">
        <x:v>0.882586</x:v>
      </x:c>
      <x:c r="K339" s="50" t="n">
        <x:v>0.500877</x:v>
      </x:c>
      <x:c r="L339" s="47" t="n">
        <x:v>612</x:v>
      </x:c>
      <x:c r="M339" s="47" t="n">
        <x:v>792</x:v>
      </x:c>
      <x:c r="N339" s="28" t="str">
        <x:v>top-left</x:v>
      </x:c>
      <x:c r="O339" s="28" t="str">
        <x:v>PDF points</x:v>
      </x:c>
    </x:row>
    <x:row r="340" ht="22" customHeight="1">
      <x:c r="A340" s="28" t="str">
        <x:v>ANC-CAM-065-01-R04</x:v>
      </x:c>
      <x:c r="B340" s="28" t="str">
        <x:v>ANC-CAM-065-01</x:v>
      </x:c>
      <x:c r="C340" s="28" t="n">
        <x:v>9</x:v>
      </x:c>
      <x:c r="D340" s="47" t="n">
        <x:v>72.055</x:v>
      </x:c>
      <x:c r="E340" s="47" t="n">
        <x:v>395.944</x:v>
      </x:c>
      <x:c r="F340" s="47" t="n">
        <x:v>540.235</x:v>
      </x:c>
      <x:c r="G340" s="47" t="n">
        <x:v>410.131</x:v>
      </x:c>
      <x:c r="H340" s="50" t="n">
        <x:v>0.117737</x:v>
      </x:c>
      <x:c r="I340" s="50" t="n">
        <x:v>0.499929</x:v>
      </x:c>
      <x:c r="J340" s="50" t="n">
        <x:v>0.882737</x:v>
      </x:c>
      <x:c r="K340" s="50" t="n">
        <x:v>0.517842</x:v>
      </x:c>
      <x:c r="L340" s="47" t="n">
        <x:v>612</x:v>
      </x:c>
      <x:c r="M340" s="47" t="n">
        <x:v>792</x:v>
      </x:c>
      <x:c r="N340" s="28" t="str">
        <x:v>top-left</x:v>
      </x:c>
      <x:c r="O340" s="28" t="str">
        <x:v>PDF points</x:v>
      </x:c>
    </x:row>
    <x:row r="341" ht="22" customHeight="1">
      <x:c r="A341" s="28" t="str">
        <x:v>ANC-CAM-065-01-R05</x:v>
      </x:c>
      <x:c r="B341" s="28" t="str">
        <x:v>ANC-CAM-065-01</x:v>
      </x:c>
      <x:c r="C341" s="28" t="n">
        <x:v>9</x:v>
      </x:c>
      <x:c r="D341" s="47" t="n">
        <x:v>72.066</x:v>
      </x:c>
      <x:c r="E341" s="47" t="n">
        <x:v>409.38</x:v>
      </x:c>
      <x:c r="F341" s="47" t="n">
        <x:v>283.746</x:v>
      </x:c>
      <x:c r="G341" s="47" t="n">
        <x:v>423.566</x:v>
      </x:c>
      <x:c r="H341" s="50" t="n">
        <x:v>0.117755</x:v>
      </x:c>
      <x:c r="I341" s="50" t="n">
        <x:v>0.516894</x:v>
      </x:c>
      <x:c r="J341" s="50" t="n">
        <x:v>0.463638</x:v>
      </x:c>
      <x:c r="K341" s="50" t="n">
        <x:v>0.534806</x:v>
      </x:c>
      <x:c r="L341" s="47" t="n">
        <x:v>612</x:v>
      </x:c>
      <x:c r="M341" s="47" t="n">
        <x:v>792</x:v>
      </x:c>
      <x:c r="N341" s="28" t="str">
        <x:v>top-left</x:v>
      </x:c>
      <x:c r="O341" s="28" t="str">
        <x:v>PDF points</x:v>
      </x:c>
    </x:row>
    <x:row r="342" ht="22" customHeight="1">
      <x:c r="A342" s="28" t="str">
        <x:v>ANC-CAM-066-01-R01</x:v>
      </x:c>
      <x:c r="B342" s="28" t="str">
        <x:v>ANC-CAM-066-01</x:v>
      </x:c>
      <x:c r="C342" s="28" t="n">
        <x:v>9</x:v>
      </x:c>
      <x:c r="D342" s="47" t="n">
        <x:v>218.777</x:v>
      </x:c>
      <x:c r="E342" s="47" t="n">
        <x:v>355.637</x:v>
      </x:c>
      <x:c r="F342" s="47" t="n">
        <x:v>540.081</x:v>
      </x:c>
      <x:c r="G342" s="47" t="n">
        <x:v>369.824</x:v>
      </x:c>
      <x:c r="H342" s="50" t="n">
        <x:v>0.357478</x:v>
      </x:c>
      <x:c r="I342" s="50" t="n">
        <x:v>0.449037</x:v>
      </x:c>
      <x:c r="J342" s="50" t="n">
        <x:v>0.882485</x:v>
      </x:c>
      <x:c r="K342" s="50" t="n">
        <x:v>0.466949</x:v>
      </x:c>
      <x:c r="L342" s="47" t="n">
        <x:v>612</x:v>
      </x:c>
      <x:c r="M342" s="47" t="n">
        <x:v>792</x:v>
      </x:c>
      <x:c r="N342" s="28" t="str">
        <x:v>top-left</x:v>
      </x:c>
      <x:c r="O342" s="28" t="str">
        <x:v>PDF points</x:v>
      </x:c>
    </x:row>
    <x:row r="343" ht="22" customHeight="1">
      <x:c r="A343" s="28" t="str">
        <x:v>ANC-CAM-066-01-R02</x:v>
      </x:c>
      <x:c r="B343" s="28" t="str">
        <x:v>ANC-CAM-066-01</x:v>
      </x:c>
      <x:c r="C343" s="28" t="n">
        <x:v>9</x:v>
      </x:c>
      <x:c r="D343" s="47" t="n">
        <x:v>72.033</x:v>
      </x:c>
      <x:c r="E343" s="47" t="n">
        <x:v>369.073</x:v>
      </x:c>
      <x:c r="F343" s="47" t="n">
        <x:v>540.188</x:v>
      </x:c>
      <x:c r="G343" s="47" t="n">
        <x:v>383.259</x:v>
      </x:c>
      <x:c r="H343" s="50" t="n">
        <x:v>0.117701</x:v>
      </x:c>
      <x:c r="I343" s="50" t="n">
        <x:v>0.466001</x:v>
      </x:c>
      <x:c r="J343" s="50" t="n">
        <x:v>0.882659</x:v>
      </x:c>
      <x:c r="K343" s="50" t="n">
        <x:v>0.483913</x:v>
      </x:c>
      <x:c r="L343" s="47" t="n">
        <x:v>612</x:v>
      </x:c>
      <x:c r="M343" s="47" t="n">
        <x:v>792</x:v>
      </x:c>
      <x:c r="N343" s="28" t="str">
        <x:v>top-left</x:v>
      </x:c>
      <x:c r="O343" s="28" t="str">
        <x:v>PDF points</x:v>
      </x:c>
    </x:row>
    <x:row r="344" ht="22" customHeight="1">
      <x:c r="A344" s="28" t="str">
        <x:v>ANC-CAM-066-01-R03</x:v>
      </x:c>
      <x:c r="B344" s="28" t="str">
        <x:v>ANC-CAM-066-01</x:v>
      </x:c>
      <x:c r="C344" s="28" t="n">
        <x:v>9</x:v>
      </x:c>
      <x:c r="D344" s="47" t="n">
        <x:v>72.044</x:v>
      </x:c>
      <x:c r="E344" s="47" t="n">
        <x:v>382.508</x:v>
      </x:c>
      <x:c r="F344" s="47" t="n">
        <x:v>540.142</x:v>
      </x:c>
      <x:c r="G344" s="47" t="n">
        <x:v>396.695</x:v>
      </x:c>
      <x:c r="H344" s="50" t="n">
        <x:v>0.117719</x:v>
      </x:c>
      <x:c r="I344" s="50" t="n">
        <x:v>0.482965</x:v>
      </x:c>
      <x:c r="J344" s="50" t="n">
        <x:v>0.882586</x:v>
      </x:c>
      <x:c r="K344" s="50" t="n">
        <x:v>0.500877</x:v>
      </x:c>
      <x:c r="L344" s="47" t="n">
        <x:v>612</x:v>
      </x:c>
      <x:c r="M344" s="47" t="n">
        <x:v>792</x:v>
      </x:c>
      <x:c r="N344" s="28" t="str">
        <x:v>top-left</x:v>
      </x:c>
      <x:c r="O344" s="28" t="str">
        <x:v>PDF points</x:v>
      </x:c>
    </x:row>
    <x:row r="345" ht="22" customHeight="1">
      <x:c r="A345" s="28" t="str">
        <x:v>ANC-CAM-066-01-R04</x:v>
      </x:c>
      <x:c r="B345" s="28" t="str">
        <x:v>ANC-CAM-066-01</x:v>
      </x:c>
      <x:c r="C345" s="28" t="n">
        <x:v>9</x:v>
      </x:c>
      <x:c r="D345" s="47" t="n">
        <x:v>72.055</x:v>
      </x:c>
      <x:c r="E345" s="47" t="n">
        <x:v>395.944</x:v>
      </x:c>
      <x:c r="F345" s="47" t="n">
        <x:v>540.235</x:v>
      </x:c>
      <x:c r="G345" s="47" t="n">
        <x:v>410.131</x:v>
      </x:c>
      <x:c r="H345" s="50" t="n">
        <x:v>0.117737</x:v>
      </x:c>
      <x:c r="I345" s="50" t="n">
        <x:v>0.499929</x:v>
      </x:c>
      <x:c r="J345" s="50" t="n">
        <x:v>0.882737</x:v>
      </x:c>
      <x:c r="K345" s="50" t="n">
        <x:v>0.517842</x:v>
      </x:c>
      <x:c r="L345" s="47" t="n">
        <x:v>612</x:v>
      </x:c>
      <x:c r="M345" s="47" t="n">
        <x:v>792</x:v>
      </x:c>
      <x:c r="N345" s="28" t="str">
        <x:v>top-left</x:v>
      </x:c>
      <x:c r="O345" s="28" t="str">
        <x:v>PDF points</x:v>
      </x:c>
    </x:row>
    <x:row r="346" ht="22" customHeight="1">
      <x:c r="A346" s="28" t="str">
        <x:v>ANC-CAM-066-01-R05</x:v>
      </x:c>
      <x:c r="B346" s="28" t="str">
        <x:v>ANC-CAM-066-01</x:v>
      </x:c>
      <x:c r="C346" s="28" t="n">
        <x:v>9</x:v>
      </x:c>
      <x:c r="D346" s="47" t="n">
        <x:v>72.066</x:v>
      </x:c>
      <x:c r="E346" s="47" t="n">
        <x:v>409.38</x:v>
      </x:c>
      <x:c r="F346" s="47" t="n">
        <x:v>283.746</x:v>
      </x:c>
      <x:c r="G346" s="47" t="n">
        <x:v>423.566</x:v>
      </x:c>
      <x:c r="H346" s="50" t="n">
        <x:v>0.117755</x:v>
      </x:c>
      <x:c r="I346" s="50" t="n">
        <x:v>0.516894</x:v>
      </x:c>
      <x:c r="J346" s="50" t="n">
        <x:v>0.463638</x:v>
      </x:c>
      <x:c r="K346" s="50" t="n">
        <x:v>0.534806</x:v>
      </x:c>
      <x:c r="L346" s="47" t="n">
        <x:v>612</x:v>
      </x:c>
      <x:c r="M346" s="47" t="n">
        <x:v>792</x:v>
      </x:c>
      <x:c r="N346" s="28" t="str">
        <x:v>top-left</x:v>
      </x:c>
      <x:c r="O346" s="28" t="str">
        <x:v>PDF points</x:v>
      </x:c>
    </x:row>
    <x:row r="347" ht="22" customHeight="1">
      <x:c r="A347" s="28" t="str">
        <x:v>ANC-CAM-067-01-R01</x:v>
      </x:c>
      <x:c r="B347" s="28" t="str">
        <x:v>ANC-CAM-067-01</x:v>
      </x:c>
      <x:c r="C347" s="28" t="n">
        <x:v>5</x:v>
      </x:c>
      <x:c r="D347" s="47" t="n">
        <x:v>77.64</x:v>
      </x:c>
      <x:c r="E347" s="47" t="n">
        <x:v>122.89</x:v>
      </x:c>
      <x:c r="F347" s="47" t="n">
        <x:v>249.291</x:v>
      </x:c>
      <x:c r="G347" s="47" t="n">
        <x:v>137.076</x:v>
      </x:c>
      <x:c r="H347" s="50" t="n">
        <x:v>0.126863</x:v>
      </x:c>
      <x:c r="I347" s="50" t="n">
        <x:v>0.155164</x:v>
      </x:c>
      <x:c r="J347" s="50" t="n">
        <x:v>0.407338</x:v>
      </x:c>
      <x:c r="K347" s="50" t="n">
        <x:v>0.173076</x:v>
      </x:c>
      <x:c r="L347" s="47" t="n">
        <x:v>612</x:v>
      </x:c>
      <x:c r="M347" s="47" t="n">
        <x:v>792</x:v>
      </x:c>
      <x:c r="N347" s="28" t="str">
        <x:v>top-left</x:v>
      </x:c>
      <x:c r="O347" s="28" t="str">
        <x:v>PDF points</x:v>
      </x:c>
    </x:row>
    <x:row r="348" ht="22" customHeight="1">
      <x:c r="A348" s="28" t="str">
        <x:v>ANC-CAM-068-01-R01</x:v>
      </x:c>
      <x:c r="B348" s="28" t="str">
        <x:v>ANC-CAM-068-01</x:v>
      </x:c>
      <x:c r="C348" s="28" t="n">
        <x:v>5</x:v>
      </x:c>
      <x:c r="D348" s="47" t="n">
        <x:v>77.64</x:v>
      </x:c>
      <x:c r="E348" s="47" t="n">
        <x:v>150.25</x:v>
      </x:c>
      <x:c r="F348" s="47" t="n">
        <x:v>249.295</x:v>
      </x:c>
      <x:c r="G348" s="47" t="n">
        <x:v>164.436</x:v>
      </x:c>
      <x:c r="H348" s="50" t="n">
        <x:v>0.126863</x:v>
      </x:c>
      <x:c r="I348" s="50" t="n">
        <x:v>0.189709</x:v>
      </x:c>
      <x:c r="J348" s="50" t="n">
        <x:v>0.407345</x:v>
      </x:c>
      <x:c r="K348" s="50" t="n">
        <x:v>0.207621</x:v>
      </x:c>
      <x:c r="L348" s="47" t="n">
        <x:v>612</x:v>
      </x:c>
      <x:c r="M348" s="47" t="n">
        <x:v>792</x:v>
      </x:c>
      <x:c r="N348" s="28" t="str">
        <x:v>top-left</x:v>
      </x:c>
      <x:c r="O348" s="28" t="str">
        <x:v>PDF points</x:v>
      </x:c>
    </x:row>
    <x:row r="349" ht="22" customHeight="1">
      <x:c r="A349" s="28" t="str">
        <x:v>ANC-CAM-068-01-R02</x:v>
      </x:c>
      <x:c r="B349" s="28" t="str">
        <x:v>ANC-CAM-068-01</x:v>
      </x:c>
      <x:c r="C349" s="28" t="n">
        <x:v>5</x:v>
      </x:c>
      <x:c r="D349" s="47" t="n">
        <x:v>77.64</x:v>
      </x:c>
      <x:c r="E349" s="47" t="n">
        <x:v>163.69</x:v>
      </x:c>
      <x:c r="F349" s="47" t="n">
        <x:v>161.449</x:v>
      </x:c>
      <x:c r="G349" s="47" t="n">
        <x:v>177.876</x:v>
      </x:c>
      <x:c r="H349" s="50" t="n">
        <x:v>0.126863</x:v>
      </x:c>
      <x:c r="I349" s="50" t="n">
        <x:v>0.206679</x:v>
      </x:c>
      <x:c r="J349" s="50" t="n">
        <x:v>0.263806</x:v>
      </x:c>
      <x:c r="K349" s="50" t="n">
        <x:v>0.224591</x:v>
      </x:c>
      <x:c r="L349" s="47" t="n">
        <x:v>612</x:v>
      </x:c>
      <x:c r="M349" s="47" t="n">
        <x:v>792</x:v>
      </x:c>
      <x:c r="N349" s="28" t="str">
        <x:v>top-left</x:v>
      </x:c>
      <x:c r="O349" s="28" t="str">
        <x:v>PDF points</x:v>
      </x:c>
    </x:row>
    <x:row r="350" ht="22" customHeight="1">
      <x:c r="A350" s="28" t="str">
        <x:v>ANC-CAM-069-01-R01</x:v>
      </x:c>
      <x:c r="B350" s="28" t="str">
        <x:v>ANC-CAM-069-01</x:v>
      </x:c>
      <x:c r="C350" s="28" t="n">
        <x:v>5</x:v>
      </x:c>
      <x:c r="D350" s="47" t="n">
        <x:v>77.64</x:v>
      </x:c>
      <x:c r="E350" s="47" t="n">
        <x:v>177.61</x:v>
      </x:c>
      <x:c r="F350" s="47" t="n">
        <x:v>224.82</x:v>
      </x:c>
      <x:c r="G350" s="47" t="n">
        <x:v>191.796</x:v>
      </x:c>
      <x:c r="H350" s="50" t="n">
        <x:v>0.126863</x:v>
      </x:c>
      <x:c r="I350" s="50" t="n">
        <x:v>0.224255</x:v>
      </x:c>
      <x:c r="J350" s="50" t="n">
        <x:v>0.367354</x:v>
      </x:c>
      <x:c r="K350" s="50" t="n">
        <x:v>0.242167</x:v>
      </x:c>
      <x:c r="L350" s="47" t="n">
        <x:v>612</x:v>
      </x:c>
      <x:c r="M350" s="47" t="n">
        <x:v>792</x:v>
      </x:c>
      <x:c r="N350" s="28" t="str">
        <x:v>top-left</x:v>
      </x:c>
      <x:c r="O350" s="28" t="str">
        <x:v>PDF points</x:v>
      </x:c>
    </x:row>
    <x:row r="351" ht="22" customHeight="1">
      <x:c r="A351" s="28" t="str">
        <x:v>ANC-CAM-069-01-R02</x:v>
      </x:c>
      <x:c r="B351" s="28" t="str">
        <x:v>ANC-CAM-069-01</x:v>
      </x:c>
      <x:c r="C351" s="28" t="n">
        <x:v>5</x:v>
      </x:c>
      <x:c r="D351" s="47" t="n">
        <x:v>77.64</x:v>
      </x:c>
      <x:c r="E351" s="47" t="n">
        <x:v>191.05</x:v>
      </x:c>
      <x:c r="F351" s="47" t="n">
        <x:v>132.56</x:v>
      </x:c>
      <x:c r="G351" s="47" t="n">
        <x:v>205.236</x:v>
      </x:c>
      <x:c r="H351" s="50" t="n">
        <x:v>0.126863</x:v>
      </x:c>
      <x:c r="I351" s="50" t="n">
        <x:v>0.241224</x:v>
      </x:c>
      <x:c r="J351" s="50" t="n">
        <x:v>0.216601</x:v>
      </x:c>
      <x:c r="K351" s="50" t="n">
        <x:v>0.259136</x:v>
      </x:c>
      <x:c r="L351" s="47" t="n">
        <x:v>612</x:v>
      </x:c>
      <x:c r="M351" s="47" t="n">
        <x:v>792</x:v>
      </x:c>
      <x:c r="N351" s="28" t="str">
        <x:v>top-left</x:v>
      </x:c>
      <x:c r="O351" s="28" t="str">
        <x:v>PDF points</x:v>
      </x:c>
    </x:row>
    <x:row r="352" ht="22" customHeight="1">
      <x:c r="A352" s="28" t="str">
        <x:v>ANC-CAM-070-01-R01</x:v>
      </x:c>
      <x:c r="B352" s="28" t="str">
        <x:v>ANC-CAM-070-01</x:v>
      </x:c>
      <x:c r="C352" s="28" t="n">
        <x:v>4</x:v>
      </x:c>
      <x:c r="D352" s="47" t="n">
        <x:v>285.017</x:v>
      </x:c>
      <x:c r="E352" s="47" t="n">
        <x:v>232.681</x:v>
      </x:c>
      <x:c r="F352" s="47" t="n">
        <x:v>540.091</x:v>
      </x:c>
      <x:c r="G352" s="47" t="n">
        <x:v>246.867</x:v>
      </x:c>
      <x:c r="H352" s="50" t="n">
        <x:v>0.465714</x:v>
      </x:c>
      <x:c r="I352" s="50" t="n">
        <x:v>0.293789</x:v>
      </x:c>
      <x:c r="J352" s="50" t="n">
        <x:v>0.882502</x:v>
      </x:c>
      <x:c r="K352" s="50" t="n">
        <x:v>0.311701</x:v>
      </x:c>
      <x:c r="L352" s="47" t="n">
        <x:v>612</x:v>
      </x:c>
      <x:c r="M352" s="47" t="n">
        <x:v>792</x:v>
      </x:c>
      <x:c r="N352" s="28" t="str">
        <x:v>top-left</x:v>
      </x:c>
      <x:c r="O352" s="28" t="str">
        <x:v>PDF points</x:v>
      </x:c>
    </x:row>
    <x:row r="353" ht="22" customHeight="1">
      <x:c r="A353" s="28" t="str">
        <x:v>ANC-CAM-070-01-R02</x:v>
      </x:c>
      <x:c r="B353" s="28" t="str">
        <x:v>ANC-CAM-070-01</x:v>
      </x:c>
      <x:c r="C353" s="28" t="n">
        <x:v>4</x:v>
      </x:c>
      <x:c r="D353" s="47" t="n">
        <x:v>72.012</x:v>
      </x:c>
      <x:c r="E353" s="47" t="n">
        <x:v>246.006</x:v>
      </x:c>
      <x:c r="F353" s="47" t="n">
        <x:v>540.068</x:v>
      </x:c>
      <x:c r="G353" s="47" t="n">
        <x:v>260.193</x:v>
      </x:c>
      <x:c r="H353" s="50" t="n">
        <x:v>0.117666</x:v>
      </x:c>
      <x:c r="I353" s="50" t="n">
        <x:v>0.310614</x:v>
      </x:c>
      <x:c r="J353" s="50" t="n">
        <x:v>0.882463</x:v>
      </x:c>
      <x:c r="K353" s="50" t="n">
        <x:v>0.328526</x:v>
      </x:c>
      <x:c r="L353" s="47" t="n">
        <x:v>612</x:v>
      </x:c>
      <x:c r="M353" s="47" t="n">
        <x:v>792</x:v>
      </x:c>
      <x:c r="N353" s="28" t="str">
        <x:v>top-left</x:v>
      </x:c>
      <x:c r="O353" s="28" t="str">
        <x:v>PDF points</x:v>
      </x:c>
    </x:row>
    <x:row r="354" ht="22" customHeight="1">
      <x:c r="A354" s="28" t="str">
        <x:v>ANC-CAM-070-01-R03</x:v>
      </x:c>
      <x:c r="B354" s="28" t="str">
        <x:v>ANC-CAM-070-01</x:v>
      </x:c>
      <x:c r="C354" s="28" t="n">
        <x:v>4</x:v>
      </x:c>
      <x:c r="D354" s="47" t="n">
        <x:v>72.012</x:v>
      </x:c>
      <x:c r="E354" s="47" t="n">
        <x:v>259.442</x:v>
      </x:c>
      <x:c r="F354" s="47" t="n">
        <x:v>285.1</x:v>
      </x:c>
      <x:c r="G354" s="47" t="n">
        <x:v>273.628</x:v>
      </x:c>
      <x:c r="H354" s="50" t="n">
        <x:v>0.117666</x:v>
      </x:c>
      <x:c r="I354" s="50" t="n">
        <x:v>0.327578</x:v>
      </x:c>
      <x:c r="J354" s="50" t="n">
        <x:v>0.46585</x:v>
      </x:c>
      <x:c r="K354" s="50" t="n">
        <x:v>0.34549</x:v>
      </x:c>
      <x:c r="L354" s="47" t="n">
        <x:v>612</x:v>
      </x:c>
      <x:c r="M354" s="47" t="n">
        <x:v>792</x:v>
      </x:c>
      <x:c r="N354" s="28" t="str">
        <x:v>top-left</x:v>
      </x:c>
      <x:c r="O354" s="28" t="str">
        <x:v>PDF points</x:v>
      </x:c>
    </x:row>
    <x:row r="355" ht="22" customHeight="1">
      <x:c r="A355" s="28" t="str">
        <x:v>ANC-CAM-070-01-R04</x:v>
      </x:c>
      <x:c r="B355" s="28" t="str">
        <x:v>ANC-CAM-070-01</x:v>
      </x:c>
      <x:c r="C355" s="28" t="n">
        <x:v>4</x:v>
      </x:c>
      <x:c r="D355" s="47" t="n">
        <x:v>72.004</x:v>
      </x:c>
      <x:c r="E355" s="47" t="n">
        <x:v>280.933</x:v>
      </x:c>
      <x:c r="F355" s="47" t="n">
        <x:v>145.179</x:v>
      </x:c>
      <x:c r="G355" s="47" t="n">
        <x:v>295.12</x:v>
      </x:c>
      <x:c r="H355" s="50" t="n">
        <x:v>0.117653</x:v>
      </x:c>
      <x:c r="I355" s="50" t="n">
        <x:v>0.354714</x:v>
      </x:c>
      <x:c r="J355" s="50" t="n">
        <x:v>0.237221</x:v>
      </x:c>
      <x:c r="K355" s="50" t="n">
        <x:v>0.372626</x:v>
      </x:c>
      <x:c r="L355" s="47" t="n">
        <x:v>612</x:v>
      </x:c>
      <x:c r="M355" s="47" t="n">
        <x:v>792</x:v>
      </x:c>
      <x:c r="N355" s="28" t="str">
        <x:v>top-left</x:v>
      </x:c>
      <x:c r="O355" s="28" t="str">
        <x:v>PDF points</x:v>
      </x:c>
    </x:row>
    <x:row r="356" ht="22" customHeight="1">
      <x:c r="A356" s="28" t="str">
        <x:v>ANC-CAM-070-01-R05</x:v>
      </x:c>
      <x:c r="B356" s="28" t="str">
        <x:v>ANC-CAM-070-01</x:v>
      </x:c>
      <x:c r="C356" s="28" t="n">
        <x:v>4</x:v>
      </x:c>
      <x:c r="D356" s="47" t="n">
        <x:v>72.004</x:v>
      </x:c>
      <x:c r="E356" s="47" t="n">
        <x:v>307.805</x:v>
      </x:c>
      <x:c r="F356" s="47" t="n">
        <x:v>540.104</x:v>
      </x:c>
      <x:c r="G356" s="47" t="n">
        <x:v>321.991</x:v>
      </x:c>
      <x:c r="H356" s="50" t="n">
        <x:v>0.117653</x:v>
      </x:c>
      <x:c r="I356" s="50" t="n">
        <x:v>0.388642</x:v>
      </x:c>
      <x:c r="J356" s="50" t="n">
        <x:v>0.882523</x:v>
      </x:c>
      <x:c r="K356" s="50" t="n">
        <x:v>0.406554</x:v>
      </x:c>
      <x:c r="L356" s="47" t="n">
        <x:v>612</x:v>
      </x:c>
      <x:c r="M356" s="47" t="n">
        <x:v>792</x:v>
      </x:c>
      <x:c r="N356" s="28" t="str">
        <x:v>top-left</x:v>
      </x:c>
      <x:c r="O356" s="28" t="str">
        <x:v>PDF points</x:v>
      </x:c>
    </x:row>
    <x:row r="357" ht="22" customHeight="1">
      <x:c r="A357" s="28" t="str">
        <x:v>ANC-CAM-070-01-R06</x:v>
      </x:c>
      <x:c r="B357" s="28" t="str">
        <x:v>ANC-CAM-070-01</x:v>
      </x:c>
      <x:c r="C357" s="28" t="n">
        <x:v>4</x:v>
      </x:c>
      <x:c r="D357" s="47" t="n">
        <x:v>72.015</x:v>
      </x:c>
      <x:c r="E357" s="47" t="n">
        <x:v>321.24</x:v>
      </x:c>
      <x:c r="F357" s="47" t="n">
        <x:v>540.211</x:v>
      </x:c>
      <x:c r="G357" s="47" t="n">
        <x:v>335.427</x:v>
      </x:c>
      <x:c r="H357" s="50" t="n">
        <x:v>0.117671</x:v>
      </x:c>
      <x:c r="I357" s="50" t="n">
        <x:v>0.405607</x:v>
      </x:c>
      <x:c r="J357" s="50" t="n">
        <x:v>0.882698</x:v>
      </x:c>
      <x:c r="K357" s="50" t="n">
        <x:v>0.423519</x:v>
      </x:c>
      <x:c r="L357" s="47" t="n">
        <x:v>612</x:v>
      </x:c>
      <x:c r="M357" s="47" t="n">
        <x:v>792</x:v>
      </x:c>
      <x:c r="N357" s="28" t="str">
        <x:v>top-left</x:v>
      </x:c>
      <x:c r="O357" s="28" t="str">
        <x:v>PDF points</x:v>
      </x:c>
    </x:row>
    <x:row r="358" ht="22" customHeight="1">
      <x:c r="A358" s="28" t="str">
        <x:v>ANC-CAM-070-01-R07</x:v>
      </x:c>
      <x:c r="B358" s="28" t="str">
        <x:v>ANC-CAM-070-01</x:v>
      </x:c>
      <x:c r="C358" s="28" t="n">
        <x:v>4</x:v>
      </x:c>
      <x:c r="D358" s="47" t="n">
        <x:v>72.026</x:v>
      </x:c>
      <x:c r="E358" s="47" t="n">
        <x:v>334.566</x:v>
      </x:c>
      <x:c r="F358" s="47" t="n">
        <x:v>540.129</x:v>
      </x:c>
      <x:c r="G358" s="47" t="n">
        <x:v>348.752</x:v>
      </x:c>
      <x:c r="H358" s="50" t="n">
        <x:v>0.117689</x:v>
      </x:c>
      <x:c r="I358" s="50" t="n">
        <x:v>0.422431</x:v>
      </x:c>
      <x:c r="J358" s="50" t="n">
        <x:v>0.882563</x:v>
      </x:c>
      <x:c r="K358" s="50" t="n">
        <x:v>0.440344</x:v>
      </x:c>
      <x:c r="L358" s="47" t="n">
        <x:v>612</x:v>
      </x:c>
      <x:c r="M358" s="47" t="n">
        <x:v>792</x:v>
      </x:c>
      <x:c r="N358" s="28" t="str">
        <x:v>top-left</x:v>
      </x:c>
      <x:c r="O358" s="28" t="str">
        <x:v>PDF points</x:v>
      </x:c>
    </x:row>
    <x:row r="359" ht="22" customHeight="1">
      <x:c r="A359" s="28" t="str">
        <x:v>ANC-CAM-070-01-R08</x:v>
      </x:c>
      <x:c r="B359" s="28" t="str">
        <x:v>ANC-CAM-070-01</x:v>
      </x:c>
      <x:c r="C359" s="28" t="n">
        <x:v>4</x:v>
      </x:c>
      <x:c r="D359" s="47" t="n">
        <x:v>72.015</x:v>
      </x:c>
      <x:c r="E359" s="47" t="n">
        <x:v>348.001</x:v>
      </x:c>
      <x:c r="F359" s="47" t="n">
        <x:v>131.562</x:v>
      </x:c>
      <x:c r="G359" s="47" t="n">
        <x:v>362.188</x:v>
      </x:c>
      <x:c r="H359" s="50" t="n">
        <x:v>0.117671</x:v>
      </x:c>
      <x:c r="I359" s="50" t="n">
        <x:v>0.439396</x:v>
      </x:c>
      <x:c r="J359" s="50" t="n">
        <x:v>0.214971</x:v>
      </x:c>
      <x:c r="K359" s="50" t="n">
        <x:v>0.457308</x:v>
      </x:c>
      <x:c r="L359" s="47" t="n">
        <x:v>612</x:v>
      </x:c>
      <x:c r="M359" s="47" t="n">
        <x:v>792</x:v>
      </x:c>
      <x:c r="N359" s="28" t="str">
        <x:v>top-left</x:v>
      </x:c>
      <x:c r="O359" s="28" t="str">
        <x:v>PDF points</x:v>
      </x:c>
    </x:row>
    <x:row r="360" ht="22" customHeight="1">
      <x:c r="A360" s="28" t="str">
        <x:v>ANC-CAM-071-01-R01</x:v>
      </x:c>
      <x:c r="B360" s="28" t="str">
        <x:v>ANC-CAM-071-01</x:v>
      </x:c>
      <x:c r="C360" s="28" t="n">
        <x:v>4</x:v>
      </x:c>
      <x:c r="D360" s="47" t="n">
        <x:v>72.037</x:v>
      </x:c>
      <x:c r="E360" s="47" t="n">
        <x:v>388.308</x:v>
      </x:c>
      <x:c r="F360" s="47" t="n">
        <x:v>152.625</x:v>
      </x:c>
      <x:c r="G360" s="47" t="n">
        <x:v>402.495</x:v>
      </x:c>
      <x:c r="H360" s="50" t="n">
        <x:v>0.117707</x:v>
      </x:c>
      <x:c r="I360" s="50" t="n">
        <x:v>0.490288</x:v>
      </x:c>
      <x:c r="J360" s="50" t="n">
        <x:v>0.249387</x:v>
      </x:c>
      <x:c r="K360" s="50" t="n">
        <x:v>0.5082</x:v>
      </x:c>
      <x:c r="L360" s="47" t="n">
        <x:v>612</x:v>
      </x:c>
      <x:c r="M360" s="47" t="n">
        <x:v>792</x:v>
      </x:c>
      <x:c r="N360" s="28" t="str">
        <x:v>top-left</x:v>
      </x:c>
      <x:c r="O360" s="28" t="str">
        <x:v>PDF points</x:v>
      </x:c>
    </x:row>
    <x:row r="361" ht="22" customHeight="1">
      <x:c r="A361" s="28" t="str">
        <x:v>ANC-CAM-071-01-R02</x:v>
      </x:c>
      <x:c r="B361" s="28" t="str">
        <x:v>ANC-CAM-071-01</x:v>
      </x:c>
      <x:c r="C361" s="28" t="n">
        <x:v>4</x:v>
      </x:c>
      <x:c r="D361" s="47" t="n">
        <x:v>72.037</x:v>
      </x:c>
      <x:c r="E361" s="47" t="n">
        <x:v>415.18</x:v>
      </x:c>
      <x:c r="F361" s="47" t="n">
        <x:v>540.101</x:v>
      </x:c>
      <x:c r="G361" s="47" t="n">
        <x:v>429.366</x:v>
      </x:c>
      <x:c r="H361" s="50" t="n">
        <x:v>0.117707</x:v>
      </x:c>
      <x:c r="I361" s="50" t="n">
        <x:v>0.524217</x:v>
      </x:c>
      <x:c r="J361" s="50" t="n">
        <x:v>0.882518</x:v>
      </x:c>
      <x:c r="K361" s="50" t="n">
        <x:v>0.542129</x:v>
      </x:c>
      <x:c r="L361" s="47" t="n">
        <x:v>612</x:v>
      </x:c>
      <x:c r="M361" s="47" t="n">
        <x:v>792</x:v>
      </x:c>
      <x:c r="N361" s="28" t="str">
        <x:v>top-left</x:v>
      </x:c>
      <x:c r="O361" s="28" t="str">
        <x:v>PDF points</x:v>
      </x:c>
    </x:row>
    <x:row r="362" ht="22" customHeight="1">
      <x:c r="A362" s="28" t="str">
        <x:v>ANC-CAM-071-01-R03</x:v>
      </x:c>
      <x:c r="B362" s="28" t="str">
        <x:v>ANC-CAM-071-01</x:v>
      </x:c>
      <x:c r="C362" s="28" t="n">
        <x:v>4</x:v>
      </x:c>
      <x:c r="D362" s="47" t="n">
        <x:v>72.037</x:v>
      </x:c>
      <x:c r="E362" s="47" t="n">
        <x:v>428.615</x:v>
      </x:c>
      <x:c r="F362" s="47" t="n">
        <x:v>540.102</x:v>
      </x:c>
      <x:c r="G362" s="47" t="n">
        <x:v>442.802</x:v>
      </x:c>
      <x:c r="H362" s="50" t="n">
        <x:v>0.117707</x:v>
      </x:c>
      <x:c r="I362" s="50" t="n">
        <x:v>0.541181</x:v>
      </x:c>
      <x:c r="J362" s="50" t="n">
        <x:v>0.88252</x:v>
      </x:c>
      <x:c r="K362" s="50" t="n">
        <x:v>0.559093</x:v>
      </x:c>
      <x:c r="L362" s="47" t="n">
        <x:v>612</x:v>
      </x:c>
      <x:c r="M362" s="47" t="n">
        <x:v>792</x:v>
      </x:c>
      <x:c r="N362" s="28" t="str">
        <x:v>top-left</x:v>
      </x:c>
      <x:c r="O362" s="28" t="str">
        <x:v>PDF points</x:v>
      </x:c>
    </x:row>
    <x:row r="363" ht="22" customHeight="1">
      <x:c r="A363" s="28" t="str">
        <x:v>ANC-CAM-071-01-R04</x:v>
      </x:c>
      <x:c r="B363" s="28" t="str">
        <x:v>ANC-CAM-071-01</x:v>
      </x:c>
      <x:c r="C363" s="28" t="n">
        <x:v>4</x:v>
      </x:c>
      <x:c r="D363" s="47" t="n">
        <x:v>72.037</x:v>
      </x:c>
      <x:c r="E363" s="47" t="n">
        <x:v>442.051</x:v>
      </x:c>
      <x:c r="F363" s="47" t="n">
        <x:v>540.104</x:v>
      </x:c>
      <x:c r="G363" s="47" t="n">
        <x:v>456.237</x:v>
      </x:c>
      <x:c r="H363" s="50" t="n">
        <x:v>0.117707</x:v>
      </x:c>
      <x:c r="I363" s="50" t="n">
        <x:v>0.558145</x:v>
      </x:c>
      <x:c r="J363" s="50" t="n">
        <x:v>0.882523</x:v>
      </x:c>
      <x:c r="K363" s="50" t="n">
        <x:v>0.576057</x:v>
      </x:c>
      <x:c r="L363" s="47" t="n">
        <x:v>612</x:v>
      </x:c>
      <x:c r="M363" s="47" t="n">
        <x:v>792</x:v>
      </x:c>
      <x:c r="N363" s="28" t="str">
        <x:v>top-left</x:v>
      </x:c>
      <x:c r="O363" s="28" t="str">
        <x:v>PDF points</x:v>
      </x:c>
    </x:row>
    <x:row r="364" ht="22" customHeight="1">
      <x:c r="A364" s="28" t="str">
        <x:v>ANC-CAM-071-01-R05</x:v>
      </x:c>
      <x:c r="B364" s="28" t="str">
        <x:v>ANC-CAM-071-01</x:v>
      </x:c>
      <x:c r="C364" s="28" t="n">
        <x:v>4</x:v>
      </x:c>
      <x:c r="D364" s="47" t="n">
        <x:v>72.037</x:v>
      </x:c>
      <x:c r="E364" s="47" t="n">
        <x:v>455.487</x:v>
      </x:c>
      <x:c r="F364" s="47" t="n">
        <x:v>284.709</x:v>
      </x:c>
      <x:c r="G364" s="47" t="n">
        <x:v>469.673</x:v>
      </x:c>
      <x:c r="H364" s="50" t="n">
        <x:v>0.117707</x:v>
      </x:c>
      <x:c r="I364" s="50" t="n">
        <x:v>0.57511</x:v>
      </x:c>
      <x:c r="J364" s="50" t="n">
        <x:v>0.465211</x:v>
      </x:c>
      <x:c r="K364" s="50" t="n">
        <x:v>0.593022</x:v>
      </x:c>
      <x:c r="L364" s="47" t="n">
        <x:v>612</x:v>
      </x:c>
      <x:c r="M364" s="47" t="n">
        <x:v>792</x:v>
      </x:c>
      <x:c r="N364" s="28" t="str">
        <x:v>top-left</x:v>
      </x:c>
      <x:c r="O364" s="28" t="str">
        <x:v>PDF points</x:v>
      </x:c>
    </x:row>
    <x:row r="365" ht="22" customHeight="1">
      <x:c r="A365" s="28" t="str">
        <x:v>ANC-CAM-072-01-R01</x:v>
      </x:c>
      <x:c r="B365" s="28" t="str">
        <x:v>ANC-CAM-072-01</x:v>
      </x:c>
      <x:c r="C365" s="28" t="n">
        <x:v>5</x:v>
      </x:c>
      <x:c r="D365" s="47" t="n">
        <x:v>414.84</x:v>
      </x:c>
      <x:c r="E365" s="47" t="n">
        <x:v>386.41</x:v>
      </x:c>
      <x:c r="F365" s="47" t="n">
        <x:v>517.106</x:v>
      </x:c>
      <x:c r="G365" s="47" t="n">
        <x:v>400.596</x:v>
      </x:c>
      <x:c r="H365" s="50" t="n">
        <x:v>0.677843</x:v>
      </x:c>
      <x:c r="I365" s="50" t="n">
        <x:v>0.487891</x:v>
      </x:c>
      <x:c r="J365" s="50" t="n">
        <x:v>0.844944</x:v>
      </x:c>
      <x:c r="K365" s="50" t="n">
        <x:v>0.505803</x:v>
      </x:c>
      <x:c r="L365" s="47" t="n">
        <x:v>612</x:v>
      </x:c>
      <x:c r="M365" s="47" t="n">
        <x:v>792</x:v>
      </x:c>
      <x:c r="N365" s="28" t="str">
        <x:v>top-left</x:v>
      </x:c>
      <x:c r="O365" s="28" t="str">
        <x:v>PDF points</x:v>
      </x:c>
    </x:row>
    <x:row r="366" ht="22" customHeight="1">
      <x:c r="A366" s="28" t="str">
        <x:v>ANC-CAM-072-01-R02</x:v>
      </x:c>
      <x:c r="B366" s="28" t="str">
        <x:v>ANC-CAM-072-01</x:v>
      </x:c>
      <x:c r="C366" s="28" t="n">
        <x:v>5</x:v>
      </x:c>
      <x:c r="D366" s="47" t="n">
        <x:v>414.84</x:v>
      </x:c>
      <x:c r="E366" s="47" t="n">
        <x:v>413.175</x:v>
      </x:c>
      <x:c r="F366" s="47" t="n">
        <x:v>534.68</x:v>
      </x:c>
      <x:c r="G366" s="47" t="n">
        <x:v>427.361</x:v>
      </x:c>
      <x:c r="H366" s="50" t="n">
        <x:v>0.677843</x:v>
      </x:c>
      <x:c r="I366" s="50" t="n">
        <x:v>0.521685</x:v>
      </x:c>
      <x:c r="J366" s="50" t="n">
        <x:v>0.873661</x:v>
      </x:c>
      <x:c r="K366" s="50" t="n">
        <x:v>0.539598</x:v>
      </x:c>
      <x:c r="L366" s="47" t="n">
        <x:v>612</x:v>
      </x:c>
      <x:c r="M366" s="47" t="n">
        <x:v>792</x:v>
      </x:c>
      <x:c r="N366" s="28" t="str">
        <x:v>top-left</x:v>
      </x:c>
      <x:c r="O366" s="28" t="str">
        <x:v>PDF points</x:v>
      </x:c>
    </x:row>
    <x:row r="367" ht="22" customHeight="1">
      <x:c r="A367" s="28" t="str">
        <x:v>ANC-CAM-073-01-R01</x:v>
      </x:c>
      <x:c r="B367" s="28" t="str">
        <x:v>ANC-CAM-073-01</x:v>
      </x:c>
      <x:c r="C367" s="28" t="n">
        <x:v>8</x:v>
      </x:c>
      <x:c r="D367" s="47" t="n">
        <x:v>291.356</x:v>
      </x:c>
      <x:c r="E367" s="47" t="n">
        <x:v>454.186</x:v>
      </x:c>
      <x:c r="F367" s="47" t="n">
        <x:v>540.048</x:v>
      </x:c>
      <x:c r="G367" s="47" t="n">
        <x:v>468.373</x:v>
      </x:c>
      <x:c r="H367" s="50" t="n">
        <x:v>0.476072</x:v>
      </x:c>
      <x:c r="I367" s="50" t="n">
        <x:v>0.573468</x:v>
      </x:c>
      <x:c r="J367" s="50" t="n">
        <x:v>0.882432</x:v>
      </x:c>
      <x:c r="K367" s="50" t="n">
        <x:v>0.59138</x:v>
      </x:c>
      <x:c r="L367" s="47" t="n">
        <x:v>612</x:v>
      </x:c>
      <x:c r="M367" s="47" t="n">
        <x:v>792</x:v>
      </x:c>
      <x:c r="N367" s="28" t="str">
        <x:v>top-left</x:v>
      </x:c>
      <x:c r="O367" s="28" t="str">
        <x:v>PDF points</x:v>
      </x:c>
    </x:row>
    <x:row r="368" ht="22" customHeight="1">
      <x:c r="A368" s="28" t="str">
        <x:v>ANC-CAM-073-01-R02</x:v>
      </x:c>
      <x:c r="B368" s="28" t="str">
        <x:v>ANC-CAM-073-01</x:v>
      </x:c>
      <x:c r="C368" s="28" t="n">
        <x:v>8</x:v>
      </x:c>
      <x:c r="D368" s="47" t="n">
        <x:v>72</x:v>
      </x:c>
      <x:c r="E368" s="47" t="n">
        <x:v>467.622</x:v>
      </x:c>
      <x:c r="F368" s="47" t="n">
        <x:v>425.492</x:v>
      </x:c>
      <x:c r="G368" s="47" t="n">
        <x:v>481.809</x:v>
      </x:c>
      <x:c r="H368" s="50" t="n">
        <x:v>0.117647</x:v>
      </x:c>
      <x:c r="I368" s="50" t="n">
        <x:v>0.590432</x:v>
      </x:c>
      <x:c r="J368" s="50" t="n">
        <x:v>0.695248</x:v>
      </x:c>
      <x:c r="K368" s="50" t="n">
        <x:v>0.608344</x:v>
      </x:c>
      <x:c r="L368" s="47" t="n">
        <x:v>612</x:v>
      </x:c>
      <x:c r="M368" s="47" t="n">
        <x:v>792</x:v>
      </x:c>
      <x:c r="N368" s="28" t="str">
        <x:v>top-left</x:v>
      </x:c>
      <x:c r="O368" s="28" t="str">
        <x:v>PDF points</x:v>
      </x:c>
    </x:row>
    <x:row r="369" ht="22" customHeight="1">
      <x:c r="A369" s="28" t="str">
        <x:v>ANC-CAM-074-01-R01</x:v>
      </x:c>
      <x:c r="B369" s="28" t="str">
        <x:v>ANC-CAM-074-01</x:v>
      </x:c>
      <x:c r="C369" s="28" t="n">
        <x:v>9</x:v>
      </x:c>
      <x:c r="D369" s="47" t="n">
        <x:v>72.022</x:v>
      </x:c>
      <x:c r="E369" s="47" t="n">
        <x:v>218.852</x:v>
      </x:c>
      <x:c r="F369" s="47" t="n">
        <x:v>540.058</x:v>
      </x:c>
      <x:c r="G369" s="47" t="n">
        <x:v>233.038</x:v>
      </x:c>
      <x:c r="H369" s="50" t="n">
        <x:v>0.117683</x:v>
      </x:c>
      <x:c r="I369" s="50" t="n">
        <x:v>0.276328</x:v>
      </x:c>
      <x:c r="J369" s="50" t="n">
        <x:v>0.882448</x:v>
      </x:c>
      <x:c r="K369" s="50" t="n">
        <x:v>0.29424</x:v>
      </x:c>
      <x:c r="L369" s="47" t="n">
        <x:v>612</x:v>
      </x:c>
      <x:c r="M369" s="47" t="n">
        <x:v>792</x:v>
      </x:c>
      <x:c r="N369" s="28" t="str">
        <x:v>top-left</x:v>
      </x:c>
      <x:c r="O369" s="28" t="str">
        <x:v>PDF points</x:v>
      </x:c>
    </x:row>
    <x:row r="370" ht="22" customHeight="1">
      <x:c r="A370" s="28" t="str">
        <x:v>ANC-CAM-075-01-R01</x:v>
      </x:c>
      <x:c r="B370" s="28" t="str">
        <x:v>ANC-CAM-075-01</x:v>
      </x:c>
      <x:c r="C370" s="28" t="n">
        <x:v>11</x:v>
      </x:c>
      <x:c r="D370" s="47" t="n">
        <x:v>227.16</x:v>
      </x:c>
      <x:c r="E370" s="47" t="n">
        <x:v>544.09</x:v>
      </x:c>
      <x:c r="F370" s="47" t="n">
        <x:v>322.54</x:v>
      </x:c>
      <x:c r="G370" s="47" t="n">
        <x:v>558.276</x:v>
      </x:c>
      <x:c r="H370" s="50" t="n">
        <x:v>0.371176</x:v>
      </x:c>
      <x:c r="I370" s="50" t="n">
        <x:v>0.686982</x:v>
      </x:c>
      <x:c r="J370" s="50" t="n">
        <x:v>0.527026</x:v>
      </x:c>
      <x:c r="K370" s="50" t="n">
        <x:v>0.704894</x:v>
      </x:c>
      <x:c r="L370" s="47" t="n">
        <x:v>612</x:v>
      </x:c>
      <x:c r="M370" s="47" t="n">
        <x:v>792</x:v>
      </x:c>
      <x:c r="N370" s="28" t="str">
        <x:v>top-left</x:v>
      </x:c>
      <x:c r="O370" s="28" t="str">
        <x:v>PDF points</x:v>
      </x:c>
    </x:row>
    <x:row r="371" ht="22" customHeight="1">
      <x:c r="A371" s="28" t="str">
        <x:v>ANC-CAM-075-01-R02</x:v>
      </x:c>
      <x:c r="B371" s="28" t="str">
        <x:v>ANC-CAM-075-01</x:v>
      </x:c>
      <x:c r="C371" s="28" t="n">
        <x:v>11</x:v>
      </x:c>
      <x:c r="D371" s="47" t="n">
        <x:v>227.16</x:v>
      </x:c>
      <x:c r="E371" s="47" t="n">
        <x:v>557.53</x:v>
      </x:c>
      <x:c r="F371" s="47" t="n">
        <x:v>322.125</x:v>
      </x:c>
      <x:c r="G371" s="47" t="n">
        <x:v>571.716</x:v>
      </x:c>
      <x:c r="H371" s="50" t="n">
        <x:v>0.371176</x:v>
      </x:c>
      <x:c r="I371" s="50" t="n">
        <x:v>0.703952</x:v>
      </x:c>
      <x:c r="J371" s="50" t="n">
        <x:v>0.526348</x:v>
      </x:c>
      <x:c r="K371" s="50" t="n">
        <x:v>0.721864</x:v>
      </x:c>
      <x:c r="L371" s="47" t="n">
        <x:v>612</x:v>
      </x:c>
      <x:c r="M371" s="47" t="n">
        <x:v>792</x:v>
      </x:c>
      <x:c r="N371" s="28" t="str">
        <x:v>top-left</x:v>
      </x:c>
      <x:c r="O371" s="28" t="str">
        <x:v>PDF points</x:v>
      </x:c>
    </x:row>
    <x:row r="372" ht="22" customHeight="1">
      <x:c r="A372" s="28" t="str">
        <x:v>ANC-CAM-075-01-R03</x:v>
      </x:c>
      <x:c r="B372" s="28" t="str">
        <x:v>ANC-CAM-075-01</x:v>
      </x:c>
      <x:c r="C372" s="28" t="n">
        <x:v>11</x:v>
      </x:c>
      <x:c r="D372" s="47" t="n">
        <x:v>227.16</x:v>
      </x:c>
      <x:c r="E372" s="47" t="n">
        <x:v>570.965</x:v>
      </x:c>
      <x:c r="F372" s="47" t="n">
        <x:v>347.937</x:v>
      </x:c>
      <x:c r="G372" s="47" t="n">
        <x:v>585.152</x:v>
      </x:c>
      <x:c r="H372" s="50" t="n">
        <x:v>0.371176</x:v>
      </x:c>
      <x:c r="I372" s="50" t="n">
        <x:v>0.720916</x:v>
      </x:c>
      <x:c r="J372" s="50" t="n">
        <x:v>0.568524</x:v>
      </x:c>
      <x:c r="K372" s="50" t="n">
        <x:v>0.738828</x:v>
      </x:c>
      <x:c r="L372" s="47" t="n">
        <x:v>612</x:v>
      </x:c>
      <x:c r="M372" s="47" t="n">
        <x:v>792</x:v>
      </x:c>
      <x:c r="N372" s="28" t="str">
        <x:v>top-left</x:v>
      </x:c>
      <x:c r="O372" s="28" t="str">
        <x:v>PDF points</x:v>
      </x:c>
    </x:row>
    <x:row r="373" ht="22" customHeight="1">
      <x:c r="A373" s="28" t="str">
        <x:v>ANC-CAM-075-01-R04</x:v>
      </x:c>
      <x:c r="B373" s="28" t="str">
        <x:v>ANC-CAM-075-01</x:v>
      </x:c>
      <x:c r="C373" s="28" t="n">
        <x:v>11</x:v>
      </x:c>
      <x:c r="D373" s="47" t="n">
        <x:v>227.16</x:v>
      </x:c>
      <x:c r="E373" s="47" t="n">
        <x:v>584.401</x:v>
      </x:c>
      <x:c r="F373" s="47" t="n">
        <x:v>364.403</x:v>
      </x:c>
      <x:c r="G373" s="47" t="n">
        <x:v>598.587</x:v>
      </x:c>
      <x:c r="H373" s="50" t="n">
        <x:v>0.371176</x:v>
      </x:c>
      <x:c r="I373" s="50" t="n">
        <x:v>0.73788</x:v>
      </x:c>
      <x:c r="J373" s="50" t="n">
        <x:v>0.595429</x:v>
      </x:c>
      <x:c r="K373" s="50" t="n">
        <x:v>0.755792</x:v>
      </x:c>
      <x:c r="L373" s="47" t="n">
        <x:v>612</x:v>
      </x:c>
      <x:c r="M373" s="47" t="n">
        <x:v>792</x:v>
      </x:c>
      <x:c r="N373" s="28" t="str">
        <x:v>top-left</x:v>
      </x:c>
      <x:c r="O373" s="28" t="str">
        <x:v>PDF points</x:v>
      </x:c>
    </x:row>
    <x:row r="374" ht="22" customHeight="1">
      <x:c r="A374" s="28" t="str">
        <x:v>ANC-CAM-076-01-R01</x:v>
      </x:c>
      <x:c r="B374" s="28" t="str">
        <x:v>ANC-CAM-076-01</x:v>
      </x:c>
      <x:c r="C374" s="28" t="n">
        <x:v>11</x:v>
      </x:c>
      <x:c r="D374" s="47" t="n">
        <x:v>395.28</x:v>
      </x:c>
      <x:c r="E374" s="47" t="n">
        <x:v>544.09</x:v>
      </x:c>
      <x:c r="F374" s="47" t="n">
        <x:v>541.978</x:v>
      </x:c>
      <x:c r="G374" s="47" t="n">
        <x:v>558.276</x:v>
      </x:c>
      <x:c r="H374" s="50" t="n">
        <x:v>0.645882</x:v>
      </x:c>
      <x:c r="I374" s="50" t="n">
        <x:v>0.686982</x:v>
      </x:c>
      <x:c r="J374" s="50" t="n">
        <x:v>0.885586</x:v>
      </x:c>
      <x:c r="K374" s="50" t="n">
        <x:v>0.704894</x:v>
      </x:c>
      <x:c r="L374" s="47" t="n">
        <x:v>612</x:v>
      </x:c>
      <x:c r="M374" s="47" t="n">
        <x:v>792</x:v>
      </x:c>
      <x:c r="N374" s="28" t="str">
        <x:v>top-left</x:v>
      </x:c>
      <x:c r="O374" s="28" t="str">
        <x:v>PDF points</x:v>
      </x:c>
    </x:row>
    <x:row r="375" ht="22" customHeight="1">
      <x:c r="A375" s="28" t="str">
        <x:v>ANC-CAM-076-01-R02</x:v>
      </x:c>
      <x:c r="B375" s="28" t="str">
        <x:v>ANC-CAM-076-01</x:v>
      </x:c>
      <x:c r="C375" s="28" t="n">
        <x:v>11</x:v>
      </x:c>
      <x:c r="D375" s="47" t="n">
        <x:v>395.28</x:v>
      </x:c>
      <x:c r="E375" s="47" t="n">
        <x:v>557.53</x:v>
      </x:c>
      <x:c r="F375" s="47" t="n">
        <x:v>504.541</x:v>
      </x:c>
      <x:c r="G375" s="47" t="n">
        <x:v>571.716</x:v>
      </x:c>
      <x:c r="H375" s="50" t="n">
        <x:v>0.645882</x:v>
      </x:c>
      <x:c r="I375" s="50" t="n">
        <x:v>0.703952</x:v>
      </x:c>
      <x:c r="J375" s="50" t="n">
        <x:v>0.824413</x:v>
      </x:c>
      <x:c r="K375" s="50" t="n">
        <x:v>0.721864</x:v>
      </x:c>
      <x:c r="L375" s="47" t="n">
        <x:v>612</x:v>
      </x:c>
      <x:c r="M375" s="47" t="n">
        <x:v>792</x:v>
      </x:c>
      <x:c r="N375" s="28" t="str">
        <x:v>top-left</x:v>
      </x:c>
      <x:c r="O375" s="28" t="str">
        <x:v>PDF points</x:v>
      </x:c>
    </x:row>
    <x:row r="376" ht="22" customHeight="1">
      <x:c r="A376" s="28" t="str">
        <x:v>ANC-CAM-077-01-R01</x:v>
      </x:c>
      <x:c r="B376" s="28" t="str">
        <x:v>ANC-CAM-077-01</x:v>
      </x:c>
      <x:c r="C376" s="28" t="n">
        <x:v>13</x:v>
      </x:c>
      <x:c r="D376" s="47" t="n">
        <x:v>227.16</x:v>
      </x:c>
      <x:c r="E376" s="47" t="n">
        <x:v>112.93</x:v>
      </x:c>
      <x:c r="F376" s="47" t="n">
        <x:v>347.612</x:v>
      </x:c>
      <x:c r="G376" s="47" t="n">
        <x:v>127.116</x:v>
      </x:c>
      <x:c r="H376" s="50" t="n">
        <x:v>0.371176</x:v>
      </x:c>
      <x:c r="I376" s="50" t="n">
        <x:v>0.142588</x:v>
      </x:c>
      <x:c r="J376" s="50" t="n">
        <x:v>0.567994</x:v>
      </x:c>
      <x:c r="K376" s="50" t="n">
        <x:v>0.1605</x:v>
      </x:c>
      <x:c r="L376" s="47" t="n">
        <x:v>612</x:v>
      </x:c>
      <x:c r="M376" s="47" t="n">
        <x:v>792</x:v>
      </x:c>
      <x:c r="N376" s="28" t="str">
        <x:v>top-left</x:v>
      </x:c>
      <x:c r="O376" s="28" t="str">
        <x:v>PDF points</x:v>
      </x:c>
    </x:row>
    <x:row r="377" ht="22" customHeight="1">
      <x:c r="A377" s="28" t="str">
        <x:v>ANC-CAM-077-01-R02</x:v>
      </x:c>
      <x:c r="B377" s="28" t="str">
        <x:v>ANC-CAM-077-01</x:v>
      </x:c>
      <x:c r="C377" s="28" t="n">
        <x:v>13</x:v>
      </x:c>
      <x:c r="D377" s="47" t="n">
        <x:v>227.16</x:v>
      </x:c>
      <x:c r="E377" s="47" t="n">
        <x:v>126.37</x:v>
      </x:c>
      <x:c r="F377" s="47" t="n">
        <x:v>335.461</x:v>
      </x:c>
      <x:c r="G377" s="47" t="n">
        <x:v>140.556</x:v>
      </x:c>
      <x:c r="H377" s="50" t="n">
        <x:v>0.371176</x:v>
      </x:c>
      <x:c r="I377" s="50" t="n">
        <x:v>0.159558</x:v>
      </x:c>
      <x:c r="J377" s="50" t="n">
        <x:v>0.548139</x:v>
      </x:c>
      <x:c r="K377" s="50" t="n">
        <x:v>0.17747</x:v>
      </x:c>
      <x:c r="L377" s="47" t="n">
        <x:v>612</x:v>
      </x:c>
      <x:c r="M377" s="47" t="n">
        <x:v>792</x:v>
      </x:c>
      <x:c r="N377" s="28" t="str">
        <x:v>top-left</x:v>
      </x:c>
      <x:c r="O377" s="28" t="str">
        <x:v>PDF points</x:v>
      </x:c>
    </x:row>
    <x:row r="378" ht="22" customHeight="1">
      <x:c r="A378" s="28" t="str">
        <x:v>ANC-CAM-078-01-R01</x:v>
      </x:c>
      <x:c r="B378" s="28" t="str">
        <x:v>ANC-CAM-078-01</x:v>
      </x:c>
      <x:c r="C378" s="28" t="n">
        <x:v>12</x:v>
      </x:c>
      <x:c r="D378" s="47" t="n">
        <x:v>395.275</x:v>
      </x:c>
      <x:c r="E378" s="47" t="n">
        <x:v>422.77</x:v>
      </x:c>
      <x:c r="F378" s="47" t="n">
        <x:v>536.459</x:v>
      </x:c>
      <x:c r="G378" s="47" t="n">
        <x:v>436.956</x:v>
      </x:c>
      <x:c r="H378" s="50" t="n">
        <x:v>0.645875</x:v>
      </x:c>
      <x:c r="I378" s="50" t="n">
        <x:v>0.5338</x:v>
      </x:c>
      <x:c r="J378" s="50" t="n">
        <x:v>0.876567</x:v>
      </x:c>
      <x:c r="K378" s="50" t="n">
        <x:v>0.551712</x:v>
      </x:c>
      <x:c r="L378" s="47" t="n">
        <x:v>612</x:v>
      </x:c>
      <x:c r="M378" s="47" t="n">
        <x:v>792</x:v>
      </x:c>
      <x:c r="N378" s="28" t="str">
        <x:v>top-left</x:v>
      </x:c>
      <x:c r="O378" s="28" t="str">
        <x:v>PDF points</x:v>
      </x:c>
    </x:row>
    <x:row r="379" ht="22" customHeight="1">
      <x:c r="A379" s="28" t="str">
        <x:v>ANC-CAM-079-01-R01</x:v>
      </x:c>
      <x:c r="B379" s="28" t="str">
        <x:v>ANC-CAM-079-01</x:v>
      </x:c>
      <x:c r="C379" s="28" t="n">
        <x:v>16</x:v>
      </x:c>
      <x:c r="D379" s="47" t="n">
        <x:v>59.4</x:v>
      </x:c>
      <x:c r="E379" s="47" t="n">
        <x:v>279.86</x:v>
      </x:c>
      <x:c r="F379" s="47" t="n">
        <x:v>140.247</x:v>
      </x:c>
      <x:c r="G379" s="47" t="n">
        <x:v>292.659</x:v>
      </x:c>
      <x:c r="H379" s="50" t="n">
        <x:v>0.097059</x:v>
      </x:c>
      <x:c r="I379" s="50" t="n">
        <x:v>0.353359</x:v>
      </x:c>
      <x:c r="J379" s="50" t="n">
        <x:v>0.229162</x:v>
      </x:c>
      <x:c r="K379" s="50" t="n">
        <x:v>0.369519</x:v>
      </x:c>
      <x:c r="L379" s="47" t="n">
        <x:v>612</x:v>
      </x:c>
      <x:c r="M379" s="47" t="n">
        <x:v>792</x:v>
      </x:c>
      <x:c r="N379" s="28" t="str">
        <x:v>top-left</x:v>
      </x:c>
      <x:c r="O379" s="28" t="str">
        <x:v>PDF points</x:v>
      </x:c>
    </x:row>
    <x:row r="380" ht="22" customHeight="1">
      <x:c r="A380" s="28" t="str">
        <x:v>ANC-JAM-001-01-R01</x:v>
      </x:c>
      <x:c r="B380" s="28" t="str">
        <x:v>ANC-JAM-001-01</x:v>
      </x:c>
      <x:c r="C380" s="28" t="n">
        <x:v>3</x:v>
      </x:c>
      <x:c r="D380" s="47" t="n">
        <x:v>72.024</x:v>
      </x:c>
      <x:c r="E380" s="47" t="n">
        <x:v>463.378</x:v>
      </x:c>
      <x:c r="F380" s="47" t="n">
        <x:v>393.396</x:v>
      </x:c>
      <x:c r="G380" s="47" t="n">
        <x:v>476.662</x:v>
      </x:c>
      <x:c r="H380" s="50" t="n">
        <x:v>0.117686</x:v>
      </x:c>
      <x:c r="I380" s="50" t="n">
        <x:v>0.585073</x:v>
      </x:c>
      <x:c r="J380" s="50" t="n">
        <x:v>0.642804</x:v>
      </x:c>
      <x:c r="K380" s="50" t="n">
        <x:v>0.601846</x:v>
      </x:c>
      <x:c r="L380" s="47" t="n">
        <x:v>612</x:v>
      </x:c>
      <x:c r="M380" s="47" t="n">
        <x:v>792</x:v>
      </x:c>
      <x:c r="N380" s="28" t="str">
        <x:v>top-left</x:v>
      </x:c>
      <x:c r="O380" s="28" t="str">
        <x:v>PDF points</x:v>
      </x:c>
    </x:row>
    <x:row r="381" ht="22" customHeight="1">
      <x:c r="A381" s="28" t="str">
        <x:v>ANC-JAM-001-01-R02</x:v>
      </x:c>
      <x:c r="B381" s="28" t="str">
        <x:v>ANC-JAM-001-01</x:v>
      </x:c>
      <x:c r="C381" s="28" t="n">
        <x:v>3</x:v>
      </x:c>
      <x:c r="D381" s="47" t="n">
        <x:v>90.024</x:v>
      </x:c>
      <x:c r="E381" s="47" t="n">
        <x:v>485.218</x:v>
      </x:c>
      <x:c r="F381" s="47" t="n">
        <x:v>511.486</x:v>
      </x:c>
      <x:c r="G381" s="47" t="n">
        <x:v>498.67</x:v>
      </x:c>
      <x:c r="H381" s="50" t="n">
        <x:v>0.147098</x:v>
      </x:c>
      <x:c r="I381" s="50" t="n">
        <x:v>0.612649</x:v>
      </x:c>
      <x:c r="J381" s="50" t="n">
        <x:v>0.835761</x:v>
      </x:c>
      <x:c r="K381" s="50" t="n">
        <x:v>0.629634</x:v>
      </x:c>
      <x:c r="L381" s="47" t="n">
        <x:v>612</x:v>
      </x:c>
      <x:c r="M381" s="47" t="n">
        <x:v>792</x:v>
      </x:c>
      <x:c r="N381" s="28" t="str">
        <x:v>top-left</x:v>
      </x:c>
      <x:c r="O381" s="28" t="str">
        <x:v>PDF points</x:v>
      </x:c>
    </x:row>
    <x:row r="382" ht="22" customHeight="1">
      <x:c r="A382" s="28" t="str">
        <x:v>ANC-JAM-001-01-R03</x:v>
      </x:c>
      <x:c r="B382" s="28" t="str">
        <x:v>ANC-JAM-001-01</x:v>
      </x:c>
      <x:c r="C382" s="28" t="n">
        <x:v>3</x:v>
      </x:c>
      <x:c r="D382" s="47" t="n">
        <x:v>108.02</x:v>
      </x:c>
      <x:c r="E382" s="47" t="n">
        <x:v>499.978</x:v>
      </x:c>
      <x:c r="F382" s="47" t="n">
        <x:v>303.548</x:v>
      </x:c>
      <x:c r="G382" s="47" t="n">
        <x:v>513.262</x:v>
      </x:c>
      <x:c r="H382" s="50" t="n">
        <x:v>0.176503</x:v>
      </x:c>
      <x:c r="I382" s="50" t="n">
        <x:v>0.631285</x:v>
      </x:c>
      <x:c r="J382" s="50" t="n">
        <x:v>0.495993</x:v>
      </x:c>
      <x:c r="K382" s="50" t="n">
        <x:v>0.648058</x:v>
      </x:c>
      <x:c r="L382" s="47" t="n">
        <x:v>612</x:v>
      </x:c>
      <x:c r="M382" s="47" t="n">
        <x:v>792</x:v>
      </x:c>
      <x:c r="N382" s="28" t="str">
        <x:v>top-left</x:v>
      </x:c>
      <x:c r="O382" s="28" t="str">
        <x:v>PDF points</x:v>
      </x:c>
    </x:row>
    <x:row r="383" ht="22" customHeight="1">
      <x:c r="A383" s="28" t="str">
        <x:v>ANC-JAM-002-01-R01</x:v>
      </x:c>
      <x:c r="B383" s="28" t="str">
        <x:v>ANC-JAM-002-01</x:v>
      </x:c>
      <x:c r="C383" s="28" t="n">
        <x:v>4</x:v>
      </x:c>
      <x:c r="D383" s="47" t="n">
        <x:v>404.144</x:v>
      </x:c>
      <x:c r="E383" s="47" t="n">
        <x:v>87.248</x:v>
      </x:c>
      <x:c r="F383" s="47" t="n">
        <x:v>539.864</x:v>
      </x:c>
      <x:c r="G383" s="47" t="n">
        <x:v>100.532</x:v>
      </x:c>
      <x:c r="H383" s="50" t="n">
        <x:v>0.660366</x:v>
      </x:c>
      <x:c r="I383" s="50" t="n">
        <x:v>0.110162</x:v>
      </x:c>
      <x:c r="J383" s="50" t="n">
        <x:v>0.882131</x:v>
      </x:c>
      <x:c r="K383" s="50" t="n">
        <x:v>0.126934</x:v>
      </x:c>
      <x:c r="L383" s="47" t="n">
        <x:v>612</x:v>
      </x:c>
      <x:c r="M383" s="47" t="n">
        <x:v>792</x:v>
      </x:c>
      <x:c r="N383" s="28" t="str">
        <x:v>top-left</x:v>
      </x:c>
      <x:c r="O383" s="28" t="str">
        <x:v>PDF points</x:v>
      </x:c>
    </x:row>
    <x:row r="384" ht="22" customHeight="1">
      <x:c r="A384" s="28" t="str">
        <x:v>ANC-JAM-002-01-R02</x:v>
      </x:c>
      <x:c r="B384" s="28" t="str">
        <x:v>ANC-JAM-002-01</x:v>
      </x:c>
      <x:c r="C384" s="28" t="n">
        <x:v>4</x:v>
      </x:c>
      <x:c r="D384" s="47" t="n">
        <x:v>144.02</x:v>
      </x:c>
      <x:c r="E384" s="47" t="n">
        <x:v>102.008</x:v>
      </x:c>
      <x:c r="F384" s="47" t="n">
        <x:v>438.368</x:v>
      </x:c>
      <x:c r="G384" s="47" t="n">
        <x:v>115.292</x:v>
      </x:c>
      <x:c r="H384" s="50" t="n">
        <x:v>0.235327</x:v>
      </x:c>
      <x:c r="I384" s="50" t="n">
        <x:v>0.128798</x:v>
      </x:c>
      <x:c r="J384" s="50" t="n">
        <x:v>0.716288</x:v>
      </x:c>
      <x:c r="K384" s="50" t="n">
        <x:v>0.145571</x:v>
      </x:c>
      <x:c r="L384" s="47" t="n">
        <x:v>612</x:v>
      </x:c>
      <x:c r="M384" s="47" t="n">
        <x:v>792</x:v>
      </x:c>
      <x:c r="N384" s="28" t="str">
        <x:v>top-left</x:v>
      </x:c>
      <x:c r="O384" s="28" t="str">
        <x:v>PDF points</x:v>
      </x:c>
    </x:row>
    <x:row r="385" ht="22" customHeight="1">
      <x:c r="A385" s="28" t="str">
        <x:v>ANC-JAM-002-01-R03</x:v>
      </x:c>
      <x:c r="B385" s="28" t="str">
        <x:v>ANC-JAM-002-01</x:v>
      </x:c>
      <x:c r="C385" s="28" t="n">
        <x:v>4</x:v>
      </x:c>
      <x:c r="D385" s="47" t="n">
        <x:v>116.3</x:v>
      </x:c>
      <x:c r="E385" s="47" t="n">
        <x:v>125.663</x:v>
      </x:c>
      <x:c r="F385" s="47" t="n">
        <x:v>126.092</x:v>
      </x:c>
      <x:c r="G385" s="47" t="n">
        <x:v>137.885</x:v>
      </x:c>
      <x:c r="H385" s="50" t="n">
        <x:v>0.190033</x:v>
      </x:c>
      <x:c r="I385" s="50" t="n">
        <x:v>0.158666</x:v>
      </x:c>
      <x:c r="J385" s="50" t="n">
        <x:v>0.206033</x:v>
      </x:c>
      <x:c r="K385" s="50" t="n">
        <x:v>0.174097</x:v>
      </x:c>
      <x:c r="L385" s="47" t="n">
        <x:v>612</x:v>
      </x:c>
      <x:c r="M385" s="47" t="n">
        <x:v>792</x:v>
      </x:c>
      <x:c r="N385" s="28" t="str">
        <x:v>top-left</x:v>
      </x:c>
      <x:c r="O385" s="28" t="str">
        <x:v>PDF points</x:v>
      </x:c>
    </x:row>
    <x:row r="386" ht="22" customHeight="1">
      <x:c r="A386" s="28" t="str">
        <x:v>ANC-JAM-002-01-R04</x:v>
      </x:c>
      <x:c r="B386" s="28" t="str">
        <x:v>ANC-JAM-002-01</x:v>
      </x:c>
      <x:c r="C386" s="28" t="n">
        <x:v>4</x:v>
      </x:c>
      <x:c r="D386" s="47" t="n">
        <x:v>144.02</x:v>
      </x:c>
      <x:c r="E386" s="47" t="n">
        <x:v>124.808</x:v>
      </x:c>
      <x:c r="F386" s="47" t="n">
        <x:v>539.738</x:v>
      </x:c>
      <x:c r="G386" s="47" t="n">
        <x:v>138.092</x:v>
      </x:c>
      <x:c r="H386" s="50" t="n">
        <x:v>0.235327</x:v>
      </x:c>
      <x:c r="I386" s="50" t="n">
        <x:v>0.157586</x:v>
      </x:c>
      <x:c r="J386" s="50" t="n">
        <x:v>0.881925</x:v>
      </x:c>
      <x:c r="K386" s="50" t="n">
        <x:v>0.174359</x:v>
      </x:c>
      <x:c r="L386" s="47" t="n">
        <x:v>612</x:v>
      </x:c>
      <x:c r="M386" s="47" t="n">
        <x:v>792</x:v>
      </x:c>
      <x:c r="N386" s="28" t="str">
        <x:v>top-left</x:v>
      </x:c>
      <x:c r="O386" s="28" t="str">
        <x:v>PDF points</x:v>
      </x:c>
    </x:row>
    <x:row r="387" ht="22" customHeight="1">
      <x:c r="A387" s="28" t="str">
        <x:v>ANC-JAM-002-01-R05</x:v>
      </x:c>
      <x:c r="B387" s="28" t="str">
        <x:v>ANC-JAM-002-01</x:v>
      </x:c>
      <x:c r="C387" s="28" t="n">
        <x:v>4</x:v>
      </x:c>
      <x:c r="D387" s="47" t="n">
        <x:v>144.02</x:v>
      </x:c>
      <x:c r="E387" s="47" t="n">
        <x:v>139.568</x:v>
      </x:c>
      <x:c r="F387" s="47" t="n">
        <x:v>539.822</x:v>
      </x:c>
      <x:c r="G387" s="47" t="n">
        <x:v>152.852</x:v>
      </x:c>
      <x:c r="H387" s="50" t="n">
        <x:v>0.235327</x:v>
      </x:c>
      <x:c r="I387" s="50" t="n">
        <x:v>0.176222</x:v>
      </x:c>
      <x:c r="J387" s="50" t="n">
        <x:v>0.882062</x:v>
      </x:c>
      <x:c r="K387" s="50" t="n">
        <x:v>0.192995</x:v>
      </x:c>
      <x:c r="L387" s="47" t="n">
        <x:v>612</x:v>
      </x:c>
      <x:c r="M387" s="47" t="n">
        <x:v>792</x:v>
      </x:c>
      <x:c r="N387" s="28" t="str">
        <x:v>top-left</x:v>
      </x:c>
      <x:c r="O387" s="28" t="str">
        <x:v>PDF points</x:v>
      </x:c>
    </x:row>
    <x:row r="388" ht="22" customHeight="1">
      <x:c r="A388" s="28" t="str">
        <x:v>ANC-JAM-002-01-R06</x:v>
      </x:c>
      <x:c r="B388" s="28" t="str">
        <x:v>ANC-JAM-002-01</x:v>
      </x:c>
      <x:c r="C388" s="28" t="n">
        <x:v>4</x:v>
      </x:c>
      <x:c r="D388" s="47" t="n">
        <x:v>144.02</x:v>
      </x:c>
      <x:c r="E388" s="47" t="n">
        <x:v>154.328</x:v>
      </x:c>
      <x:c r="F388" s="47" t="n">
        <x:v>330.998</x:v>
      </x:c>
      <x:c r="G388" s="47" t="n">
        <x:v>167.612</x:v>
      </x:c>
      <x:c r="H388" s="50" t="n">
        <x:v>0.235327</x:v>
      </x:c>
      <x:c r="I388" s="50" t="n">
        <x:v>0.194859</x:v>
      </x:c>
      <x:c r="J388" s="50" t="n">
        <x:v>0.540846</x:v>
      </x:c>
      <x:c r="K388" s="50" t="n">
        <x:v>0.211631</x:v>
      </x:c>
      <x:c r="L388" s="47" t="n">
        <x:v>612</x:v>
      </x:c>
      <x:c r="M388" s="47" t="n">
        <x:v>792</x:v>
      </x:c>
      <x:c r="N388" s="28" t="str">
        <x:v>top-left</x:v>
      </x:c>
      <x:c r="O388" s="28" t="str">
        <x:v>PDF points</x:v>
      </x:c>
    </x:row>
    <x:row r="389" ht="22" customHeight="1">
      <x:c r="A389" s="28" t="str">
        <x:v>ANC-JAM-003-01-R01</x:v>
      </x:c>
      <x:c r="B389" s="28" t="str">
        <x:v>ANC-JAM-003-01</x:v>
      </x:c>
      <x:c r="C389" s="28" t="n">
        <x:v>4</x:v>
      </x:c>
      <x:c r="D389" s="47" t="n">
        <x:v>113.18</x:v>
      </x:c>
      <x:c r="E389" s="47" t="n">
        <x:v>177.983</x:v>
      </x:c>
      <x:c r="F389" s="47" t="n">
        <x:v>126.086</x:v>
      </x:c>
      <x:c r="G389" s="47" t="n">
        <x:v>190.205</x:v>
      </x:c>
      <x:c r="H389" s="50" t="n">
        <x:v>0.184935</x:v>
      </x:c>
      <x:c r="I389" s="50" t="n">
        <x:v>0.224726</x:v>
      </x:c>
      <x:c r="J389" s="50" t="n">
        <x:v>0.206022</x:v>
      </x:c>
      <x:c r="K389" s="50" t="n">
        <x:v>0.240157</x:v>
      </x:c>
      <x:c r="L389" s="47" t="n">
        <x:v>612</x:v>
      </x:c>
      <x:c r="M389" s="47" t="n">
        <x:v>792</x:v>
      </x:c>
      <x:c r="N389" s="28" t="str">
        <x:v>top-left</x:v>
      </x:c>
      <x:c r="O389" s="28" t="str">
        <x:v>PDF points</x:v>
      </x:c>
    </x:row>
    <x:row r="390" ht="22" customHeight="1">
      <x:c r="A390" s="28" t="str">
        <x:v>ANC-JAM-003-01-R02</x:v>
      </x:c>
      <x:c r="B390" s="28" t="str">
        <x:v>ANC-JAM-003-01</x:v>
      </x:c>
      <x:c r="C390" s="28" t="n">
        <x:v>4</x:v>
      </x:c>
      <x:c r="D390" s="47" t="n">
        <x:v>144.02</x:v>
      </x:c>
      <x:c r="E390" s="47" t="n">
        <x:v>177.128</x:v>
      </x:c>
      <x:c r="F390" s="47" t="n">
        <x:v>539.858</x:v>
      </x:c>
      <x:c r="G390" s="47" t="n">
        <x:v>190.412</x:v>
      </x:c>
      <x:c r="H390" s="50" t="n">
        <x:v>0.235327</x:v>
      </x:c>
      <x:c r="I390" s="50" t="n">
        <x:v>0.223646</x:v>
      </x:c>
      <x:c r="J390" s="50" t="n">
        <x:v>0.882121</x:v>
      </x:c>
      <x:c r="K390" s="50" t="n">
        <x:v>0.240419</x:v>
      </x:c>
      <x:c r="L390" s="47" t="n">
        <x:v>612</x:v>
      </x:c>
      <x:c r="M390" s="47" t="n">
        <x:v>792</x:v>
      </x:c>
      <x:c r="N390" s="28" t="str">
        <x:v>top-left</x:v>
      </x:c>
      <x:c r="O390" s="28" t="str">
        <x:v>PDF points</x:v>
      </x:c>
    </x:row>
    <x:row r="391" ht="22" customHeight="1">
      <x:c r="A391" s="28" t="str">
        <x:v>ANC-JAM-003-01-R03</x:v>
      </x:c>
      <x:c r="B391" s="28" t="str">
        <x:v>ANC-JAM-003-01</x:v>
      </x:c>
      <x:c r="C391" s="28" t="n">
        <x:v>4</x:v>
      </x:c>
      <x:c r="D391" s="47" t="n">
        <x:v>144.02</x:v>
      </x:c>
      <x:c r="E391" s="47" t="n">
        <x:v>191.888</x:v>
      </x:c>
      <x:c r="F391" s="47" t="n">
        <x:v>539.842</x:v>
      </x:c>
      <x:c r="G391" s="47" t="n">
        <x:v>205.172</x:v>
      </x:c>
      <x:c r="H391" s="50" t="n">
        <x:v>0.235327</x:v>
      </x:c>
      <x:c r="I391" s="50" t="n">
        <x:v>0.242283</x:v>
      </x:c>
      <x:c r="J391" s="50" t="n">
        <x:v>0.882095</x:v>
      </x:c>
      <x:c r="K391" s="50" t="n">
        <x:v>0.259056</x:v>
      </x:c>
      <x:c r="L391" s="47" t="n">
        <x:v>612</x:v>
      </x:c>
      <x:c r="M391" s="47" t="n">
        <x:v>792</x:v>
      </x:c>
      <x:c r="N391" s="28" t="str">
        <x:v>top-left</x:v>
      </x:c>
      <x:c r="O391" s="28" t="str">
        <x:v>PDF points</x:v>
      </x:c>
    </x:row>
    <x:row r="392" ht="22" customHeight="1">
      <x:c r="A392" s="28" t="str">
        <x:v>ANC-JAM-003-01-R04</x:v>
      </x:c>
      <x:c r="B392" s="28" t="str">
        <x:v>ANC-JAM-003-01</x:v>
      </x:c>
      <x:c r="C392" s="28" t="n">
        <x:v>4</x:v>
      </x:c>
      <x:c r="D392" s="47" t="n">
        <x:v>144.02</x:v>
      </x:c>
      <x:c r="E392" s="47" t="n">
        <x:v>206.648</x:v>
      </x:c>
      <x:c r="F392" s="47" t="n">
        <x:v>171.02</x:v>
      </x:c>
      <x:c r="G392" s="47" t="n">
        <x:v>219.932</x:v>
      </x:c>
      <x:c r="H392" s="50" t="n">
        <x:v>0.235327</x:v>
      </x:c>
      <x:c r="I392" s="50" t="n">
        <x:v>0.260919</x:v>
      </x:c>
      <x:c r="J392" s="50" t="n">
        <x:v>0.279444</x:v>
      </x:c>
      <x:c r="K392" s="50" t="n">
        <x:v>0.277692</x:v>
      </x:c>
      <x:c r="L392" s="47" t="n">
        <x:v>612</x:v>
      </x:c>
      <x:c r="M392" s="47" t="n">
        <x:v>792</x:v>
      </x:c>
      <x:c r="N392" s="28" t="str">
        <x:v>top-left</x:v>
      </x:c>
      <x:c r="O392" s="28" t="str">
        <x:v>PDF points</x:v>
      </x:c>
    </x:row>
    <x:row r="393" ht="22" customHeight="1">
      <x:c r="A393" s="28" t="str">
        <x:v>ANC-JAM-004-01-R01</x:v>
      </x:c>
      <x:c r="B393" s="28" t="str">
        <x:v>ANC-JAM-004-01</x:v>
      </x:c>
      <x:c r="C393" s="28" t="n">
        <x:v>4</x:v>
      </x:c>
      <x:c r="D393" s="47" t="n">
        <x:v>90.024</x:v>
      </x:c>
      <x:c r="E393" s="47" t="n">
        <x:v>229.448</x:v>
      </x:c>
      <x:c r="F393" s="47" t="n">
        <x:v>345.896</x:v>
      </x:c>
      <x:c r="G393" s="47" t="n">
        <x:v>242.9</x:v>
      </x:c>
      <x:c r="H393" s="50" t="n">
        <x:v>0.147098</x:v>
      </x:c>
      <x:c r="I393" s="50" t="n">
        <x:v>0.289707</x:v>
      </x:c>
      <x:c r="J393" s="50" t="n">
        <x:v>0.56519</x:v>
      </x:c>
      <x:c r="K393" s="50" t="n">
        <x:v>0.306692</x:v>
      </x:c>
      <x:c r="L393" s="47" t="n">
        <x:v>612</x:v>
      </x:c>
      <x:c r="M393" s="47" t="n">
        <x:v>792</x:v>
      </x:c>
      <x:c r="N393" s="28" t="str">
        <x:v>top-left</x:v>
      </x:c>
      <x:c r="O393" s="28" t="str">
        <x:v>PDF points</x:v>
      </x:c>
    </x:row>
    <x:row r="394" ht="22" customHeight="1">
      <x:c r="A394" s="28" t="str">
        <x:v>ANC-JAM-004-01-R02</x:v>
      </x:c>
      <x:c r="B394" s="28" t="str">
        <x:v>ANC-JAM-004-01</x:v>
      </x:c>
      <x:c r="C394" s="28" t="n">
        <x:v>4</x:v>
      </x:c>
      <x:c r="D394" s="47" t="n">
        <x:v>119.3</x:v>
      </x:c>
      <x:c r="E394" s="47" t="n">
        <x:v>253.133</x:v>
      </x:c>
      <x:c r="F394" s="47" t="n">
        <x:v>126.096</x:v>
      </x:c>
      <x:c r="G394" s="47" t="n">
        <x:v>265.355</x:v>
      </x:c>
      <x:c r="H394" s="50" t="n">
        <x:v>0.194935</x:v>
      </x:c>
      <x:c r="I394" s="50" t="n">
        <x:v>0.319613</x:v>
      </x:c>
      <x:c r="J394" s="50" t="n">
        <x:v>0.20604</x:v>
      </x:c>
      <x:c r="K394" s="50" t="n">
        <x:v>0.335044</x:v>
      </x:c>
      <x:c r="L394" s="47" t="n">
        <x:v>612</x:v>
      </x:c>
      <x:c r="M394" s="47" t="n">
        <x:v>792</x:v>
      </x:c>
      <x:c r="N394" s="28" t="str">
        <x:v>top-left</x:v>
      </x:c>
      <x:c r="O394" s="28" t="str">
        <x:v>PDF points</x:v>
      </x:c>
    </x:row>
    <x:row r="395" ht="22" customHeight="1">
      <x:c r="A395" s="28" t="str">
        <x:v>ANC-JAM-004-01-R03</x:v>
      </x:c>
      <x:c r="B395" s="28" t="str">
        <x:v>ANC-JAM-004-01</x:v>
      </x:c>
      <x:c r="C395" s="28" t="n">
        <x:v>4</x:v>
      </x:c>
      <x:c r="D395" s="47" t="n">
        <x:v>144.02</x:v>
      </x:c>
      <x:c r="E395" s="47" t="n">
        <x:v>252.278</x:v>
      </x:c>
      <x:c r="F395" s="47" t="n">
        <x:v>539.786</x:v>
      </x:c>
      <x:c r="G395" s="47" t="n">
        <x:v>265.562</x:v>
      </x:c>
      <x:c r="H395" s="50" t="n">
        <x:v>0.235327</x:v>
      </x:c>
      <x:c r="I395" s="50" t="n">
        <x:v>0.318533</x:v>
      </x:c>
      <x:c r="J395" s="50" t="n">
        <x:v>0.882003</x:v>
      </x:c>
      <x:c r="K395" s="50" t="n">
        <x:v>0.335306</x:v>
      </x:c>
      <x:c r="L395" s="47" t="n">
        <x:v>612</x:v>
      </x:c>
      <x:c r="M395" s="47" t="n">
        <x:v>792</x:v>
      </x:c>
      <x:c r="N395" s="28" t="str">
        <x:v>top-left</x:v>
      </x:c>
      <x:c r="O395" s="28" t="str">
        <x:v>PDF points</x:v>
      </x:c>
    </x:row>
    <x:row r="396" ht="22" customHeight="1">
      <x:c r="A396" s="28" t="str">
        <x:v>ANC-JAM-004-01-R04</x:v>
      </x:c>
      <x:c r="B396" s="28" t="str">
        <x:v>ANC-JAM-004-01</x:v>
      </x:c>
      <x:c r="C396" s="28" t="n">
        <x:v>4</x:v>
      </x:c>
      <x:c r="D396" s="47" t="n">
        <x:v>144.02</x:v>
      </x:c>
      <x:c r="E396" s="47" t="n">
        <x:v>267.038</x:v>
      </x:c>
      <x:c r="F396" s="47" t="n">
        <x:v>539.792</x:v>
      </x:c>
      <x:c r="G396" s="47" t="n">
        <x:v>280.322</x:v>
      </x:c>
      <x:c r="H396" s="50" t="n">
        <x:v>0.235327</x:v>
      </x:c>
      <x:c r="I396" s="50" t="n">
        <x:v>0.337169</x:v>
      </x:c>
      <x:c r="J396" s="50" t="n">
        <x:v>0.882013</x:v>
      </x:c>
      <x:c r="K396" s="50" t="n">
        <x:v>0.353942</x:v>
      </x:c>
      <x:c r="L396" s="47" t="n">
        <x:v>612</x:v>
      </x:c>
      <x:c r="M396" s="47" t="n">
        <x:v>792</x:v>
      </x:c>
      <x:c r="N396" s="28" t="str">
        <x:v>top-left</x:v>
      </x:c>
      <x:c r="O396" s="28" t="str">
        <x:v>PDF points</x:v>
      </x:c>
    </x:row>
    <x:row r="397" ht="22" customHeight="1">
      <x:c r="A397" s="28" t="str">
        <x:v>ANC-JAM-004-01-R05</x:v>
      </x:c>
      <x:c r="B397" s="28" t="str">
        <x:v>ANC-JAM-004-01</x:v>
      </x:c>
      <x:c r="C397" s="28" t="n">
        <x:v>4</x:v>
      </x:c>
      <x:c r="D397" s="47" t="n">
        <x:v>144.02</x:v>
      </x:c>
      <x:c r="E397" s="47" t="n">
        <x:v>281.798</x:v>
      </x:c>
      <x:c r="F397" s="47" t="n">
        <x:v>245.852</x:v>
      </x:c>
      <x:c r="G397" s="47" t="n">
        <x:v>295.082</x:v>
      </x:c>
      <x:c r="H397" s="50" t="n">
        <x:v>0.235327</x:v>
      </x:c>
      <x:c r="I397" s="50" t="n">
        <x:v>0.355806</x:v>
      </x:c>
      <x:c r="J397" s="50" t="n">
        <x:v>0.401719</x:v>
      </x:c>
      <x:c r="K397" s="50" t="n">
        <x:v>0.372578</x:v>
      </x:c>
      <x:c r="L397" s="47" t="n">
        <x:v>612</x:v>
      </x:c>
      <x:c r="M397" s="47" t="n">
        <x:v>792</x:v>
      </x:c>
      <x:c r="N397" s="28" t="str">
        <x:v>top-left</x:v>
      </x:c>
      <x:c r="O397" s="28" t="str">
        <x:v>PDF points</x:v>
      </x:c>
    </x:row>
    <x:row r="398" ht="22" customHeight="1">
      <x:c r="A398" s="28" t="str">
        <x:v>ANC-JAM-005-01-R01</x:v>
      </x:c>
      <x:c r="B398" s="28" t="str">
        <x:v>ANC-JAM-005-01</x:v>
      </x:c>
      <x:c r="C398" s="28" t="n">
        <x:v>4</x:v>
      </x:c>
      <x:c r="D398" s="47" t="n">
        <x:v>116.3</x:v>
      </x:c>
      <x:c r="E398" s="47" t="n">
        <x:v>305.453</x:v>
      </x:c>
      <x:c r="F398" s="47" t="n">
        <x:v>126.092</x:v>
      </x:c>
      <x:c r="G398" s="47" t="n">
        <x:v>317.675</x:v>
      </x:c>
      <x:c r="H398" s="50" t="n">
        <x:v>0.190033</x:v>
      </x:c>
      <x:c r="I398" s="50" t="n">
        <x:v>0.385673</x:v>
      </x:c>
      <x:c r="J398" s="50" t="n">
        <x:v>0.206033</x:v>
      </x:c>
      <x:c r="K398" s="50" t="n">
        <x:v>0.401104</x:v>
      </x:c>
      <x:c r="L398" s="47" t="n">
        <x:v>612</x:v>
      </x:c>
      <x:c r="M398" s="47" t="n">
        <x:v>792</x:v>
      </x:c>
      <x:c r="N398" s="28" t="str">
        <x:v>top-left</x:v>
      </x:c>
      <x:c r="O398" s="28" t="str">
        <x:v>PDF points</x:v>
      </x:c>
    </x:row>
    <x:row r="399" ht="22" customHeight="1">
      <x:c r="A399" s="28" t="str">
        <x:v>ANC-JAM-005-01-R02</x:v>
      </x:c>
      <x:c r="B399" s="28" t="str">
        <x:v>ANC-JAM-005-01</x:v>
      </x:c>
      <x:c r="C399" s="28" t="n">
        <x:v>4</x:v>
      </x:c>
      <x:c r="D399" s="47" t="n">
        <x:v>144.02</x:v>
      </x:c>
      <x:c r="E399" s="47" t="n">
        <x:v>304.598</x:v>
      </x:c>
      <x:c r="F399" s="47" t="n">
        <x:v>539.822</x:v>
      </x:c>
      <x:c r="G399" s="47" t="n">
        <x:v>317.882</x:v>
      </x:c>
      <x:c r="H399" s="50" t="n">
        <x:v>0.235327</x:v>
      </x:c>
      <x:c r="I399" s="50" t="n">
        <x:v>0.384593</x:v>
      </x:c>
      <x:c r="J399" s="50" t="n">
        <x:v>0.882062</x:v>
      </x:c>
      <x:c r="K399" s="50" t="n">
        <x:v>0.401366</x:v>
      </x:c>
      <x:c r="L399" s="47" t="n">
        <x:v>612</x:v>
      </x:c>
      <x:c r="M399" s="47" t="n">
        <x:v>792</x:v>
      </x:c>
      <x:c r="N399" s="28" t="str">
        <x:v>top-left</x:v>
      </x:c>
      <x:c r="O399" s="28" t="str">
        <x:v>PDF points</x:v>
      </x:c>
    </x:row>
    <x:row r="400" ht="22" customHeight="1">
      <x:c r="A400" s="28" t="str">
        <x:v>ANC-JAM-005-01-R03</x:v>
      </x:c>
      <x:c r="B400" s="28" t="str">
        <x:v>ANC-JAM-005-01</x:v>
      </x:c>
      <x:c r="C400" s="28" t="n">
        <x:v>4</x:v>
      </x:c>
      <x:c r="D400" s="47" t="n">
        <x:v>144.02</x:v>
      </x:c>
      <x:c r="E400" s="47" t="n">
        <x:v>319.358</x:v>
      </x:c>
      <x:c r="F400" s="47" t="n">
        <x:v>539.95</x:v>
      </x:c>
      <x:c r="G400" s="47" t="n">
        <x:v>332.642</x:v>
      </x:c>
      <x:c r="H400" s="50" t="n">
        <x:v>0.235327</x:v>
      </x:c>
      <x:c r="I400" s="50" t="n">
        <x:v>0.40323</x:v>
      </x:c>
      <x:c r="J400" s="50" t="n">
        <x:v>0.882271</x:v>
      </x:c>
      <x:c r="K400" s="50" t="n">
        <x:v>0.420003</x:v>
      </x:c>
      <x:c r="L400" s="47" t="n">
        <x:v>612</x:v>
      </x:c>
      <x:c r="M400" s="47" t="n">
        <x:v>792</x:v>
      </x:c>
      <x:c r="N400" s="28" t="str">
        <x:v>top-left</x:v>
      </x:c>
      <x:c r="O400" s="28" t="str">
        <x:v>PDF points</x:v>
      </x:c>
    </x:row>
    <x:row r="401" ht="22" customHeight="1">
      <x:c r="A401" s="28" t="str">
        <x:v>ANC-JAM-005-01-R04</x:v>
      </x:c>
      <x:c r="B401" s="28" t="str">
        <x:v>ANC-JAM-005-01</x:v>
      </x:c>
      <x:c r="C401" s="28" t="n">
        <x:v>4</x:v>
      </x:c>
      <x:c r="D401" s="47" t="n">
        <x:v>144.02</x:v>
      </x:c>
      <x:c r="E401" s="47" t="n">
        <x:v>334.118</x:v>
      </x:c>
      <x:c r="F401" s="47" t="n">
        <x:v>256.544</x:v>
      </x:c>
      <x:c r="G401" s="47" t="n">
        <x:v>347.402</x:v>
      </x:c>
      <x:c r="H401" s="50" t="n">
        <x:v>0.235327</x:v>
      </x:c>
      <x:c r="I401" s="50" t="n">
        <x:v>0.421866</x:v>
      </x:c>
      <x:c r="J401" s="50" t="n">
        <x:v>0.41919</x:v>
      </x:c>
      <x:c r="K401" s="50" t="n">
        <x:v>0.438639</x:v>
      </x:c>
      <x:c r="L401" s="47" t="n">
        <x:v>612</x:v>
      </x:c>
      <x:c r="M401" s="47" t="n">
        <x:v>792</x:v>
      </x:c>
      <x:c r="N401" s="28" t="str">
        <x:v>top-left</x:v>
      </x:c>
      <x:c r="O401" s="28" t="str">
        <x:v>PDF points</x:v>
      </x:c>
    </x:row>
    <x:row r="402" ht="22" customHeight="1">
      <x:c r="A402" s="28" t="str">
        <x:v>ANC-JAM-006-01-R01</x:v>
      </x:c>
      <x:c r="B402" s="28" t="str">
        <x:v>ANC-JAM-006-01</x:v>
      </x:c>
      <x:c r="C402" s="28" t="n">
        <x:v>5</x:v>
      </x:c>
      <x:c r="D402" s="47" t="n">
        <x:v>90.024</x:v>
      </x:c>
      <x:c r="E402" s="47" t="n">
        <x:v>398.078</x:v>
      </x:c>
      <x:c r="F402" s="47" t="n">
        <x:v>532.532</x:v>
      </x:c>
      <x:c r="G402" s="47" t="n">
        <x:v>411.53</x:v>
      </x:c>
      <x:c r="H402" s="50" t="n">
        <x:v>0.147098</x:v>
      </x:c>
      <x:c r="I402" s="50" t="n">
        <x:v>0.502624</x:v>
      </x:c>
      <x:c r="J402" s="50" t="n">
        <x:v>0.87015</x:v>
      </x:c>
      <x:c r="K402" s="50" t="n">
        <x:v>0.519609</x:v>
      </x:c>
      <x:c r="L402" s="47" t="n">
        <x:v>612</x:v>
      </x:c>
      <x:c r="M402" s="47" t="n">
        <x:v>792</x:v>
      </x:c>
      <x:c r="N402" s="28" t="str">
        <x:v>top-left</x:v>
      </x:c>
      <x:c r="O402" s="28" t="str">
        <x:v>PDF points</x:v>
      </x:c>
    </x:row>
    <x:row r="403" ht="22" customHeight="1">
      <x:c r="A403" s="28" t="str">
        <x:v>ANC-JAM-006-01-R02</x:v>
      </x:c>
      <x:c r="B403" s="28" t="str">
        <x:v>ANC-JAM-006-01</x:v>
      </x:c>
      <x:c r="C403" s="28" t="n">
        <x:v>5</x:v>
      </x:c>
      <x:c r="D403" s="47" t="n">
        <x:v>108.02</x:v>
      </x:c>
      <x:c r="E403" s="47" t="n">
        <x:v>412.858</x:v>
      </x:c>
      <x:c r="F403" s="47" t="n">
        <x:v>140.288</x:v>
      </x:c>
      <x:c r="G403" s="47" t="n">
        <x:v>426.142</x:v>
      </x:c>
      <x:c r="H403" s="50" t="n">
        <x:v>0.176503</x:v>
      </x:c>
      <x:c r="I403" s="50" t="n">
        <x:v>0.521285</x:v>
      </x:c>
      <x:c r="J403" s="50" t="n">
        <x:v>0.229229</x:v>
      </x:c>
      <x:c r="K403" s="50" t="n">
        <x:v>0.538058</x:v>
      </x:c>
      <x:c r="L403" s="47" t="n">
        <x:v>612</x:v>
      </x:c>
      <x:c r="M403" s="47" t="n">
        <x:v>792</x:v>
      </x:c>
      <x:c r="N403" s="28" t="str">
        <x:v>top-left</x:v>
      </x:c>
      <x:c r="O403" s="28" t="str">
        <x:v>PDF points</x:v>
      </x:c>
    </x:row>
    <x:row r="404" ht="22" customHeight="1">
      <x:c r="A404" s="28" t="str">
        <x:v>ANC-JAM-007-01-R01</x:v>
      </x:c>
      <x:c r="B404" s="28" t="str">
        <x:v>ANC-JAM-007-01</x:v>
      </x:c>
      <x:c r="C404" s="28" t="n">
        <x:v>6</x:v>
      </x:c>
      <x:c r="D404" s="47" t="n">
        <x:v>115.1</x:v>
      </x:c>
      <x:c r="E404" s="47" t="n">
        <x:v>190.34</x:v>
      </x:c>
      <x:c r="F404" s="47" t="n">
        <x:v>126.005</x:v>
      </x:c>
      <x:c r="G404" s="47" t="n">
        <x:v>201.38</x:v>
      </x:c>
      <x:c r="H404" s="50" t="n">
        <x:v>0.188072</x:v>
      </x:c>
      <x:c r="I404" s="50" t="n">
        <x:v>0.240328</x:v>
      </x:c>
      <x:c r="J404" s="50" t="n">
        <x:v>0.205891</x:v>
      </x:c>
      <x:c r="K404" s="50" t="n">
        <x:v>0.254268</x:v>
      </x:c>
      <x:c r="L404" s="47" t="n">
        <x:v>612</x:v>
      </x:c>
      <x:c r="M404" s="47" t="n">
        <x:v>792</x:v>
      </x:c>
      <x:c r="N404" s="28" t="str">
        <x:v>top-left</x:v>
      </x:c>
      <x:c r="O404" s="28" t="str">
        <x:v>PDF points</x:v>
      </x:c>
    </x:row>
    <x:row r="405" ht="22" customHeight="1">
      <x:c r="A405" s="28" t="str">
        <x:v>ANC-JAM-007-01-R02</x:v>
      </x:c>
      <x:c r="B405" s="28" t="str">
        <x:v>ANC-JAM-007-01</x:v>
      </x:c>
      <x:c r="C405" s="28" t="n">
        <x:v>6</x:v>
      </x:c>
      <x:c r="D405" s="47" t="n">
        <x:v>144.02</x:v>
      </x:c>
      <x:c r="E405" s="47" t="n">
        <x:v>187.928</x:v>
      </x:c>
      <x:c r="F405" s="47" t="n">
        <x:v>539.998</x:v>
      </x:c>
      <x:c r="G405" s="47" t="n">
        <x:v>201.212</x:v>
      </x:c>
      <x:c r="H405" s="50" t="n">
        <x:v>0.235327</x:v>
      </x:c>
      <x:c r="I405" s="50" t="n">
        <x:v>0.237283</x:v>
      </x:c>
      <x:c r="J405" s="50" t="n">
        <x:v>0.88235</x:v>
      </x:c>
      <x:c r="K405" s="50" t="n">
        <x:v>0.254056</x:v>
      </x:c>
      <x:c r="L405" s="47" t="n">
        <x:v>612</x:v>
      </x:c>
      <x:c r="M405" s="47" t="n">
        <x:v>792</x:v>
      </x:c>
      <x:c r="N405" s="28" t="str">
        <x:v>top-left</x:v>
      </x:c>
      <x:c r="O405" s="28" t="str">
        <x:v>PDF points</x:v>
      </x:c>
    </x:row>
    <x:row r="406" ht="22" customHeight="1">
      <x:c r="A406" s="28" t="str">
        <x:v>ANC-JAM-007-01-R03</x:v>
      </x:c>
      <x:c r="B406" s="28" t="str">
        <x:v>ANC-JAM-007-01</x:v>
      </x:c>
      <x:c r="C406" s="28" t="n">
        <x:v>6</x:v>
      </x:c>
      <x:c r="D406" s="47" t="n">
        <x:v>144.02</x:v>
      </x:c>
      <x:c r="E406" s="47" t="n">
        <x:v>202.688</x:v>
      </x:c>
      <x:c r="F406" s="47" t="n">
        <x:v>539.744</x:v>
      </x:c>
      <x:c r="G406" s="47" t="n">
        <x:v>215.972</x:v>
      </x:c>
      <x:c r="H406" s="50" t="n">
        <x:v>0.235327</x:v>
      </x:c>
      <x:c r="I406" s="50" t="n">
        <x:v>0.255919</x:v>
      </x:c>
      <x:c r="J406" s="50" t="n">
        <x:v>0.881935</x:v>
      </x:c>
      <x:c r="K406" s="50" t="n">
        <x:v>0.272692</x:v>
      </x:c>
      <x:c r="L406" s="47" t="n">
        <x:v>612</x:v>
      </x:c>
      <x:c r="M406" s="47" t="n">
        <x:v>792</x:v>
      </x:c>
      <x:c r="N406" s="28" t="str">
        <x:v>top-left</x:v>
      </x:c>
      <x:c r="O406" s="28" t="str">
        <x:v>PDF points</x:v>
      </x:c>
    </x:row>
    <x:row r="407" ht="22" customHeight="1">
      <x:c r="A407" s="28" t="str">
        <x:v>ANC-JAM-007-01-R04</x:v>
      </x:c>
      <x:c r="B407" s="28" t="str">
        <x:v>ANC-JAM-007-01</x:v>
      </x:c>
      <x:c r="C407" s="28" t="n">
        <x:v>6</x:v>
      </x:c>
      <x:c r="D407" s="47" t="n">
        <x:v>144.02</x:v>
      </x:c>
      <x:c r="E407" s="47" t="n">
        <x:v>217.448</x:v>
      </x:c>
      <x:c r="F407" s="47" t="n">
        <x:v>539.936</x:v>
      </x:c>
      <x:c r="G407" s="47" t="n">
        <x:v>230.732</x:v>
      </x:c>
      <x:c r="H407" s="50" t="n">
        <x:v>0.235327</x:v>
      </x:c>
      <x:c r="I407" s="50" t="n">
        <x:v>0.274556</x:v>
      </x:c>
      <x:c r="J407" s="50" t="n">
        <x:v>0.882248</x:v>
      </x:c>
      <x:c r="K407" s="50" t="n">
        <x:v>0.291328</x:v>
      </x:c>
      <x:c r="L407" s="47" t="n">
        <x:v>612</x:v>
      </x:c>
      <x:c r="M407" s="47" t="n">
        <x:v>792</x:v>
      </x:c>
      <x:c r="N407" s="28" t="str">
        <x:v>top-left</x:v>
      </x:c>
      <x:c r="O407" s="28" t="str">
        <x:v>PDF points</x:v>
      </x:c>
    </x:row>
    <x:row r="408" ht="22" customHeight="1">
      <x:c r="A408" s="28" t="str">
        <x:v>ANC-JAM-007-01-R05</x:v>
      </x:c>
      <x:c r="B408" s="28" t="str">
        <x:v>ANC-JAM-007-01</x:v>
      </x:c>
      <x:c r="C408" s="28" t="n">
        <x:v>6</x:v>
      </x:c>
      <x:c r="D408" s="47" t="n">
        <x:v>144.02</x:v>
      </x:c>
      <x:c r="E408" s="47" t="n">
        <x:v>232.208</x:v>
      </x:c>
      <x:c r="F408" s="47" t="n">
        <x:v>252.62</x:v>
      </x:c>
      <x:c r="G408" s="47" t="n">
        <x:v>245.492</x:v>
      </x:c>
      <x:c r="H408" s="50" t="n">
        <x:v>0.235327</x:v>
      </x:c>
      <x:c r="I408" s="50" t="n">
        <x:v>0.293192</x:v>
      </x:c>
      <x:c r="J408" s="50" t="n">
        <x:v>0.412778</x:v>
      </x:c>
      <x:c r="K408" s="50" t="n">
        <x:v>0.309965</x:v>
      </x:c>
      <x:c r="L408" s="47" t="n">
        <x:v>612</x:v>
      </x:c>
      <x:c r="M408" s="47" t="n">
        <x:v>792</x:v>
      </x:c>
      <x:c r="N408" s="28" t="str">
        <x:v>top-left</x:v>
      </x:c>
      <x:c r="O408" s="28" t="str">
        <x:v>PDF points</x:v>
      </x:c>
    </x:row>
    <x:row r="409" ht="22" customHeight="1">
      <x:c r="A409" s="28" t="str">
        <x:v>ANC-JAM-008-01-R01</x:v>
      </x:c>
      <x:c r="B409" s="28" t="str">
        <x:v>ANC-JAM-008-01</x:v>
      </x:c>
      <x:c r="C409" s="28" t="n">
        <x:v>6</x:v>
      </x:c>
      <x:c r="D409" s="47" t="n">
        <x:v>72.024</x:v>
      </x:c>
      <x:c r="E409" s="47" t="n">
        <x:v>353.51</x:v>
      </x:c>
      <x:c r="F409" s="47" t="n">
        <x:v>356.672</x:v>
      </x:c>
      <x:c r="G409" s="47" t="n">
        <x:v>371.177</x:v>
      </x:c>
      <x:c r="H409" s="50" t="n">
        <x:v>0.117686</x:v>
      </x:c>
      <x:c r="I409" s="50" t="n">
        <x:v>0.446351</x:v>
      </x:c>
      <x:c r="J409" s="50" t="n">
        <x:v>0.582797</x:v>
      </x:c>
      <x:c r="K409" s="50" t="n">
        <x:v>0.468658</x:v>
      </x:c>
      <x:c r="L409" s="47" t="n">
        <x:v>612</x:v>
      </x:c>
      <x:c r="M409" s="47" t="n">
        <x:v>792</x:v>
      </x:c>
      <x:c r="N409" s="28" t="str">
        <x:v>top-left</x:v>
      </x:c>
      <x:c r="O409" s="28" t="str">
        <x:v>PDF points</x:v>
      </x:c>
    </x:row>
    <x:row r="410" ht="22" customHeight="1">
      <x:c r="A410" s="28" t="str">
        <x:v>ANC-JAM-008-01-R02</x:v>
      </x:c>
      <x:c r="B410" s="28" t="str">
        <x:v>ANC-JAM-008-01</x:v>
      </x:c>
      <x:c r="C410" s="28" t="n">
        <x:v>6</x:v>
      </x:c>
      <x:c r="D410" s="47" t="n">
        <x:v>72.024</x:v>
      </x:c>
      <x:c r="E410" s="47" t="n">
        <x:v>374.918</x:v>
      </x:c>
      <x:c r="F410" s="47" t="n">
        <x:v>298.26</x:v>
      </x:c>
      <x:c r="G410" s="47" t="n">
        <x:v>388.202</x:v>
      </x:c>
      <x:c r="H410" s="50" t="n">
        <x:v>0.117686</x:v>
      </x:c>
      <x:c r="I410" s="50" t="n">
        <x:v>0.473381</x:v>
      </x:c>
      <x:c r="J410" s="50" t="n">
        <x:v>0.487353</x:v>
      </x:c>
      <x:c r="K410" s="50" t="n">
        <x:v>0.490154</x:v>
      </x:c>
      <x:c r="L410" s="47" t="n">
        <x:v>612</x:v>
      </x:c>
      <x:c r="M410" s="47" t="n">
        <x:v>792</x:v>
      </x:c>
      <x:c r="N410" s="28" t="str">
        <x:v>top-left</x:v>
      </x:c>
      <x:c r="O410" s="28" t="str">
        <x:v>PDF points</x:v>
      </x:c>
    </x:row>
    <x:row r="411" ht="22" customHeight="1">
      <x:c r="A411" s="28" t="str">
        <x:v>ANC-JAM-008-01-R03</x:v>
      </x:c>
      <x:c r="B411" s="28" t="str">
        <x:v>ANC-JAM-008-01</x:v>
      </x:c>
      <x:c r="C411" s="28" t="n">
        <x:v>6</x:v>
      </x:c>
      <x:c r="D411" s="47" t="n">
        <x:v>90.024</x:v>
      </x:c>
      <x:c r="E411" s="47" t="n">
        <x:v>397.598</x:v>
      </x:c>
      <x:c r="F411" s="47" t="n">
        <x:v>539.684</x:v>
      </x:c>
      <x:c r="G411" s="47" t="n">
        <x:v>411.05</x:v>
      </x:c>
      <x:c r="H411" s="50" t="n">
        <x:v>0.147098</x:v>
      </x:c>
      <x:c r="I411" s="50" t="n">
        <x:v>0.502018</x:v>
      </x:c>
      <x:c r="J411" s="50" t="n">
        <x:v>0.881837</x:v>
      </x:c>
      <x:c r="K411" s="50" t="n">
        <x:v>0.519003</x:v>
      </x:c>
      <x:c r="L411" s="47" t="n">
        <x:v>612</x:v>
      </x:c>
      <x:c r="M411" s="47" t="n">
        <x:v>792</x:v>
      </x:c>
      <x:c r="N411" s="28" t="str">
        <x:v>top-left</x:v>
      </x:c>
      <x:c r="O411" s="28" t="str">
        <x:v>PDF points</x:v>
      </x:c>
    </x:row>
    <x:row r="412" ht="22" customHeight="1">
      <x:c r="A412" s="28" t="str">
        <x:v>ANC-JAM-008-01-R04</x:v>
      </x:c>
      <x:c r="B412" s="28" t="str">
        <x:v>ANC-JAM-008-01</x:v>
      </x:c>
      <x:c r="C412" s="28" t="n">
        <x:v>6</x:v>
      </x:c>
      <x:c r="D412" s="47" t="n">
        <x:v>108.02</x:v>
      </x:c>
      <x:c r="E412" s="47" t="n">
        <x:v>412.498</x:v>
      </x:c>
      <x:c r="F412" s="47" t="n">
        <x:v>539.89</x:v>
      </x:c>
      <x:c r="G412" s="47" t="n">
        <x:v>425.782</x:v>
      </x:c>
      <x:c r="H412" s="50" t="n">
        <x:v>0.176503</x:v>
      </x:c>
      <x:c r="I412" s="50" t="n">
        <x:v>0.520831</x:v>
      </x:c>
      <x:c r="J412" s="50" t="n">
        <x:v>0.882173</x:v>
      </x:c>
      <x:c r="K412" s="50" t="n">
        <x:v>0.537604</x:v>
      </x:c>
      <x:c r="L412" s="47" t="n">
        <x:v>612</x:v>
      </x:c>
      <x:c r="M412" s="47" t="n">
        <x:v>792</x:v>
      </x:c>
      <x:c r="N412" s="28" t="str">
        <x:v>top-left</x:v>
      </x:c>
      <x:c r="O412" s="28" t="str">
        <x:v>PDF points</x:v>
      </x:c>
    </x:row>
    <x:row r="413" ht="22" customHeight="1">
      <x:c r="A413" s="28" t="str">
        <x:v>ANC-JAM-008-01-R05</x:v>
      </x:c>
      <x:c r="B413" s="28" t="str">
        <x:v>ANC-JAM-008-01</x:v>
      </x:c>
      <x:c r="C413" s="28" t="n">
        <x:v>6</x:v>
      </x:c>
      <x:c r="D413" s="47" t="n">
        <x:v>108.02</x:v>
      </x:c>
      <x:c r="E413" s="47" t="n">
        <x:v>427.258</x:v>
      </x:c>
      <x:c r="F413" s="47" t="n">
        <x:v>539.912</x:v>
      </x:c>
      <x:c r="G413" s="47" t="n">
        <x:v>440.542</x:v>
      </x:c>
      <x:c r="H413" s="50" t="n">
        <x:v>0.176503</x:v>
      </x:c>
      <x:c r="I413" s="50" t="n">
        <x:v>0.539467</x:v>
      </x:c>
      <x:c r="J413" s="50" t="n">
        <x:v>0.882209</x:v>
      </x:c>
      <x:c r="K413" s="50" t="n">
        <x:v>0.55624</x:v>
      </x:c>
      <x:c r="L413" s="47" t="n">
        <x:v>612</x:v>
      </x:c>
      <x:c r="M413" s="47" t="n">
        <x:v>792</x:v>
      </x:c>
      <x:c r="N413" s="28" t="str">
        <x:v>top-left</x:v>
      </x:c>
      <x:c r="O413" s="28" t="str">
        <x:v>PDF points</x:v>
      </x:c>
    </x:row>
    <x:row r="414" ht="22" customHeight="1">
      <x:c r="A414" s="28" t="str">
        <x:v>ANC-JAM-008-01-R06</x:v>
      </x:c>
      <x:c r="B414" s="28" t="str">
        <x:v>ANC-JAM-008-01</x:v>
      </x:c>
      <x:c r="C414" s="28" t="n">
        <x:v>6</x:v>
      </x:c>
      <x:c r="D414" s="47" t="n">
        <x:v>108.02</x:v>
      </x:c>
      <x:c r="E414" s="47" t="n">
        <x:v>442.018</x:v>
      </x:c>
      <x:c r="F414" s="47" t="n">
        <x:v>324.512</x:v>
      </x:c>
      <x:c r="G414" s="47" t="n">
        <x:v>455.302</x:v>
      </x:c>
      <x:c r="H414" s="50" t="n">
        <x:v>0.176503</x:v>
      </x:c>
      <x:c r="I414" s="50" t="n">
        <x:v>0.558104</x:v>
      </x:c>
      <x:c r="J414" s="50" t="n">
        <x:v>0.530248</x:v>
      </x:c>
      <x:c r="K414" s="50" t="n">
        <x:v>0.574876</x:v>
      </x:c>
      <x:c r="L414" s="47" t="n">
        <x:v>612</x:v>
      </x:c>
      <x:c r="M414" s="47" t="n">
        <x:v>792</x:v>
      </x:c>
      <x:c r="N414" s="28" t="str">
        <x:v>top-left</x:v>
      </x:c>
      <x:c r="O414" s="28" t="str">
        <x:v>PDF points</x:v>
      </x:c>
    </x:row>
    <x:row r="415" ht="22" customHeight="1">
      <x:c r="A415" s="28" t="str">
        <x:v>ANC-JAM-009-01-R01</x:v>
      </x:c>
      <x:c r="B415" s="28" t="str">
        <x:v>ANC-JAM-009-01</x:v>
      </x:c>
      <x:c r="C415" s="28" t="n">
        <x:v>6</x:v>
      </x:c>
      <x:c r="D415" s="47" t="n">
        <x:v>108.02</x:v>
      </x:c>
      <x:c r="E415" s="47" t="n">
        <x:v>456.778</x:v>
      </x:c>
      <x:c r="F415" s="47" t="n">
        <x:v>539.9</x:v>
      </x:c>
      <x:c r="G415" s="47" t="n">
        <x:v>470.062</x:v>
      </x:c>
      <x:c r="H415" s="50" t="n">
        <x:v>0.176503</x:v>
      </x:c>
      <x:c r="I415" s="50" t="n">
        <x:v>0.57674</x:v>
      </x:c>
      <x:c r="J415" s="50" t="n">
        <x:v>0.88219</x:v>
      </x:c>
      <x:c r="K415" s="50" t="n">
        <x:v>0.593513</x:v>
      </x:c>
      <x:c r="L415" s="47" t="n">
        <x:v>612</x:v>
      </x:c>
      <x:c r="M415" s="47" t="n">
        <x:v>792</x:v>
      </x:c>
      <x:c r="N415" s="28" t="str">
        <x:v>top-left</x:v>
      </x:c>
      <x:c r="O415" s="28" t="str">
        <x:v>PDF points</x:v>
      </x:c>
    </x:row>
    <x:row r="416" ht="22" customHeight="1">
      <x:c r="A416" s="28" t="str">
        <x:v>ANC-JAM-009-01-R02</x:v>
      </x:c>
      <x:c r="B416" s="28" t="str">
        <x:v>ANC-JAM-009-01</x:v>
      </x:c>
      <x:c r="C416" s="28" t="n">
        <x:v>6</x:v>
      </x:c>
      <x:c r="D416" s="47" t="n">
        <x:v>108.02</x:v>
      </x:c>
      <x:c r="E416" s="47" t="n">
        <x:v>471.538</x:v>
      </x:c>
      <x:c r="F416" s="47" t="n">
        <x:v>195.944</x:v>
      </x:c>
      <x:c r="G416" s="47" t="n">
        <x:v>484.822</x:v>
      </x:c>
      <x:c r="H416" s="50" t="n">
        <x:v>0.176503</x:v>
      </x:c>
      <x:c r="I416" s="50" t="n">
        <x:v>0.595376</x:v>
      </x:c>
      <x:c r="J416" s="50" t="n">
        <x:v>0.32017</x:v>
      </x:c>
      <x:c r="K416" s="50" t="n">
        <x:v>0.612149</x:v>
      </x:c>
      <x:c r="L416" s="47" t="n">
        <x:v>612</x:v>
      </x:c>
      <x:c r="M416" s="47" t="n">
        <x:v>792</x:v>
      </x:c>
      <x:c r="N416" s="28" t="str">
        <x:v>top-left</x:v>
      </x:c>
      <x:c r="O416" s="28" t="str">
        <x:v>PDF points</x:v>
      </x:c>
    </x:row>
    <x:row r="417" ht="22" customHeight="1">
      <x:c r="A417" s="28" t="str">
        <x:v>ANC-JAM-010-01-R01</x:v>
      </x:c>
      <x:c r="B417" s="28" t="str">
        <x:v>ANC-JAM-010-01</x:v>
      </x:c>
      <x:c r="C417" s="28" t="n">
        <x:v>7</x:v>
      </x:c>
      <x:c r="D417" s="47" t="n">
        <x:v>72.024</x:v>
      </x:c>
      <x:c r="E417" s="47" t="n">
        <x:v>125.12</x:v>
      </x:c>
      <x:c r="F417" s="47" t="n">
        <x:v>387.416</x:v>
      </x:c>
      <x:c r="G417" s="47" t="n">
        <x:v>142.787</x:v>
      </x:c>
      <x:c r="H417" s="50" t="n">
        <x:v>0.117686</x:v>
      </x:c>
      <x:c r="I417" s="50" t="n">
        <x:v>0.157979</x:v>
      </x:c>
      <x:c r="J417" s="50" t="n">
        <x:v>0.633033</x:v>
      </x:c>
      <x:c r="K417" s="50" t="n">
        <x:v>0.180287</x:v>
      </x:c>
      <x:c r="L417" s="47" t="n">
        <x:v>612</x:v>
      </x:c>
      <x:c r="M417" s="47" t="n">
        <x:v>792</x:v>
      </x:c>
      <x:c r="N417" s="28" t="str">
        <x:v>top-left</x:v>
      </x:c>
      <x:c r="O417" s="28" t="str">
        <x:v>PDF points</x:v>
      </x:c>
    </x:row>
    <x:row r="418" ht="22" customHeight="1">
      <x:c r="A418" s="28" t="str">
        <x:v>ANC-JAM-010-01-R02</x:v>
      </x:c>
      <x:c r="B418" s="28" t="str">
        <x:v>ANC-JAM-010-01</x:v>
      </x:c>
      <x:c r="C418" s="28" t="n">
        <x:v>7</x:v>
      </x:c>
      <x:c r="D418" s="47" t="n">
        <x:v>72.024</x:v>
      </x:c>
      <x:c r="E418" s="47" t="n">
        <x:v>146.408</x:v>
      </x:c>
      <x:c r="F418" s="47" t="n">
        <x:v>539.652</x:v>
      </x:c>
      <x:c r="G418" s="47" t="n">
        <x:v>159.692</x:v>
      </x:c>
      <x:c r="H418" s="50" t="n">
        <x:v>0.117686</x:v>
      </x:c>
      <x:c r="I418" s="50" t="n">
        <x:v>0.184859</x:v>
      </x:c>
      <x:c r="J418" s="50" t="n">
        <x:v>0.881784</x:v>
      </x:c>
      <x:c r="K418" s="50" t="n">
        <x:v>0.201631</x:v>
      </x:c>
      <x:c r="L418" s="47" t="n">
        <x:v>612</x:v>
      </x:c>
      <x:c r="M418" s="47" t="n">
        <x:v>792</x:v>
      </x:c>
      <x:c r="N418" s="28" t="str">
        <x:v>top-left</x:v>
      </x:c>
      <x:c r="O418" s="28" t="str">
        <x:v>PDF points</x:v>
      </x:c>
    </x:row>
    <x:row r="419" ht="22" customHeight="1">
      <x:c r="A419" s="28" t="str">
        <x:v>ANC-JAM-010-01-R03</x:v>
      </x:c>
      <x:c r="B419" s="28" t="str">
        <x:v>ANC-JAM-010-01</x:v>
      </x:c>
      <x:c r="C419" s="28" t="n">
        <x:v>7</x:v>
      </x:c>
      <x:c r="D419" s="47" t="n">
        <x:v>72.024</x:v>
      </x:c>
      <x:c r="E419" s="47" t="n">
        <x:v>160.208</x:v>
      </x:c>
      <x:c r="F419" s="47" t="n">
        <x:v>187.284</x:v>
      </x:c>
      <x:c r="G419" s="47" t="n">
        <x:v>173.492</x:v>
      </x:c>
      <x:c r="H419" s="50" t="n">
        <x:v>0.117686</x:v>
      </x:c>
      <x:c r="I419" s="50" t="n">
        <x:v>0.202283</x:v>
      </x:c>
      <x:c r="J419" s="50" t="n">
        <x:v>0.30602</x:v>
      </x:c>
      <x:c r="K419" s="50" t="n">
        <x:v>0.219056</x:v>
      </x:c>
      <x:c r="L419" s="47" t="n">
        <x:v>612</x:v>
      </x:c>
      <x:c r="M419" s="47" t="n">
        <x:v>792</x:v>
      </x:c>
      <x:c r="N419" s="28" t="str">
        <x:v>top-left</x:v>
      </x:c>
      <x:c r="O419" s="28" t="str">
        <x:v>PDF points</x:v>
      </x:c>
    </x:row>
    <x:row r="420" ht="22" customHeight="1">
      <x:c r="A420" s="28" t="str">
        <x:v>ANC-JAM-010-01-R04</x:v>
      </x:c>
      <x:c r="B420" s="28" t="str">
        <x:v>ANC-JAM-010-01</x:v>
      </x:c>
      <x:c r="C420" s="28" t="n">
        <x:v>7</x:v>
      </x:c>
      <x:c r="D420" s="47" t="n">
        <x:v>90.024</x:v>
      </x:c>
      <x:c r="E420" s="47" t="n">
        <x:v>181.928</x:v>
      </x:c>
      <x:c r="F420" s="47" t="n">
        <x:v>507.25</x:v>
      </x:c>
      <x:c r="G420" s="47" t="n">
        <x:v>195.38</x:v>
      </x:c>
      <x:c r="H420" s="50" t="n">
        <x:v>0.147098</x:v>
      </x:c>
      <x:c r="I420" s="50" t="n">
        <x:v>0.229707</x:v>
      </x:c>
      <x:c r="J420" s="50" t="n">
        <x:v>0.82884</x:v>
      </x:c>
      <x:c r="K420" s="50" t="n">
        <x:v>0.246692</x:v>
      </x:c>
      <x:c r="L420" s="47" t="n">
        <x:v>612</x:v>
      </x:c>
      <x:c r="M420" s="47" t="n">
        <x:v>792</x:v>
      </x:c>
      <x:c r="N420" s="28" t="str">
        <x:v>top-left</x:v>
      </x:c>
      <x:c r="O420" s="28" t="str">
        <x:v>PDF points</x:v>
      </x:c>
    </x:row>
    <x:row r="421" ht="22" customHeight="1">
      <x:c r="A421" s="28" t="str">
        <x:v>ANC-JAM-011-01-R01</x:v>
      </x:c>
      <x:c r="B421" s="28" t="str">
        <x:v>ANC-JAM-011-01</x:v>
      </x:c>
      <x:c r="C421" s="28" t="n">
        <x:v>7</x:v>
      </x:c>
      <x:c r="D421" s="47" t="n">
        <x:v>90.024</x:v>
      </x:c>
      <x:c r="E421" s="47" t="n">
        <x:v>200.768</x:v>
      </x:c>
      <x:c r="F421" s="47" t="n">
        <x:v>530.822</x:v>
      </x:c>
      <x:c r="G421" s="47" t="n">
        <x:v>214.22</x:v>
      </x:c>
      <x:c r="H421" s="50" t="n">
        <x:v>0.147098</x:v>
      </x:c>
      <x:c r="I421" s="50" t="n">
        <x:v>0.253495</x:v>
      </x:c>
      <x:c r="J421" s="50" t="n">
        <x:v>0.867356</x:v>
      </x:c>
      <x:c r="K421" s="50" t="n">
        <x:v>0.27048</x:v>
      </x:c>
      <x:c r="L421" s="47" t="n">
        <x:v>612</x:v>
      </x:c>
      <x:c r="M421" s="47" t="n">
        <x:v>792</x:v>
      </x:c>
      <x:c r="N421" s="28" t="str">
        <x:v>top-left</x:v>
      </x:c>
      <x:c r="O421" s="28" t="str">
        <x:v>PDF points</x:v>
      </x:c>
    </x:row>
    <x:row r="422" ht="22" customHeight="1">
      <x:c r="A422" s="28" t="str">
        <x:v>ANC-JAM-011-01-R02</x:v>
      </x:c>
      <x:c r="B422" s="28" t="str">
        <x:v>ANC-JAM-011-01</x:v>
      </x:c>
      <x:c r="C422" s="28" t="n">
        <x:v>7</x:v>
      </x:c>
      <x:c r="D422" s="47" t="n">
        <x:v>108.02</x:v>
      </x:c>
      <x:c r="E422" s="47" t="n">
        <x:v>215.528</x:v>
      </x:c>
      <x:c r="F422" s="47" t="n">
        <x:v>490.004</x:v>
      </x:c>
      <x:c r="G422" s="47" t="n">
        <x:v>228.812</x:v>
      </x:c>
      <x:c r="H422" s="50" t="n">
        <x:v>0.176503</x:v>
      </x:c>
      <x:c r="I422" s="50" t="n">
        <x:v>0.272131</x:v>
      </x:c>
      <x:c r="J422" s="50" t="n">
        <x:v>0.80066</x:v>
      </x:c>
      <x:c r="K422" s="50" t="n">
        <x:v>0.288904</x:v>
      </x:c>
      <x:c r="L422" s="47" t="n">
        <x:v>612</x:v>
      </x:c>
      <x:c r="M422" s="47" t="n">
        <x:v>792</x:v>
      </x:c>
      <x:c r="N422" s="28" t="str">
        <x:v>top-left</x:v>
      </x:c>
      <x:c r="O422" s="28" t="str">
        <x:v>PDF points</x:v>
      </x:c>
    </x:row>
    <x:row r="423" ht="22" customHeight="1">
      <x:c r="A423" s="28" t="str">
        <x:v>ANC-JAM-012-01-R01</x:v>
      </x:c>
      <x:c r="B423" s="28" t="str">
        <x:v>ANC-JAM-012-01</x:v>
      </x:c>
      <x:c r="C423" s="28" t="n">
        <x:v>7</x:v>
      </x:c>
      <x:c r="D423" s="47" t="n">
        <x:v>90.024</x:v>
      </x:c>
      <x:c r="E423" s="47" t="n">
        <x:v>234.248</x:v>
      </x:c>
      <x:c r="F423" s="47" t="n">
        <x:v>523.696</x:v>
      </x:c>
      <x:c r="G423" s="47" t="n">
        <x:v>247.7</x:v>
      </x:c>
      <x:c r="H423" s="50" t="n">
        <x:v>0.147098</x:v>
      </x:c>
      <x:c r="I423" s="50" t="n">
        <x:v>0.295768</x:v>
      </x:c>
      <x:c r="J423" s="50" t="n">
        <x:v>0.855712</x:v>
      </x:c>
      <x:c r="K423" s="50" t="n">
        <x:v>0.312753</x:v>
      </x:c>
      <x:c r="L423" s="47" t="n">
        <x:v>612</x:v>
      </x:c>
      <x:c r="M423" s="47" t="n">
        <x:v>792</x:v>
      </x:c>
      <x:c r="N423" s="28" t="str">
        <x:v>top-left</x:v>
      </x:c>
      <x:c r="O423" s="28" t="str">
        <x:v>PDF points</x:v>
      </x:c>
    </x:row>
    <x:row r="424" ht="22" customHeight="1">
      <x:c r="A424" s="28" t="str">
        <x:v>ANC-JAM-013-01-R01</x:v>
      </x:c>
      <x:c r="B424" s="28" t="str">
        <x:v>ANC-JAM-013-01</x:v>
      </x:c>
      <x:c r="C424" s="28" t="n">
        <x:v>7</x:v>
      </x:c>
      <x:c r="D424" s="47" t="n">
        <x:v>489.14</x:v>
      </x:c>
      <x:c r="E424" s="47" t="n">
        <x:v>326.918</x:v>
      </x:c>
      <x:c r="F424" s="47" t="n">
        <x:v>517.724</x:v>
      </x:c>
      <x:c r="G424" s="47" t="n">
        <x:v>340.202</x:v>
      </x:c>
      <x:c r="H424" s="50" t="n">
        <x:v>0.799248</x:v>
      </x:c>
      <x:c r="I424" s="50" t="n">
        <x:v>0.412775</x:v>
      </x:c>
      <x:c r="J424" s="50" t="n">
        <x:v>0.845954</x:v>
      </x:c>
      <x:c r="K424" s="50" t="n">
        <x:v>0.429548</x:v>
      </x:c>
      <x:c r="L424" s="47" t="n">
        <x:v>612</x:v>
      </x:c>
      <x:c r="M424" s="47" t="n">
        <x:v>792</x:v>
      </x:c>
      <x:c r="N424" s="28" t="str">
        <x:v>top-left</x:v>
      </x:c>
      <x:c r="O424" s="28" t="str">
        <x:v>PDF points</x:v>
      </x:c>
    </x:row>
    <x:row r="425" ht="22" customHeight="1">
      <x:c r="A425" s="28" t="str">
        <x:v>ANC-JAM-013-01-R02</x:v>
      </x:c>
      <x:c r="B425" s="28" t="str">
        <x:v>ANC-JAM-013-01</x:v>
      </x:c>
      <x:c r="C425" s="28" t="n">
        <x:v>7</x:v>
      </x:c>
      <x:c r="D425" s="47" t="n">
        <x:v>108.02</x:v>
      </x:c>
      <x:c r="E425" s="47" t="n">
        <x:v>341.798</x:v>
      </x:c>
      <x:c r="F425" s="47" t="n">
        <x:v>146.636</x:v>
      </x:c>
      <x:c r="G425" s="47" t="n">
        <x:v>355.082</x:v>
      </x:c>
      <x:c r="H425" s="50" t="n">
        <x:v>0.176503</x:v>
      </x:c>
      <x:c r="I425" s="50" t="n">
        <x:v>0.431563</x:v>
      </x:c>
      <x:c r="J425" s="50" t="n">
        <x:v>0.239601</x:v>
      </x:c>
      <x:c r="K425" s="50" t="n">
        <x:v>0.448336</x:v>
      </x:c>
      <x:c r="L425" s="47" t="n">
        <x:v>612</x:v>
      </x:c>
      <x:c r="M425" s="47" t="n">
        <x:v>792</x:v>
      </x:c>
      <x:c r="N425" s="28" t="str">
        <x:v>top-left</x:v>
      </x:c>
      <x:c r="O425" s="28" t="str">
        <x:v>PDF points</x:v>
      </x:c>
    </x:row>
    <x:row r="426" ht="22" customHeight="1">
      <x:c r="A426" s="28" t="str">
        <x:v>ANC-JAM-013-01-R03</x:v>
      </x:c>
      <x:c r="B426" s="28" t="str">
        <x:v>ANC-JAM-013-01</x:v>
      </x:c>
      <x:c r="C426" s="28" t="n">
        <x:v>7</x:v>
      </x:c>
      <x:c r="D426" s="47" t="n">
        <x:v>120.14</x:v>
      </x:c>
      <x:c r="E426" s="47" t="n">
        <x:v>362.93</x:v>
      </x:c>
      <x:c r="F426" s="47" t="n">
        <x:v>126.005</x:v>
      </x:c>
      <x:c r="G426" s="47" t="n">
        <x:v>373.97</x:v>
      </x:c>
      <x:c r="H426" s="50" t="n">
        <x:v>0.196307</x:v>
      </x:c>
      <x:c r="I426" s="50" t="n">
        <x:v>0.458245</x:v>
      </x:c>
      <x:c r="J426" s="50" t="n">
        <x:v>0.205891</x:v>
      </x:c>
      <x:c r="K426" s="50" t="n">
        <x:v>0.472184</x:v>
      </x:c>
      <x:c r="L426" s="47" t="n">
        <x:v>612</x:v>
      </x:c>
      <x:c r="M426" s="47" t="n">
        <x:v>792</x:v>
      </x:c>
      <x:c r="N426" s="28" t="str">
        <x:v>top-left</x:v>
      </x:c>
      <x:c r="O426" s="28" t="str">
        <x:v>PDF points</x:v>
      </x:c>
    </x:row>
    <x:row r="427" ht="22" customHeight="1">
      <x:c r="A427" s="28" t="str">
        <x:v>ANC-JAM-013-01-R04</x:v>
      </x:c>
      <x:c r="B427" s="28" t="str">
        <x:v>ANC-JAM-013-01</x:v>
      </x:c>
      <x:c r="C427" s="28" t="n">
        <x:v>7</x:v>
      </x:c>
      <x:c r="D427" s="47" t="n">
        <x:v>144.02</x:v>
      </x:c>
      <x:c r="E427" s="47" t="n">
        <x:v>360.518</x:v>
      </x:c>
      <x:c r="F427" s="47" t="n">
        <x:v>506.356</x:v>
      </x:c>
      <x:c r="G427" s="47" t="n">
        <x:v>373.802</x:v>
      </x:c>
      <x:c r="H427" s="50" t="n">
        <x:v>0.235327</x:v>
      </x:c>
      <x:c r="I427" s="50" t="n">
        <x:v>0.4552</x:v>
      </x:c>
      <x:c r="J427" s="50" t="n">
        <x:v>0.827379</x:v>
      </x:c>
      <x:c r="K427" s="50" t="n">
        <x:v>0.471972</x:v>
      </x:c>
      <x:c r="L427" s="47" t="n">
        <x:v>612</x:v>
      </x:c>
      <x:c r="M427" s="47" t="n">
        <x:v>792</x:v>
      </x:c>
      <x:c r="N427" s="28" t="str">
        <x:v>top-left</x:v>
      </x:c>
      <x:c r="O427" s="28" t="str">
        <x:v>PDF points</x:v>
      </x:c>
    </x:row>
    <x:row r="428" ht="22" customHeight="1">
      <x:c r="A428" s="28" t="str">
        <x:v>ANC-JAM-013-01-R05</x:v>
      </x:c>
      <x:c r="B428" s="28" t="str">
        <x:v>ANC-JAM-013-01</x:v>
      </x:c>
      <x:c r="C428" s="28" t="n">
        <x:v>7</x:v>
      </x:c>
      <x:c r="D428" s="47" t="n">
        <x:v>144.02</x:v>
      </x:c>
      <x:c r="E428" s="47" t="n">
        <x:v>375.278</x:v>
      </x:c>
      <x:c r="F428" s="47" t="n">
        <x:v>527.864</x:v>
      </x:c>
      <x:c r="G428" s="47" t="n">
        <x:v>388.562</x:v>
      </x:c>
      <x:c r="H428" s="50" t="n">
        <x:v>0.235327</x:v>
      </x:c>
      <x:c r="I428" s="50" t="n">
        <x:v>0.473836</x:v>
      </x:c>
      <x:c r="J428" s="50" t="n">
        <x:v>0.862523</x:v>
      </x:c>
      <x:c r="K428" s="50" t="n">
        <x:v>0.490609</x:v>
      </x:c>
      <x:c r="L428" s="47" t="n">
        <x:v>612</x:v>
      </x:c>
      <x:c r="M428" s="47" t="n">
        <x:v>792</x:v>
      </x:c>
      <x:c r="N428" s="28" t="str">
        <x:v>top-left</x:v>
      </x:c>
      <x:c r="O428" s="28" t="str">
        <x:v>PDF points</x:v>
      </x:c>
    </x:row>
    <x:row r="429" ht="22" customHeight="1">
      <x:c r="A429" s="28" t="str">
        <x:v>ANC-JAM-013-01-R06</x:v>
      </x:c>
      <x:c r="B429" s="28" t="str">
        <x:v>ANC-JAM-013-01</x:v>
      </x:c>
      <x:c r="C429" s="28" t="n">
        <x:v>7</x:v>
      </x:c>
      <x:c r="D429" s="47" t="n">
        <x:v>144.02</x:v>
      </x:c>
      <x:c r="E429" s="47" t="n">
        <x:v>390.038</x:v>
      </x:c>
      <x:c r="F429" s="47" t="n">
        <x:v>368.72</x:v>
      </x:c>
      <x:c r="G429" s="47" t="n">
        <x:v>403.322</x:v>
      </x:c>
      <x:c r="H429" s="50" t="n">
        <x:v>0.235327</x:v>
      </x:c>
      <x:c r="I429" s="50" t="n">
        <x:v>0.492472</x:v>
      </x:c>
      <x:c r="J429" s="50" t="n">
        <x:v>0.602484</x:v>
      </x:c>
      <x:c r="K429" s="50" t="n">
        <x:v>0.509245</x:v>
      </x:c>
      <x:c r="L429" s="47" t="n">
        <x:v>612</x:v>
      </x:c>
      <x:c r="M429" s="47" t="n">
        <x:v>792</x:v>
      </x:c>
      <x:c r="N429" s="28" t="str">
        <x:v>top-left</x:v>
      </x:c>
      <x:c r="O429" s="28" t="str">
        <x:v>PDF points</x:v>
      </x:c>
    </x:row>
    <x:row r="430" ht="22" customHeight="1">
      <x:c r="A430" s="28" t="str">
        <x:v>ANC-JAM-014-01-R01</x:v>
      </x:c>
      <x:c r="B430" s="28" t="str">
        <x:v>ANC-JAM-014-01</x:v>
      </x:c>
      <x:c r="C430" s="28" t="n">
        <x:v>7</x:v>
      </x:c>
      <x:c r="D430" s="47" t="n">
        <x:v>117.62</x:v>
      </x:c>
      <x:c r="E430" s="47" t="n">
        <x:v>411.31</x:v>
      </x:c>
      <x:c r="F430" s="47" t="n">
        <x:v>126.005</x:v>
      </x:c>
      <x:c r="G430" s="47" t="n">
        <x:v>422.35</x:v>
      </x:c>
      <x:c r="H430" s="50" t="n">
        <x:v>0.19219</x:v>
      </x:c>
      <x:c r="I430" s="50" t="n">
        <x:v>0.519331</x:v>
      </x:c>
      <x:c r="J430" s="50" t="n">
        <x:v>0.205891</x:v>
      </x:c>
      <x:c r="K430" s="50" t="n">
        <x:v>0.53327</x:v>
      </x:c>
      <x:c r="L430" s="47" t="n">
        <x:v>612</x:v>
      </x:c>
      <x:c r="M430" s="47" t="n">
        <x:v>792</x:v>
      </x:c>
      <x:c r="N430" s="28" t="str">
        <x:v>top-left</x:v>
      </x:c>
      <x:c r="O430" s="28" t="str">
        <x:v>PDF points</x:v>
      </x:c>
    </x:row>
    <x:row r="431" ht="22" customHeight="1">
      <x:c r="A431" s="28" t="str">
        <x:v>ANC-JAM-014-01-R02</x:v>
      </x:c>
      <x:c r="B431" s="28" t="str">
        <x:v>ANC-JAM-014-01</x:v>
      </x:c>
      <x:c r="C431" s="28" t="n">
        <x:v>7</x:v>
      </x:c>
      <x:c r="D431" s="47" t="n">
        <x:v>144.02</x:v>
      </x:c>
      <x:c r="E431" s="47" t="n">
        <x:v>408.898</x:v>
      </x:c>
      <x:c r="F431" s="47" t="n">
        <x:v>533.252</x:v>
      </x:c>
      <x:c r="G431" s="47" t="n">
        <x:v>422.182</x:v>
      </x:c>
      <x:c r="H431" s="50" t="n">
        <x:v>0.235327</x:v>
      </x:c>
      <x:c r="I431" s="50" t="n">
        <x:v>0.516285</x:v>
      </x:c>
      <x:c r="J431" s="50" t="n">
        <x:v>0.871327</x:v>
      </x:c>
      <x:c r="K431" s="50" t="n">
        <x:v>0.533058</x:v>
      </x:c>
      <x:c r="L431" s="47" t="n">
        <x:v>612</x:v>
      </x:c>
      <x:c r="M431" s="47" t="n">
        <x:v>792</x:v>
      </x:c>
      <x:c r="N431" s="28" t="str">
        <x:v>top-left</x:v>
      </x:c>
      <x:c r="O431" s="28" t="str">
        <x:v>PDF points</x:v>
      </x:c>
    </x:row>
    <x:row r="432" ht="22" customHeight="1">
      <x:c r="A432" s="28" t="str">
        <x:v>ANC-JAM-014-01-R03</x:v>
      </x:c>
      <x:c r="B432" s="28" t="str">
        <x:v>ANC-JAM-014-01</x:v>
      </x:c>
      <x:c r="C432" s="28" t="n">
        <x:v>7</x:v>
      </x:c>
      <x:c r="D432" s="47" t="n">
        <x:v>144.02</x:v>
      </x:c>
      <x:c r="E432" s="47" t="n">
        <x:v>423.658</x:v>
      </x:c>
      <x:c r="F432" s="47" t="n">
        <x:v>538.124</x:v>
      </x:c>
      <x:c r="G432" s="47" t="n">
        <x:v>436.942</x:v>
      </x:c>
      <x:c r="H432" s="50" t="n">
        <x:v>0.235327</x:v>
      </x:c>
      <x:c r="I432" s="50" t="n">
        <x:v>0.534922</x:v>
      </x:c>
      <x:c r="J432" s="50" t="n">
        <x:v>0.879288</x:v>
      </x:c>
      <x:c r="K432" s="50" t="n">
        <x:v>0.551694</x:v>
      </x:c>
      <x:c r="L432" s="47" t="n">
        <x:v>612</x:v>
      </x:c>
      <x:c r="M432" s="47" t="n">
        <x:v>792</x:v>
      </x:c>
      <x:c r="N432" s="28" t="str">
        <x:v>top-left</x:v>
      </x:c>
      <x:c r="O432" s="28" t="str">
        <x:v>PDF points</x:v>
      </x:c>
    </x:row>
    <x:row r="433" ht="22" customHeight="1">
      <x:c r="A433" s="28" t="str">
        <x:v>ANC-JAM-014-01-R04</x:v>
      </x:c>
      <x:c r="B433" s="28" t="str">
        <x:v>ANC-JAM-014-01</x:v>
      </x:c>
      <x:c r="C433" s="28" t="n">
        <x:v>7</x:v>
      </x:c>
      <x:c r="D433" s="47" t="n">
        <x:v>144.02</x:v>
      </x:c>
      <x:c r="E433" s="47" t="n">
        <x:v>438.418</x:v>
      </x:c>
      <x:c r="F433" s="47" t="n">
        <x:v>403.268</x:v>
      </x:c>
      <x:c r="G433" s="47" t="n">
        <x:v>451.702</x:v>
      </x:c>
      <x:c r="H433" s="50" t="n">
        <x:v>0.235327</x:v>
      </x:c>
      <x:c r="I433" s="50" t="n">
        <x:v>0.553558</x:v>
      </x:c>
      <x:c r="J433" s="50" t="n">
        <x:v>0.658935</x:v>
      </x:c>
      <x:c r="K433" s="50" t="n">
        <x:v>0.570331</x:v>
      </x:c>
      <x:c r="L433" s="47" t="n">
        <x:v>612</x:v>
      </x:c>
      <x:c r="M433" s="47" t="n">
        <x:v>792</x:v>
      </x:c>
      <x:c r="N433" s="28" t="str">
        <x:v>top-left</x:v>
      </x:c>
      <x:c r="O433" s="28" t="str">
        <x:v>PDF points</x:v>
      </x:c>
    </x:row>
    <x:row r="434" ht="22" customHeight="1">
      <x:c r="A434" s="28" t="str">
        <x:v>ANC-JAM-015-01-R01</x:v>
      </x:c>
      <x:c r="B434" s="28" t="str">
        <x:v>ANC-JAM-015-01</x:v>
      </x:c>
      <x:c r="C434" s="28" t="n">
        <x:v>7</x:v>
      </x:c>
      <x:c r="D434" s="47" t="n">
        <x:v>115.1</x:v>
      </x:c>
      <x:c r="E434" s="47" t="n">
        <x:v>459.67</x:v>
      </x:c>
      <x:c r="F434" s="47" t="n">
        <x:v>126.005</x:v>
      </x:c>
      <x:c r="G434" s="47" t="n">
        <x:v>470.71</x:v>
      </x:c>
      <x:c r="H434" s="50" t="n">
        <x:v>0.188072</x:v>
      </x:c>
      <x:c r="I434" s="50" t="n">
        <x:v>0.580391</x:v>
      </x:c>
      <x:c r="J434" s="50" t="n">
        <x:v>0.205891</x:v>
      </x:c>
      <x:c r="K434" s="50" t="n">
        <x:v>0.594331</x:v>
      </x:c>
      <x:c r="L434" s="47" t="n">
        <x:v>612</x:v>
      </x:c>
      <x:c r="M434" s="47" t="n">
        <x:v>792</x:v>
      </x:c>
      <x:c r="N434" s="28" t="str">
        <x:v>top-left</x:v>
      </x:c>
      <x:c r="O434" s="28" t="str">
        <x:v>PDF points</x:v>
      </x:c>
    </x:row>
    <x:row r="435" ht="22" customHeight="1">
      <x:c r="A435" s="28" t="str">
        <x:v>ANC-JAM-015-01-R02</x:v>
      </x:c>
      <x:c r="B435" s="28" t="str">
        <x:v>ANC-JAM-015-01</x:v>
      </x:c>
      <x:c r="C435" s="28" t="n">
        <x:v>7</x:v>
      </x:c>
      <x:c r="D435" s="47" t="n">
        <x:v>144.02</x:v>
      </x:c>
      <x:c r="E435" s="47" t="n">
        <x:v>457.258</x:v>
      </x:c>
      <x:c r="F435" s="47" t="n">
        <x:v>533.684</x:v>
      </x:c>
      <x:c r="G435" s="47" t="n">
        <x:v>470.542</x:v>
      </x:c>
      <x:c r="H435" s="50" t="n">
        <x:v>0.235327</x:v>
      </x:c>
      <x:c r="I435" s="50" t="n">
        <x:v>0.577346</x:v>
      </x:c>
      <x:c r="J435" s="50" t="n">
        <x:v>0.872033</x:v>
      </x:c>
      <x:c r="K435" s="50" t="n">
        <x:v>0.594119</x:v>
      </x:c>
      <x:c r="L435" s="47" t="n">
        <x:v>612</x:v>
      </x:c>
      <x:c r="M435" s="47" t="n">
        <x:v>792</x:v>
      </x:c>
      <x:c r="N435" s="28" t="str">
        <x:v>top-left</x:v>
      </x:c>
      <x:c r="O435" s="28" t="str">
        <x:v>PDF points</x:v>
      </x:c>
    </x:row>
    <x:row r="436" ht="22" customHeight="1">
      <x:c r="A436" s="28" t="str">
        <x:v>ANC-JAM-015-01-R03</x:v>
      </x:c>
      <x:c r="B436" s="28" t="str">
        <x:v>ANC-JAM-015-01</x:v>
      </x:c>
      <x:c r="C436" s="28" t="n">
        <x:v>7</x:v>
      </x:c>
      <x:c r="D436" s="47" t="n">
        <x:v>144.02</x:v>
      </x:c>
      <x:c r="E436" s="47" t="n">
        <x:v>472.018</x:v>
      </x:c>
      <x:c r="F436" s="47" t="n">
        <x:v>359.48</x:v>
      </x:c>
      <x:c r="G436" s="47" t="n">
        <x:v>485.302</x:v>
      </x:c>
      <x:c r="H436" s="50" t="n">
        <x:v>0.235327</x:v>
      </x:c>
      <x:c r="I436" s="50" t="n">
        <x:v>0.595982</x:v>
      </x:c>
      <x:c r="J436" s="50" t="n">
        <x:v>0.587386</x:v>
      </x:c>
      <x:c r="K436" s="50" t="n">
        <x:v>0.612755</x:v>
      </x:c>
      <x:c r="L436" s="47" t="n">
        <x:v>612</x:v>
      </x:c>
      <x:c r="M436" s="47" t="n">
        <x:v>792</x:v>
      </x:c>
      <x:c r="N436" s="28" t="str">
        <x:v>top-left</x:v>
      </x:c>
      <x:c r="O436" s="28" t="str">
        <x:v>PDF points</x:v>
      </x:c>
    </x:row>
    <x:row r="437" ht="22" customHeight="1">
      <x:c r="A437" s="28" t="str">
        <x:v>ANC-JAM-016-01-R01</x:v>
      </x:c>
      <x:c r="B437" s="28" t="str">
        <x:v>ANC-JAM-016-01</x:v>
      </x:c>
      <x:c r="C437" s="28" t="n">
        <x:v>7</x:v>
      </x:c>
      <x:c r="D437" s="47" t="n">
        <x:v>115.22</x:v>
      </x:c>
      <x:c r="E437" s="47" t="n">
        <x:v>493.15</x:v>
      </x:c>
      <x:c r="F437" s="47" t="n">
        <x:v>126.094</x:v>
      </x:c>
      <x:c r="G437" s="47" t="n">
        <x:v>504.19</x:v>
      </x:c>
      <x:c r="H437" s="50" t="n">
        <x:v>0.188268</x:v>
      </x:c>
      <x:c r="I437" s="50" t="n">
        <x:v>0.622664</x:v>
      </x:c>
      <x:c r="J437" s="50" t="n">
        <x:v>0.206037</x:v>
      </x:c>
      <x:c r="K437" s="50" t="n">
        <x:v>0.636604</x:v>
      </x:c>
      <x:c r="L437" s="47" t="n">
        <x:v>612</x:v>
      </x:c>
      <x:c r="M437" s="47" t="n">
        <x:v>792</x:v>
      </x:c>
      <x:c r="N437" s="28" t="str">
        <x:v>top-left</x:v>
      </x:c>
      <x:c r="O437" s="28" t="str">
        <x:v>PDF points</x:v>
      </x:c>
    </x:row>
    <x:row r="438" ht="22" customHeight="1">
      <x:c r="A438" s="28" t="str">
        <x:v>ANC-JAM-016-01-R02</x:v>
      </x:c>
      <x:c r="B438" s="28" t="str">
        <x:v>ANC-JAM-016-01</x:v>
      </x:c>
      <x:c r="C438" s="28" t="n">
        <x:v>7</x:v>
      </x:c>
      <x:c r="D438" s="47" t="n">
        <x:v>144.02</x:v>
      </x:c>
      <x:c r="E438" s="47" t="n">
        <x:v>490.738</x:v>
      </x:c>
      <x:c r="F438" s="47" t="n">
        <x:v>523.748</x:v>
      </x:c>
      <x:c r="G438" s="47" t="n">
        <x:v>504.022</x:v>
      </x:c>
      <x:c r="H438" s="50" t="n">
        <x:v>0.235327</x:v>
      </x:c>
      <x:c r="I438" s="50" t="n">
        <x:v>0.619619</x:v>
      </x:c>
      <x:c r="J438" s="50" t="n">
        <x:v>0.855797</x:v>
      </x:c>
      <x:c r="K438" s="50" t="n">
        <x:v>0.636391</x:v>
      </x:c>
      <x:c r="L438" s="47" t="n">
        <x:v>612</x:v>
      </x:c>
      <x:c r="M438" s="47" t="n">
        <x:v>792</x:v>
      </x:c>
      <x:c r="N438" s="28" t="str">
        <x:v>top-left</x:v>
      </x:c>
      <x:c r="O438" s="28" t="str">
        <x:v>PDF points</x:v>
      </x:c>
    </x:row>
    <x:row r="439" ht="22" customHeight="1">
      <x:c r="A439" s="28" t="str">
        <x:v>ANC-JAM-016-01-R03</x:v>
      </x:c>
      <x:c r="B439" s="28" t="str">
        <x:v>ANC-JAM-016-01</x:v>
      </x:c>
      <x:c r="C439" s="28" t="n">
        <x:v>7</x:v>
      </x:c>
      <x:c r="D439" s="47" t="n">
        <x:v>144.02</x:v>
      </x:c>
      <x:c r="E439" s="47" t="n">
        <x:v>505.498</x:v>
      </x:c>
      <x:c r="F439" s="47" t="n">
        <x:v>287.612</x:v>
      </x:c>
      <x:c r="G439" s="47" t="n">
        <x:v>518.782</x:v>
      </x:c>
      <x:c r="H439" s="50" t="n">
        <x:v>0.235327</x:v>
      </x:c>
      <x:c r="I439" s="50" t="n">
        <x:v>0.638255</x:v>
      </x:c>
      <x:c r="J439" s="50" t="n">
        <x:v>0.469954</x:v>
      </x:c>
      <x:c r="K439" s="50" t="n">
        <x:v>0.655028</x:v>
      </x:c>
      <x:c r="L439" s="47" t="n">
        <x:v>612</x:v>
      </x:c>
      <x:c r="M439" s="47" t="n">
        <x:v>792</x:v>
      </x:c>
      <x:c r="N439" s="28" t="str">
        <x:v>top-left</x:v>
      </x:c>
      <x:c r="O439" s="28" t="str">
        <x:v>PDF points</x:v>
      </x:c>
    </x:row>
    <x:row r="440" ht="22" customHeight="1">
      <x:c r="A440" s="28" t="str">
        <x:v>ANC-JAM-017-01-R01</x:v>
      </x:c>
      <x:c r="B440" s="28" t="str">
        <x:v>ANC-JAM-017-01</x:v>
      </x:c>
      <x:c r="C440" s="28" t="n">
        <x:v>7</x:v>
      </x:c>
      <x:c r="D440" s="47" t="n">
        <x:v>90.024</x:v>
      </x:c>
      <x:c r="E440" s="47" t="n">
        <x:v>524.338</x:v>
      </x:c>
      <x:c r="F440" s="47" t="n">
        <x:v>515.656</x:v>
      </x:c>
      <x:c r="G440" s="47" t="n">
        <x:v>537.79</x:v>
      </x:c>
      <x:c r="H440" s="50" t="n">
        <x:v>0.147098</x:v>
      </x:c>
      <x:c r="I440" s="50" t="n">
        <x:v>0.662043</x:v>
      </x:c>
      <x:c r="J440" s="50" t="n">
        <x:v>0.842575</x:v>
      </x:c>
      <x:c r="K440" s="50" t="n">
        <x:v>0.679028</x:v>
      </x:c>
      <x:c r="L440" s="47" t="n">
        <x:v>612</x:v>
      </x:c>
      <x:c r="M440" s="47" t="n">
        <x:v>792</x:v>
      </x:c>
      <x:c r="N440" s="28" t="str">
        <x:v>top-left</x:v>
      </x:c>
      <x:c r="O440" s="28" t="str">
        <x:v>PDF points</x:v>
      </x:c>
    </x:row>
    <x:row r="441" ht="22" customHeight="1">
      <x:c r="A441" s="28" t="str">
        <x:v>ANC-JAM-017-01-R02</x:v>
      </x:c>
      <x:c r="B441" s="28" t="str">
        <x:v>ANC-JAM-017-01</x:v>
      </x:c>
      <x:c r="C441" s="28" t="n">
        <x:v>7</x:v>
      </x:c>
      <x:c r="D441" s="47" t="n">
        <x:v>108.02</x:v>
      </x:c>
      <x:c r="E441" s="47" t="n">
        <x:v>539.098</x:v>
      </x:c>
      <x:c r="F441" s="47" t="n">
        <x:v>232.304</x:v>
      </x:c>
      <x:c r="G441" s="47" t="n">
        <x:v>552.382</x:v>
      </x:c>
      <x:c r="H441" s="50" t="n">
        <x:v>0.176503</x:v>
      </x:c>
      <x:c r="I441" s="50" t="n">
        <x:v>0.680679</x:v>
      </x:c>
      <x:c r="J441" s="50" t="n">
        <x:v>0.379582</x:v>
      </x:c>
      <x:c r="K441" s="50" t="n">
        <x:v>0.697452</x:v>
      </x:c>
      <x:c r="L441" s="47" t="n">
        <x:v>612</x:v>
      </x:c>
      <x:c r="M441" s="47" t="n">
        <x:v>792</x:v>
      </x:c>
      <x:c r="N441" s="28" t="str">
        <x:v>top-left</x:v>
      </x:c>
      <x:c r="O441" s="28" t="str">
        <x:v>PDF points</x:v>
      </x:c>
    </x:row>
    <x:row r="442" ht="22" customHeight="1">
      <x:c r="A442" s="28" t="str">
        <x:v>ANC-JAM-018-01-R01</x:v>
      </x:c>
      <x:c r="B442" s="28" t="str">
        <x:v>ANC-JAM-018-01</x:v>
      </x:c>
      <x:c r="C442" s="28" t="n">
        <x:v>8</x:v>
      </x:c>
      <x:c r="D442" s="47" t="n">
        <x:v>291.84</x:v>
      </x:c>
      <x:c r="E442" s="47" t="n">
        <x:v>613.408</x:v>
      </x:c>
      <x:c r="F442" s="47" t="n">
        <x:v>383.832</x:v>
      </x:c>
      <x:c r="G442" s="47" t="n">
        <x:v>626.692</x:v>
      </x:c>
      <x:c r="H442" s="50" t="n">
        <x:v>0.476863</x:v>
      </x:c>
      <x:c r="I442" s="50" t="n">
        <x:v>0.774505</x:v>
      </x:c>
      <x:c r="J442" s="50" t="n">
        <x:v>0.627177</x:v>
      </x:c>
      <x:c r="K442" s="50" t="n">
        <x:v>0.791278</x:v>
      </x:c>
      <x:c r="L442" s="47" t="n">
        <x:v>612</x:v>
      </x:c>
      <x:c r="M442" s="47" t="n">
        <x:v>792</x:v>
      </x:c>
      <x:c r="N442" s="28" t="str">
        <x:v>top-left</x:v>
      </x:c>
      <x:c r="O442" s="28" t="str">
        <x:v>PDF points</x:v>
      </x:c>
    </x:row>
    <x:row r="443" ht="22" customHeight="1">
      <x:c r="A443" s="28" t="str">
        <x:v>ANC-JAM-018-01-R02</x:v>
      </x:c>
      <x:c r="B443" s="28" t="str">
        <x:v>ANC-JAM-018-01</x:v>
      </x:c>
      <x:c r="C443" s="28" t="n">
        <x:v>8</x:v>
      </x:c>
      <x:c r="D443" s="47" t="n">
        <x:v>108.02</x:v>
      </x:c>
      <x:c r="E443" s="47" t="n">
        <x:v>635.2</x:v>
      </x:c>
      <x:c r="F443" s="47" t="n">
        <x:v>112.22</x:v>
      </x:c>
      <x:c r="G443" s="47" t="n">
        <x:v>648.58</x:v>
      </x:c>
      <x:c r="H443" s="50" t="n">
        <x:v>0.176503</x:v>
      </x:c>
      <x:c r="I443" s="50" t="n">
        <x:v>0.80202</x:v>
      </x:c>
      <x:c r="J443" s="50" t="n">
        <x:v>0.183366</x:v>
      </x:c>
      <x:c r="K443" s="50" t="n">
        <x:v>0.818914</x:v>
      </x:c>
      <x:c r="L443" s="47" t="n">
        <x:v>612</x:v>
      </x:c>
      <x:c r="M443" s="47" t="n">
        <x:v>792</x:v>
      </x:c>
      <x:c r="N443" s="28" t="str">
        <x:v>top-left</x:v>
      </x:c>
      <x:c r="O443" s="28" t="str">
        <x:v>PDF points</x:v>
      </x:c>
    </x:row>
    <x:row r="444" ht="22" customHeight="1">
      <x:c r="A444" s="28" t="str">
        <x:v>ANC-JAM-018-01-R03</x:v>
      </x:c>
      <x:c r="B444" s="28" t="str">
        <x:v>ANC-JAM-018-01</x:v>
      </x:c>
      <x:c r="C444" s="28" t="n">
        <x:v>8</x:v>
      </x:c>
      <x:c r="D444" s="47" t="n">
        <x:v>144.02</x:v>
      </x:c>
      <x:c r="E444" s="47" t="n">
        <x:v>635.368</x:v>
      </x:c>
      <x:c r="F444" s="47" t="n">
        <x:v>530.012</x:v>
      </x:c>
      <x:c r="G444" s="47" t="n">
        <x:v>648.652</x:v>
      </x:c>
      <x:c r="H444" s="50" t="n">
        <x:v>0.235327</x:v>
      </x:c>
      <x:c r="I444" s="50" t="n">
        <x:v>0.802232</x:v>
      </x:c>
      <x:c r="J444" s="50" t="n">
        <x:v>0.866033</x:v>
      </x:c>
      <x:c r="K444" s="50" t="n">
        <x:v>0.819005</x:v>
      </x:c>
      <x:c r="L444" s="47" t="n">
        <x:v>612</x:v>
      </x:c>
      <x:c r="M444" s="47" t="n">
        <x:v>792</x:v>
      </x:c>
      <x:c r="N444" s="28" t="str">
        <x:v>top-left</x:v>
      </x:c>
      <x:c r="O444" s="28" t="str">
        <x:v>PDF points</x:v>
      </x:c>
    </x:row>
    <x:row r="445" ht="22" customHeight="1">
      <x:c r="A445" s="28" t="str">
        <x:v>ANC-JAM-018-01-R04</x:v>
      </x:c>
      <x:c r="B445" s="28" t="str">
        <x:v>ANC-JAM-018-01</x:v>
      </x:c>
      <x:c r="C445" s="28" t="n">
        <x:v>8</x:v>
      </x:c>
      <x:c r="D445" s="47" t="n">
        <x:v>144.02</x:v>
      </x:c>
      <x:c r="E445" s="47" t="n">
        <x:v>651.088</x:v>
      </x:c>
      <x:c r="F445" s="47" t="n">
        <x:v>539.95</x:v>
      </x:c>
      <x:c r="G445" s="47" t="n">
        <x:v>664.372</x:v>
      </x:c>
      <x:c r="H445" s="50" t="n">
        <x:v>0.235327</x:v>
      </x:c>
      <x:c r="I445" s="50" t="n">
        <x:v>0.822081</x:v>
      </x:c>
      <x:c r="J445" s="50" t="n">
        <x:v>0.882271</x:v>
      </x:c>
      <x:c r="K445" s="50" t="n">
        <x:v>0.838854</x:v>
      </x:c>
      <x:c r="L445" s="47" t="n">
        <x:v>612</x:v>
      </x:c>
      <x:c r="M445" s="47" t="n">
        <x:v>792</x:v>
      </x:c>
      <x:c r="N445" s="28" t="str">
        <x:v>top-left</x:v>
      </x:c>
      <x:c r="O445" s="28" t="str">
        <x:v>PDF points</x:v>
      </x:c>
    </x:row>
    <x:row r="446" ht="22" customHeight="1">
      <x:c r="A446" s="28" t="str">
        <x:v>ANC-JAM-018-01-R05</x:v>
      </x:c>
      <x:c r="B446" s="28" t="str">
        <x:v>ANC-JAM-018-01</x:v>
      </x:c>
      <x:c r="C446" s="28" t="n">
        <x:v>8</x:v>
      </x:c>
      <x:c r="D446" s="47" t="n">
        <x:v>144.02</x:v>
      </x:c>
      <x:c r="E446" s="47" t="n">
        <x:v>666.808</x:v>
      </x:c>
      <x:c r="F446" s="47" t="n">
        <x:v>294.248</x:v>
      </x:c>
      <x:c r="G446" s="47" t="n">
        <x:v>680.092</x:v>
      </x:c>
      <x:c r="H446" s="50" t="n">
        <x:v>0.235327</x:v>
      </x:c>
      <x:c r="I446" s="50" t="n">
        <x:v>0.841929</x:v>
      </x:c>
      <x:c r="J446" s="50" t="n">
        <x:v>0.480797</x:v>
      </x:c>
      <x:c r="K446" s="50" t="n">
        <x:v>0.858702</x:v>
      </x:c>
      <x:c r="L446" s="47" t="n">
        <x:v>612</x:v>
      </x:c>
      <x:c r="M446" s="47" t="n">
        <x:v>792</x:v>
      </x:c>
      <x:c r="N446" s="28" t="str">
        <x:v>top-left</x:v>
      </x:c>
      <x:c r="O446" s="28" t="str">
        <x:v>PDF points</x:v>
      </x:c>
    </x:row>
    <x:row r="447" ht="22" customHeight="1">
      <x:c r="A447" s="28" t="str">
        <x:v>ANC-JAM-019-01-R01</x:v>
      </x:c>
      <x:c r="B447" s="28" t="str">
        <x:v>ANC-JAM-019-01</x:v>
      </x:c>
      <x:c r="C447" s="28" t="n">
        <x:v>8</x:v>
      </x:c>
      <x:c r="D447" s="47" t="n">
        <x:v>303.29</x:v>
      </x:c>
      <x:c r="E447" s="47" t="n">
        <x:v>730.419</x:v>
      </x:c>
      <x:c r="F447" s="47" t="n">
        <x:v>308.81</x:v>
      </x:c>
      <x:c r="G447" s="47" t="n">
        <x:v>742.641</x:v>
      </x:c>
      <x:c r="H447" s="50" t="n">
        <x:v>0.495572</x:v>
      </x:c>
      <x:c r="I447" s="50" t="n">
        <x:v>0.922247</x:v>
      </x:c>
      <x:c r="J447" s="50" t="n">
        <x:v>0.504591</x:v>
      </x:c>
      <x:c r="K447" s="50" t="n">
        <x:v>0.937678</x:v>
      </x:c>
      <x:c r="L447" s="47" t="n">
        <x:v>612</x:v>
      </x:c>
      <x:c r="M447" s="47" t="n">
        <x:v>792</x:v>
      </x:c>
      <x:c r="N447" s="28" t="str">
        <x:v>top-left</x:v>
      </x:c>
      <x:c r="O447" s="28" t="str">
        <x:v>PDF points</x:v>
      </x:c>
    </x:row>
    <x:row r="448" ht="22" customHeight="1">
      <x:c r="A448" s="28" t="str">
        <x:v>ANC-JAM-019-01-R02</x:v>
      </x:c>
      <x:c r="B448" s="28" t="str">
        <x:v>ANC-JAM-019-01</x:v>
      </x:c>
      <x:c r="C448" s="28" t="n">
        <x:v>8</x:v>
      </x:c>
      <x:c r="D448" s="47" t="n">
        <x:v>108.02</x:v>
      </x:c>
      <x:c r="E448" s="47" t="n">
        <x:v>686.604</x:v>
      </x:c>
      <x:c r="F448" s="47" t="n">
        <x:v>112.22</x:v>
      </x:c>
      <x:c r="G448" s="47" t="n">
        <x:v>699.888</x:v>
      </x:c>
      <x:c r="H448" s="50" t="n">
        <x:v>0.176503</x:v>
      </x:c>
      <x:c r="I448" s="50" t="n">
        <x:v>0.866924</x:v>
      </x:c>
      <x:c r="J448" s="50" t="n">
        <x:v>0.183366</x:v>
      </x:c>
      <x:c r="K448" s="50" t="n">
        <x:v>0.883697</x:v>
      </x:c>
      <x:c r="L448" s="47" t="n">
        <x:v>612</x:v>
      </x:c>
      <x:c r="M448" s="47" t="n">
        <x:v>792</x:v>
      </x:c>
      <x:c r="N448" s="28" t="str">
        <x:v>top-left</x:v>
      </x:c>
      <x:c r="O448" s="28" t="str">
        <x:v>PDF points</x:v>
      </x:c>
    </x:row>
    <x:row r="449" ht="22" customHeight="1">
      <x:c r="A449" s="28" t="str">
        <x:v>ANC-JAM-019-01-R03</x:v>
      </x:c>
      <x:c r="B449" s="28" t="str">
        <x:v>ANC-JAM-019-01</x:v>
      </x:c>
      <x:c r="C449" s="28" t="n">
        <x:v>8</x:v>
      </x:c>
      <x:c r="D449" s="47" t="n">
        <x:v>144.02</x:v>
      </x:c>
      <x:c r="E449" s="47" t="n">
        <x:v>686.604</x:v>
      </x:c>
      <x:c r="F449" s="47" t="n">
        <x:v>496.172</x:v>
      </x:c>
      <x:c r="G449" s="47" t="n">
        <x:v>699.888</x:v>
      </x:c>
      <x:c r="H449" s="50" t="n">
        <x:v>0.235327</x:v>
      </x:c>
      <x:c r="I449" s="50" t="n">
        <x:v>0.866924</x:v>
      </x:c>
      <x:c r="J449" s="50" t="n">
        <x:v>0.810739</x:v>
      </x:c>
      <x:c r="K449" s="50" t="n">
        <x:v>0.883697</x:v>
      </x:c>
      <x:c r="L449" s="47" t="n">
        <x:v>612</x:v>
      </x:c>
      <x:c r="M449" s="47" t="n">
        <x:v>792</x:v>
      </x:c>
      <x:c r="N449" s="28" t="str">
        <x:v>top-left</x:v>
      </x:c>
      <x:c r="O449" s="28" t="str">
        <x:v>PDF points</x:v>
      </x:c>
    </x:row>
    <x:row r="450" ht="22" customHeight="1">
      <x:c r="A450" s="28" t="str">
        <x:v>ANC-JAM-019-01-R04</x:v>
      </x:c>
      <x:c r="B450" s="28" t="str">
        <x:v>ANC-JAM-019-01</x:v>
      </x:c>
      <x:c r="C450" s="28" t="n">
        <x:v>8</x:v>
      </x:c>
      <x:c r="D450" s="47" t="n">
        <x:v>144.02</x:v>
      </x:c>
      <x:c r="E450" s="47" t="n">
        <x:v>702.324</x:v>
      </x:c>
      <x:c r="F450" s="47" t="n">
        <x:v>505.43</x:v>
      </x:c>
      <x:c r="G450" s="47" t="n">
        <x:v>715.608</x:v>
      </x:c>
      <x:c r="H450" s="50" t="n">
        <x:v>0.235327</x:v>
      </x:c>
      <x:c r="I450" s="50" t="n">
        <x:v>0.886773</x:v>
      </x:c>
      <x:c r="J450" s="50" t="n">
        <x:v>0.825866</x:v>
      </x:c>
      <x:c r="K450" s="50" t="n">
        <x:v>0.903545</x:v>
      </x:c>
      <x:c r="L450" s="47" t="n">
        <x:v>612</x:v>
      </x:c>
      <x:c r="M450" s="47" t="n">
        <x:v>792</x:v>
      </x:c>
      <x:c r="N450" s="28" t="str">
        <x:v>top-left</x:v>
      </x:c>
      <x:c r="O450" s="28" t="str">
        <x:v>PDF points</x:v>
      </x:c>
    </x:row>
    <x:row r="451" ht="22" customHeight="1">
      <x:c r="A451" s="28" t="str">
        <x:v>ANC-JAM-020-01-R01</x:v>
      </x:c>
      <x:c r="B451" s="28" t="str">
        <x:v>ANC-JAM-020-01</x:v>
      </x:c>
      <x:c r="C451" s="28" t="n">
        <x:v>9</x:v>
      </x:c>
      <x:c r="D451" s="47" t="n">
        <x:v>108.02</x:v>
      </x:c>
      <x:c r="E451" s="47" t="n">
        <x:v>108.008</x:v>
      </x:c>
      <x:c r="F451" s="47" t="n">
        <x:v>112.22</x:v>
      </x:c>
      <x:c r="G451" s="47" t="n">
        <x:v>121.292</x:v>
      </x:c>
      <x:c r="H451" s="50" t="n">
        <x:v>0.176503</x:v>
      </x:c>
      <x:c r="I451" s="50" t="n">
        <x:v>0.136374</x:v>
      </x:c>
      <x:c r="J451" s="50" t="n">
        <x:v>0.183366</x:v>
      </x:c>
      <x:c r="K451" s="50" t="n">
        <x:v>0.153146</x:v>
      </x:c>
      <x:c r="L451" s="47" t="n">
        <x:v>612</x:v>
      </x:c>
      <x:c r="M451" s="47" t="n">
        <x:v>792</x:v>
      </x:c>
      <x:c r="N451" s="28" t="str">
        <x:v>top-left</x:v>
      </x:c>
      <x:c r="O451" s="28" t="str">
        <x:v>PDF points</x:v>
      </x:c>
    </x:row>
    <x:row r="452" ht="22" customHeight="1">
      <x:c r="A452" s="28" t="str">
        <x:v>ANC-JAM-020-01-R02</x:v>
      </x:c>
      <x:c r="B452" s="28" t="str">
        <x:v>ANC-JAM-020-01</x:v>
      </x:c>
      <x:c r="C452" s="28" t="n">
        <x:v>9</x:v>
      </x:c>
      <x:c r="D452" s="47" t="n">
        <x:v>144.02</x:v>
      </x:c>
      <x:c r="E452" s="47" t="n">
        <x:v>108.008</x:v>
      </x:c>
      <x:c r="F452" s="47" t="n">
        <x:v>488.444</x:v>
      </x:c>
      <x:c r="G452" s="47" t="n">
        <x:v>121.292</x:v>
      </x:c>
      <x:c r="H452" s="50" t="n">
        <x:v>0.235327</x:v>
      </x:c>
      <x:c r="I452" s="50" t="n">
        <x:v>0.136374</x:v>
      </x:c>
      <x:c r="J452" s="50" t="n">
        <x:v>0.798111</x:v>
      </x:c>
      <x:c r="K452" s="50" t="n">
        <x:v>0.153146</x:v>
      </x:c>
      <x:c r="L452" s="47" t="n">
        <x:v>612</x:v>
      </x:c>
      <x:c r="M452" s="47" t="n">
        <x:v>792</x:v>
      </x:c>
      <x:c r="N452" s="28" t="str">
        <x:v>top-left</x:v>
      </x:c>
      <x:c r="O452" s="28" t="str">
        <x:v>PDF points</x:v>
      </x:c>
    </x:row>
    <x:row r="453" ht="22" customHeight="1">
      <x:c r="A453" s="28" t="str">
        <x:v>ANC-JAM-020-01-R03</x:v>
      </x:c>
      <x:c r="B453" s="28" t="str">
        <x:v>ANC-JAM-020-01</x:v>
      </x:c>
      <x:c r="C453" s="28" t="n">
        <x:v>9</x:v>
      </x:c>
      <x:c r="D453" s="47" t="n">
        <x:v>144.02</x:v>
      </x:c>
      <x:c r="E453" s="47" t="n">
        <x:v>123.728</x:v>
      </x:c>
      <x:c r="F453" s="47" t="n">
        <x:v>535.022</x:v>
      </x:c>
      <x:c r="G453" s="47" t="n">
        <x:v>137.012</x:v>
      </x:c>
      <x:c r="H453" s="50" t="n">
        <x:v>0.235327</x:v>
      </x:c>
      <x:c r="I453" s="50" t="n">
        <x:v>0.156222</x:v>
      </x:c>
      <x:c r="J453" s="50" t="n">
        <x:v>0.874219</x:v>
      </x:c>
      <x:c r="K453" s="50" t="n">
        <x:v>0.172995</x:v>
      </x:c>
      <x:c r="L453" s="47" t="n">
        <x:v>612</x:v>
      </x:c>
      <x:c r="M453" s="47" t="n">
        <x:v>792</x:v>
      </x:c>
      <x:c r="N453" s="28" t="str">
        <x:v>top-left</x:v>
      </x:c>
      <x:c r="O453" s="28" t="str">
        <x:v>PDF points</x:v>
      </x:c>
    </x:row>
    <x:row r="454" ht="22" customHeight="1">
      <x:c r="A454" s="28" t="str">
        <x:v>ANC-JAM-020-01-R04</x:v>
      </x:c>
      <x:c r="B454" s="28" t="str">
        <x:v>ANC-JAM-020-01</x:v>
      </x:c>
      <x:c r="C454" s="28" t="n">
        <x:v>9</x:v>
      </x:c>
      <x:c r="D454" s="47" t="n">
        <x:v>144.02</x:v>
      </x:c>
      <x:c r="E454" s="47" t="n">
        <x:v>139.448</x:v>
      </x:c>
      <x:c r="F454" s="47" t="n">
        <x:v>511.856</x:v>
      </x:c>
      <x:c r="G454" s="47" t="n">
        <x:v>152.732</x:v>
      </x:c>
      <x:c r="H454" s="50" t="n">
        <x:v>0.235327</x:v>
      </x:c>
      <x:c r="I454" s="50" t="n">
        <x:v>0.176071</x:v>
      </x:c>
      <x:c r="J454" s="50" t="n">
        <x:v>0.836366</x:v>
      </x:c>
      <x:c r="K454" s="50" t="n">
        <x:v>0.192843</x:v>
      </x:c>
      <x:c r="L454" s="47" t="n">
        <x:v>612</x:v>
      </x:c>
      <x:c r="M454" s="47" t="n">
        <x:v>792</x:v>
      </x:c>
      <x:c r="N454" s="28" t="str">
        <x:v>top-left</x:v>
      </x:c>
      <x:c r="O454" s="28" t="str">
        <x:v>PDF points</x:v>
      </x:c>
    </x:row>
    <x:row r="455" ht="22" customHeight="1">
      <x:c r="A455" s="28" t="str">
        <x:v>ANC-JAM-020-01-R05</x:v>
      </x:c>
      <x:c r="B455" s="28" t="str">
        <x:v>ANC-JAM-020-01</x:v>
      </x:c>
      <x:c r="C455" s="28" t="n">
        <x:v>9</x:v>
      </x:c>
      <x:c r="D455" s="47" t="n">
        <x:v>144.02</x:v>
      </x:c>
      <x:c r="E455" s="47" t="n">
        <x:v>155.288</x:v>
      </x:c>
      <x:c r="F455" s="47" t="n">
        <x:v>266.264</x:v>
      </x:c>
      <x:c r="G455" s="47" t="n">
        <x:v>168.572</x:v>
      </x:c>
      <x:c r="H455" s="50" t="n">
        <x:v>0.235327</x:v>
      </x:c>
      <x:c r="I455" s="50" t="n">
        <x:v>0.196071</x:v>
      </x:c>
      <x:c r="J455" s="50" t="n">
        <x:v>0.435072</x:v>
      </x:c>
      <x:c r="K455" s="50" t="n">
        <x:v>0.212843</x:v>
      </x:c>
      <x:c r="L455" s="47" t="n">
        <x:v>612</x:v>
      </x:c>
      <x:c r="M455" s="47" t="n">
        <x:v>792</x:v>
      </x:c>
      <x:c r="N455" s="28" t="str">
        <x:v>top-left</x:v>
      </x:c>
      <x:c r="O455" s="28" t="str">
        <x:v>PDF points</x:v>
      </x:c>
    </x:row>
    <x:row r="456" ht="22" customHeight="1">
      <x:c r="A456" s="28" t="str">
        <x:v>ANC-JAM-021-01-R01</x:v>
      </x:c>
      <x:c r="B456" s="28" t="str">
        <x:v>ANC-JAM-021-01</x:v>
      </x:c>
      <x:c r="C456" s="28" t="n">
        <x:v>9</x:v>
      </x:c>
      <x:c r="D456" s="47" t="n">
        <x:v>144.02</x:v>
      </x:c>
      <x:c r="E456" s="47" t="n">
        <x:v>155.288</x:v>
      </x:c>
      <x:c r="F456" s="47" t="n">
        <x:v>266.264</x:v>
      </x:c>
      <x:c r="G456" s="47" t="n">
        <x:v>168.572</x:v>
      </x:c>
      <x:c r="H456" s="50" t="n">
        <x:v>0.235327</x:v>
      </x:c>
      <x:c r="I456" s="50" t="n">
        <x:v>0.196071</x:v>
      </x:c>
      <x:c r="J456" s="50" t="n">
        <x:v>0.435072</x:v>
      </x:c>
      <x:c r="K456" s="50" t="n">
        <x:v>0.212843</x:v>
      </x:c>
      <x:c r="L456" s="47" t="n">
        <x:v>612</x:v>
      </x:c>
      <x:c r="M456" s="47" t="n">
        <x:v>792</x:v>
      </x:c>
      <x:c r="N456" s="28" t="str">
        <x:v>top-left</x:v>
      </x:c>
      <x:c r="O456" s="28" t="str">
        <x:v>PDF points</x:v>
      </x:c>
    </x:row>
    <x:row r="457" ht="22" customHeight="1">
      <x:c r="A457" s="28" t="str">
        <x:v>ANC-JAM-022-01-R01</x:v>
      </x:c>
      <x:c r="B457" s="28" t="str">
        <x:v>ANC-JAM-022-01</x:v>
      </x:c>
      <x:c r="C457" s="28" t="n">
        <x:v>9</x:v>
      </x:c>
      <x:c r="D457" s="47" t="n">
        <x:v>108.02</x:v>
      </x:c>
      <x:c r="E457" s="47" t="n">
        <x:v>174.92</x:v>
      </x:c>
      <x:c r="F457" s="47" t="n">
        <x:v>112.22</x:v>
      </x:c>
      <x:c r="G457" s="47" t="n">
        <x:v>188.3</x:v>
      </x:c>
      <x:c r="H457" s="50" t="n">
        <x:v>0.176503</x:v>
      </x:c>
      <x:c r="I457" s="50" t="n">
        <x:v>0.220859</x:v>
      </x:c>
      <x:c r="J457" s="50" t="n">
        <x:v>0.183366</x:v>
      </x:c>
      <x:c r="K457" s="50" t="n">
        <x:v>0.237753</x:v>
      </x:c>
      <x:c r="L457" s="47" t="n">
        <x:v>612</x:v>
      </x:c>
      <x:c r="M457" s="47" t="n">
        <x:v>792</x:v>
      </x:c>
      <x:c r="N457" s="28" t="str">
        <x:v>top-left</x:v>
      </x:c>
      <x:c r="O457" s="28" t="str">
        <x:v>PDF points</x:v>
      </x:c>
    </x:row>
    <x:row r="458" ht="22" customHeight="1">
      <x:c r="A458" s="28" t="str">
        <x:v>ANC-JAM-022-01-R02</x:v>
      </x:c>
      <x:c r="B458" s="28" t="str">
        <x:v>ANC-JAM-022-01</x:v>
      </x:c>
      <x:c r="C458" s="28" t="n">
        <x:v>9</x:v>
      </x:c>
      <x:c r="D458" s="47" t="n">
        <x:v>144.02</x:v>
      </x:c>
      <x:c r="E458" s="47" t="n">
        <x:v>175.088</x:v>
      </x:c>
      <x:c r="F458" s="47" t="n">
        <x:v>515.792</x:v>
      </x:c>
      <x:c r="G458" s="47" t="n">
        <x:v>188.372</x:v>
      </x:c>
      <x:c r="H458" s="50" t="n">
        <x:v>0.235327</x:v>
      </x:c>
      <x:c r="I458" s="50" t="n">
        <x:v>0.221071</x:v>
      </x:c>
      <x:c r="J458" s="50" t="n">
        <x:v>0.842797</x:v>
      </x:c>
      <x:c r="K458" s="50" t="n">
        <x:v>0.237843</x:v>
      </x:c>
      <x:c r="L458" s="47" t="n">
        <x:v>612</x:v>
      </x:c>
      <x:c r="M458" s="47" t="n">
        <x:v>792</x:v>
      </x:c>
      <x:c r="N458" s="28" t="str">
        <x:v>top-left</x:v>
      </x:c>
      <x:c r="O458" s="28" t="str">
        <x:v>PDF points</x:v>
      </x:c>
    </x:row>
    <x:row r="459" ht="22" customHeight="1">
      <x:c r="A459" s="28" t="str">
        <x:v>ANC-JAM-022-01-R03</x:v>
      </x:c>
      <x:c r="B459" s="28" t="str">
        <x:v>ANC-JAM-022-01</x:v>
      </x:c>
      <x:c r="C459" s="28" t="n">
        <x:v>9</x:v>
      </x:c>
      <x:c r="D459" s="47" t="n">
        <x:v>144.02</x:v>
      </x:c>
      <x:c r="E459" s="47" t="n">
        <x:v>190.808</x:v>
      </x:c>
      <x:c r="F459" s="47" t="n">
        <x:v>505.532</x:v>
      </x:c>
      <x:c r="G459" s="47" t="n">
        <x:v>204.092</x:v>
      </x:c>
      <x:c r="H459" s="50" t="n">
        <x:v>0.235327</x:v>
      </x:c>
      <x:c r="I459" s="50" t="n">
        <x:v>0.240919</x:v>
      </x:c>
      <x:c r="J459" s="50" t="n">
        <x:v>0.826033</x:v>
      </x:c>
      <x:c r="K459" s="50" t="n">
        <x:v>0.257692</x:v>
      </x:c>
      <x:c r="L459" s="47" t="n">
        <x:v>612</x:v>
      </x:c>
      <x:c r="M459" s="47" t="n">
        <x:v>792</x:v>
      </x:c>
      <x:c r="N459" s="28" t="str">
        <x:v>top-left</x:v>
      </x:c>
      <x:c r="O459" s="28" t="str">
        <x:v>PDF points</x:v>
      </x:c>
    </x:row>
    <x:row r="460" ht="22" customHeight="1">
      <x:c r="A460" s="28" t="str">
        <x:v>ANC-JAM-022-01-R04</x:v>
      </x:c>
      <x:c r="B460" s="28" t="str">
        <x:v>ANC-JAM-022-01</x:v>
      </x:c>
      <x:c r="C460" s="28" t="n">
        <x:v>9</x:v>
      </x:c>
      <x:c r="D460" s="47" t="n">
        <x:v>144.02</x:v>
      </x:c>
      <x:c r="E460" s="47" t="n">
        <x:v>206.528</x:v>
      </x:c>
      <x:c r="F460" s="47" t="n">
        <x:v>437.72</x:v>
      </x:c>
      <x:c r="G460" s="47" t="n">
        <x:v>219.812</x:v>
      </x:c>
      <x:c r="H460" s="50" t="n">
        <x:v>0.235327</x:v>
      </x:c>
      <x:c r="I460" s="50" t="n">
        <x:v>0.260768</x:v>
      </x:c>
      <x:c r="J460" s="50" t="n">
        <x:v>0.715229</x:v>
      </x:c>
      <x:c r="K460" s="50" t="n">
        <x:v>0.27754</x:v>
      </x:c>
      <x:c r="L460" s="47" t="n">
        <x:v>612</x:v>
      </x:c>
      <x:c r="M460" s="47" t="n">
        <x:v>792</x:v>
      </x:c>
      <x:c r="N460" s="28" t="str">
        <x:v>top-left</x:v>
      </x:c>
      <x:c r="O460" s="28" t="str">
        <x:v>PDF points</x:v>
      </x:c>
    </x:row>
    <x:row r="461" ht="22" customHeight="1">
      <x:c r="A461" s="28" t="str">
        <x:v>ANC-JAM-023-01-R01</x:v>
      </x:c>
      <x:c r="B461" s="28" t="str">
        <x:v>ANC-JAM-023-01</x:v>
      </x:c>
      <x:c r="C461" s="28" t="n">
        <x:v>9</x:v>
      </x:c>
      <x:c r="D461" s="47" t="n">
        <x:v>108.02</x:v>
      </x:c>
      <x:c r="E461" s="47" t="n">
        <x:v>226.28</x:v>
      </x:c>
      <x:c r="F461" s="47" t="n">
        <x:v>112.22</x:v>
      </x:c>
      <x:c r="G461" s="47" t="n">
        <x:v>239.66</x:v>
      </x:c>
      <x:c r="H461" s="50" t="n">
        <x:v>0.176503</x:v>
      </x:c>
      <x:c r="I461" s="50" t="n">
        <x:v>0.285707</x:v>
      </x:c>
      <x:c r="J461" s="50" t="n">
        <x:v>0.183366</x:v>
      </x:c>
      <x:c r="K461" s="50" t="n">
        <x:v>0.302601</x:v>
      </x:c>
      <x:c r="L461" s="47" t="n">
        <x:v>612</x:v>
      </x:c>
      <x:c r="M461" s="47" t="n">
        <x:v>792</x:v>
      </x:c>
      <x:c r="N461" s="28" t="str">
        <x:v>top-left</x:v>
      </x:c>
      <x:c r="O461" s="28" t="str">
        <x:v>PDF points</x:v>
      </x:c>
    </x:row>
    <x:row r="462" ht="22" customHeight="1">
      <x:c r="A462" s="28" t="str">
        <x:v>ANC-JAM-023-01-R02</x:v>
      </x:c>
      <x:c r="B462" s="28" t="str">
        <x:v>ANC-JAM-023-01</x:v>
      </x:c>
      <x:c r="C462" s="28" t="n">
        <x:v>9</x:v>
      </x:c>
      <x:c r="D462" s="47" t="n">
        <x:v>144.02</x:v>
      </x:c>
      <x:c r="E462" s="47" t="n">
        <x:v>226.448</x:v>
      </x:c>
      <x:c r="F462" s="47" t="n">
        <x:v>506.18</x:v>
      </x:c>
      <x:c r="G462" s="47" t="n">
        <x:v>239.732</x:v>
      </x:c>
      <x:c r="H462" s="50" t="n">
        <x:v>0.235327</x:v>
      </x:c>
      <x:c r="I462" s="50" t="n">
        <x:v>0.285919</x:v>
      </x:c>
      <x:c r="J462" s="50" t="n">
        <x:v>0.827092</x:v>
      </x:c>
      <x:c r="K462" s="50" t="n">
        <x:v>0.302692</x:v>
      </x:c>
      <x:c r="L462" s="47" t="n">
        <x:v>612</x:v>
      </x:c>
      <x:c r="M462" s="47" t="n">
        <x:v>792</x:v>
      </x:c>
      <x:c r="N462" s="28" t="str">
        <x:v>top-left</x:v>
      </x:c>
      <x:c r="O462" s="28" t="str">
        <x:v>PDF points</x:v>
      </x:c>
    </x:row>
    <x:row r="463" ht="22" customHeight="1">
      <x:c r="A463" s="28" t="str">
        <x:v>ANC-JAM-023-01-R03</x:v>
      </x:c>
      <x:c r="B463" s="28" t="str">
        <x:v>ANC-JAM-023-01</x:v>
      </x:c>
      <x:c r="C463" s="28" t="n">
        <x:v>9</x:v>
      </x:c>
      <x:c r="D463" s="47" t="n">
        <x:v>144.02</x:v>
      </x:c>
      <x:c r="E463" s="47" t="n">
        <x:v>242.198</x:v>
      </x:c>
      <x:c r="F463" s="47" t="n">
        <x:v>535.598</x:v>
      </x:c>
      <x:c r="G463" s="47" t="n">
        <x:v>255.482</x:v>
      </x:c>
      <x:c r="H463" s="50" t="n">
        <x:v>0.235327</x:v>
      </x:c>
      <x:c r="I463" s="50" t="n">
        <x:v>0.305806</x:v>
      </x:c>
      <x:c r="J463" s="50" t="n">
        <x:v>0.87516</x:v>
      </x:c>
      <x:c r="K463" s="50" t="n">
        <x:v>0.322578</x:v>
      </x:c>
      <x:c r="L463" s="47" t="n">
        <x:v>612</x:v>
      </x:c>
      <x:c r="M463" s="47" t="n">
        <x:v>792</x:v>
      </x:c>
      <x:c r="N463" s="28" t="str">
        <x:v>top-left</x:v>
      </x:c>
      <x:c r="O463" s="28" t="str">
        <x:v>PDF points</x:v>
      </x:c>
    </x:row>
    <x:row r="464" ht="22" customHeight="1">
      <x:c r="A464" s="28" t="str">
        <x:v>ANC-JAM-023-01-R04</x:v>
      </x:c>
      <x:c r="B464" s="28" t="str">
        <x:v>ANC-JAM-023-01</x:v>
      </x:c>
      <x:c r="C464" s="28" t="n">
        <x:v>9</x:v>
      </x:c>
      <x:c r="D464" s="47" t="n">
        <x:v>144.02</x:v>
      </x:c>
      <x:c r="E464" s="47" t="n">
        <x:v>257.918</x:v>
      </x:c>
      <x:c r="F464" s="47" t="n">
        <x:v>186.38</x:v>
      </x:c>
      <x:c r="G464" s="47" t="n">
        <x:v>271.202</x:v>
      </x:c>
      <x:c r="H464" s="50" t="n">
        <x:v>0.235327</x:v>
      </x:c>
      <x:c r="I464" s="50" t="n">
        <x:v>0.325654</x:v>
      </x:c>
      <x:c r="J464" s="50" t="n">
        <x:v>0.304542</x:v>
      </x:c>
      <x:c r="K464" s="50" t="n">
        <x:v>0.342427</x:v>
      </x:c>
      <x:c r="L464" s="47" t="n">
        <x:v>612</x:v>
      </x:c>
      <x:c r="M464" s="47" t="n">
        <x:v>792</x:v>
      </x:c>
      <x:c r="N464" s="28" t="str">
        <x:v>top-left</x:v>
      </x:c>
      <x:c r="O464" s="28" t="str">
        <x:v>PDF points</x:v>
      </x:c>
    </x:row>
    <x:row r="465" ht="22" customHeight="1">
      <x:c r="A465" s="28" t="str">
        <x:v>ANC-JAM-024-01-R01</x:v>
      </x:c>
      <x:c r="B465" s="28" t="str">
        <x:v>ANC-JAM-024-01</x:v>
      </x:c>
      <x:c r="C465" s="28" t="n">
        <x:v>9</x:v>
      </x:c>
      <x:c r="D465" s="47" t="n">
        <x:v>72.024</x:v>
      </x:c>
      <x:c r="E465" s="47" t="n">
        <x:v>294.038</x:v>
      </x:c>
      <x:c r="F465" s="47" t="n">
        <x:v>78.024</x:v>
      </x:c>
      <x:c r="G465" s="47" t="n">
        <x:v>307.322</x:v>
      </x:c>
      <x:c r="H465" s="50" t="n">
        <x:v>0.117686</x:v>
      </x:c>
      <x:c r="I465" s="50" t="n">
        <x:v>0.37126</x:v>
      </x:c>
      <x:c r="J465" s="50" t="n">
        <x:v>0.12749</x:v>
      </x:c>
      <x:c r="K465" s="50" t="n">
        <x:v>0.388033</x:v>
      </x:c>
      <x:c r="L465" s="47" t="n">
        <x:v>612</x:v>
      </x:c>
      <x:c r="M465" s="47" t="n">
        <x:v>792</x:v>
      </x:c>
      <x:c r="N465" s="28" t="str">
        <x:v>top-left</x:v>
      </x:c>
      <x:c r="O465" s="28" t="str">
        <x:v>PDF points</x:v>
      </x:c>
    </x:row>
    <x:row r="466" ht="22" customHeight="1">
      <x:c r="A466" s="28" t="str">
        <x:v>ANC-JAM-024-01-R02</x:v>
      </x:c>
      <x:c r="B466" s="28" t="str">
        <x:v>ANC-JAM-024-01</x:v>
      </x:c>
      <x:c r="C466" s="28" t="n">
        <x:v>9</x:v>
      </x:c>
      <x:c r="D466" s="47" t="n">
        <x:v>93.624</x:v>
      </x:c>
      <x:c r="E466" s="47" t="n">
        <x:v>294.038</x:v>
      </x:c>
      <x:c r="F466" s="47" t="n">
        <x:v>237.18</x:v>
      </x:c>
      <x:c r="G466" s="47" t="n">
        <x:v>307.322</x:v>
      </x:c>
      <x:c r="H466" s="50" t="n">
        <x:v>0.15298</x:v>
      </x:c>
      <x:c r="I466" s="50" t="n">
        <x:v>0.37126</x:v>
      </x:c>
      <x:c r="J466" s="50" t="n">
        <x:v>0.387549</x:v>
      </x:c>
      <x:c r="K466" s="50" t="n">
        <x:v>0.388033</x:v>
      </x:c>
      <x:c r="L466" s="47" t="n">
        <x:v>612</x:v>
      </x:c>
      <x:c r="M466" s="47" t="n">
        <x:v>792</x:v>
      </x:c>
      <x:c r="N466" s="28" t="str">
        <x:v>top-left</x:v>
      </x:c>
      <x:c r="O466" s="28" t="str">
        <x:v>PDF points</x:v>
      </x:c>
    </x:row>
    <x:row r="467" ht="22" customHeight="1">
      <x:c r="A467" s="28" t="str">
        <x:v>ANC-JAM-024-01-R03</x:v>
      </x:c>
      <x:c r="B467" s="28" t="str">
        <x:v>ANC-JAM-024-01</x:v>
      </x:c>
      <x:c r="C467" s="28" t="n">
        <x:v>9</x:v>
      </x:c>
      <x:c r="D467" s="47" t="n">
        <x:v>72.024</x:v>
      </x:c>
      <x:c r="E467" s="47" t="n">
        <x:v>311.798</x:v>
      </x:c>
      <x:c r="F467" s="47" t="n">
        <x:v>539.724</x:v>
      </x:c>
      <x:c r="G467" s="47" t="n">
        <x:v>325.082</x:v>
      </x:c>
      <x:c r="H467" s="50" t="n">
        <x:v>0.117686</x:v>
      </x:c>
      <x:c r="I467" s="50" t="n">
        <x:v>0.393684</x:v>
      </x:c>
      <x:c r="J467" s="50" t="n">
        <x:v>0.881902</x:v>
      </x:c>
      <x:c r="K467" s="50" t="n">
        <x:v>0.410457</x:v>
      </x:c>
      <x:c r="L467" s="47" t="n">
        <x:v>612</x:v>
      </x:c>
      <x:c r="M467" s="47" t="n">
        <x:v>792</x:v>
      </x:c>
      <x:c r="N467" s="28" t="str">
        <x:v>top-left</x:v>
      </x:c>
      <x:c r="O467" s="28" t="str">
        <x:v>PDF points</x:v>
      </x:c>
    </x:row>
    <x:row r="468" ht="22" customHeight="1">
      <x:c r="A468" s="28" t="str">
        <x:v>ANC-JAM-024-01-R04</x:v>
      </x:c>
      <x:c r="B468" s="28" t="str">
        <x:v>ANC-JAM-024-01</x:v>
      </x:c>
      <x:c r="C468" s="28" t="n">
        <x:v>9</x:v>
      </x:c>
      <x:c r="D468" s="47" t="n">
        <x:v>72.024</x:v>
      </x:c>
      <x:c r="E468" s="47" t="n">
        <x:v>326.558</x:v>
      </x:c>
      <x:c r="F468" s="47" t="n">
        <x:v>539.664</x:v>
      </x:c>
      <x:c r="G468" s="47" t="n">
        <x:v>339.842</x:v>
      </x:c>
      <x:c r="H468" s="50" t="n">
        <x:v>0.117686</x:v>
      </x:c>
      <x:c r="I468" s="50" t="n">
        <x:v>0.412321</x:v>
      </x:c>
      <x:c r="J468" s="50" t="n">
        <x:v>0.881804</x:v>
      </x:c>
      <x:c r="K468" s="50" t="n">
        <x:v>0.429093</x:v>
      </x:c>
      <x:c r="L468" s="47" t="n">
        <x:v>612</x:v>
      </x:c>
      <x:c r="M468" s="47" t="n">
        <x:v>792</x:v>
      </x:c>
      <x:c r="N468" s="28" t="str">
        <x:v>top-left</x:v>
      </x:c>
      <x:c r="O468" s="28" t="str">
        <x:v>PDF points</x:v>
      </x:c>
    </x:row>
    <x:row r="469" ht="22" customHeight="1">
      <x:c r="A469" s="28" t="str">
        <x:v>ANC-JAM-024-01-R05</x:v>
      </x:c>
      <x:c r="B469" s="28" t="str">
        <x:v>ANC-JAM-024-01</x:v>
      </x:c>
      <x:c r="C469" s="28" t="n">
        <x:v>9</x:v>
      </x:c>
      <x:c r="D469" s="47" t="n">
        <x:v>72.024</x:v>
      </x:c>
      <x:c r="E469" s="47" t="n">
        <x:v>341.318</x:v>
      </x:c>
      <x:c r="F469" s="47" t="n">
        <x:v>539.76</x:v>
      </x:c>
      <x:c r="G469" s="47" t="n">
        <x:v>354.602</x:v>
      </x:c>
      <x:c r="H469" s="50" t="n">
        <x:v>0.117686</x:v>
      </x:c>
      <x:c r="I469" s="50" t="n">
        <x:v>0.430957</x:v>
      </x:c>
      <x:c r="J469" s="50" t="n">
        <x:v>0.881961</x:v>
      </x:c>
      <x:c r="K469" s="50" t="n">
        <x:v>0.44773</x:v>
      </x:c>
      <x:c r="L469" s="47" t="n">
        <x:v>612</x:v>
      </x:c>
      <x:c r="M469" s="47" t="n">
        <x:v>792</x:v>
      </x:c>
      <x:c r="N469" s="28" t="str">
        <x:v>top-left</x:v>
      </x:c>
      <x:c r="O469" s="28" t="str">
        <x:v>PDF points</x:v>
      </x:c>
    </x:row>
    <x:row r="470" ht="22" customHeight="1">
      <x:c r="A470" s="28" t="str">
        <x:v>ANC-JAM-024-01-R06</x:v>
      </x:c>
      <x:c r="B470" s="28" t="str">
        <x:v>ANC-JAM-024-01</x:v>
      </x:c>
      <x:c r="C470" s="28" t="n">
        <x:v>9</x:v>
      </x:c>
      <x:c r="D470" s="47" t="n">
        <x:v>72.024</x:v>
      </x:c>
      <x:c r="E470" s="47" t="n">
        <x:v>356.078</x:v>
      </x:c>
      <x:c r="F470" s="47" t="n">
        <x:v>539.944</x:v>
      </x:c>
      <x:c r="G470" s="47" t="n">
        <x:v>369.362</x:v>
      </x:c>
      <x:c r="H470" s="50" t="n">
        <x:v>0.117686</x:v>
      </x:c>
      <x:c r="I470" s="50" t="n">
        <x:v>0.449593</x:v>
      </x:c>
      <x:c r="J470" s="50" t="n">
        <x:v>0.882261</x:v>
      </x:c>
      <x:c r="K470" s="50" t="n">
        <x:v>0.466366</x:v>
      </x:c>
      <x:c r="L470" s="47" t="n">
        <x:v>612</x:v>
      </x:c>
      <x:c r="M470" s="47" t="n">
        <x:v>792</x:v>
      </x:c>
      <x:c r="N470" s="28" t="str">
        <x:v>top-left</x:v>
      </x:c>
      <x:c r="O470" s="28" t="str">
        <x:v>PDF points</x:v>
      </x:c>
    </x:row>
    <x:row r="471" ht="22" customHeight="1">
      <x:c r="A471" s="28" t="str">
        <x:v>ANC-JAM-025-01-R01</x:v>
      </x:c>
      <x:c r="B471" s="28" t="str">
        <x:v>ANC-JAM-025-01</x:v>
      </x:c>
      <x:c r="C471" s="28" t="n">
        <x:v>9</x:v>
      </x:c>
      <x:c r="D471" s="47" t="n">
        <x:v>108.02</x:v>
      </x:c>
      <x:c r="E471" s="47" t="n">
        <x:v>586.12</x:v>
      </x:c>
      <x:c r="F471" s="47" t="n">
        <x:v>112.22</x:v>
      </x:c>
      <x:c r="G471" s="47" t="n">
        <x:v>599.5</x:v>
      </x:c>
      <x:c r="H471" s="50" t="n">
        <x:v>0.176503</x:v>
      </x:c>
      <x:c r="I471" s="50" t="n">
        <x:v>0.74005</x:v>
      </x:c>
      <x:c r="J471" s="50" t="n">
        <x:v>0.183366</x:v>
      </x:c>
      <x:c r="K471" s="50" t="n">
        <x:v>0.756944</x:v>
      </x:c>
      <x:c r="L471" s="47" t="n">
        <x:v>612</x:v>
      </x:c>
      <x:c r="M471" s="47" t="n">
        <x:v>792</x:v>
      </x:c>
      <x:c r="N471" s="28" t="str">
        <x:v>top-left</x:v>
      </x:c>
      <x:c r="O471" s="28" t="str">
        <x:v>PDF points</x:v>
      </x:c>
    </x:row>
    <x:row r="472" ht="22" customHeight="1">
      <x:c r="A472" s="28" t="str">
        <x:v>ANC-JAM-025-01-R02</x:v>
      </x:c>
      <x:c r="B472" s="28" t="str">
        <x:v>ANC-JAM-025-01</x:v>
      </x:c>
      <x:c r="C472" s="28" t="n">
        <x:v>9</x:v>
      </x:c>
      <x:c r="D472" s="47" t="n">
        <x:v>144.02</x:v>
      </x:c>
      <x:c r="E472" s="47" t="n">
        <x:v>586.288</x:v>
      </x:c>
      <x:c r="F472" s="47" t="n">
        <x:v>494.894</x:v>
      </x:c>
      <x:c r="G472" s="47" t="n">
        <x:v>599.572</x:v>
      </x:c>
      <x:c r="H472" s="50" t="n">
        <x:v>0.235327</x:v>
      </x:c>
      <x:c r="I472" s="50" t="n">
        <x:v>0.740263</x:v>
      </x:c>
      <x:c r="J472" s="50" t="n">
        <x:v>0.80865</x:v>
      </x:c>
      <x:c r="K472" s="50" t="n">
        <x:v>0.757035</x:v>
      </x:c>
      <x:c r="L472" s="47" t="n">
        <x:v>612</x:v>
      </x:c>
      <x:c r="M472" s="47" t="n">
        <x:v>792</x:v>
      </x:c>
      <x:c r="N472" s="28" t="str">
        <x:v>top-left</x:v>
      </x:c>
      <x:c r="O472" s="28" t="str">
        <x:v>PDF points</x:v>
      </x:c>
    </x:row>
    <x:row r="473" ht="22" customHeight="1">
      <x:c r="A473" s="28" t="str">
        <x:v>ANC-JAM-025-01-R03</x:v>
      </x:c>
      <x:c r="B473" s="28" t="str">
        <x:v>ANC-JAM-025-01</x:v>
      </x:c>
      <x:c r="C473" s="28" t="n">
        <x:v>9</x:v>
      </x:c>
      <x:c r="D473" s="47" t="n">
        <x:v>144.02</x:v>
      </x:c>
      <x:c r="E473" s="47" t="n">
        <x:v>602.008</x:v>
      </x:c>
      <x:c r="F473" s="47" t="n">
        <x:v>515.852</x:v>
      </x:c>
      <x:c r="G473" s="47" t="n">
        <x:v>615.292</x:v>
      </x:c>
      <x:c r="H473" s="50" t="n">
        <x:v>0.235327</x:v>
      </x:c>
      <x:c r="I473" s="50" t="n">
        <x:v>0.760111</x:v>
      </x:c>
      <x:c r="J473" s="50" t="n">
        <x:v>0.842895</x:v>
      </x:c>
      <x:c r="K473" s="50" t="n">
        <x:v>0.776884</x:v>
      </x:c>
      <x:c r="L473" s="47" t="n">
        <x:v>612</x:v>
      </x:c>
      <x:c r="M473" s="47" t="n">
        <x:v>792</x:v>
      </x:c>
      <x:c r="N473" s="28" t="str">
        <x:v>top-left</x:v>
      </x:c>
      <x:c r="O473" s="28" t="str">
        <x:v>PDF points</x:v>
      </x:c>
    </x:row>
    <x:row r="474" ht="22" customHeight="1">
      <x:c r="A474" s="28" t="str">
        <x:v>ANC-JAM-025-01-R04</x:v>
      </x:c>
      <x:c r="B474" s="28" t="str">
        <x:v>ANC-JAM-025-01</x:v>
      </x:c>
      <x:c r="C474" s="28" t="n">
        <x:v>9</x:v>
      </x:c>
      <x:c r="D474" s="47" t="n">
        <x:v>144.02</x:v>
      </x:c>
      <x:c r="E474" s="47" t="n">
        <x:v>617.728</x:v>
      </x:c>
      <x:c r="F474" s="47" t="n">
        <x:v>188.996</x:v>
      </x:c>
      <x:c r="G474" s="47" t="n">
        <x:v>631.012</x:v>
      </x:c>
      <x:c r="H474" s="50" t="n">
        <x:v>0.235327</x:v>
      </x:c>
      <x:c r="I474" s="50" t="n">
        <x:v>0.77996</x:v>
      </x:c>
      <x:c r="J474" s="50" t="n">
        <x:v>0.308817</x:v>
      </x:c>
      <x:c r="K474" s="50" t="n">
        <x:v>0.796732</x:v>
      </x:c>
      <x:c r="L474" s="47" t="n">
        <x:v>612</x:v>
      </x:c>
      <x:c r="M474" s="47" t="n">
        <x:v>792</x:v>
      </x:c>
      <x:c r="N474" s="28" t="str">
        <x:v>top-left</x:v>
      </x:c>
      <x:c r="O474" s="28" t="str">
        <x:v>PDF points</x:v>
      </x:c>
    </x:row>
    <x:row r="475" ht="22" customHeight="1">
      <x:c r="A475" s="28" t="str">
        <x:v>ANC-JAM-026-01-R01</x:v>
      </x:c>
      <x:c r="B475" s="28" t="str">
        <x:v>ANC-JAM-026-01</x:v>
      </x:c>
      <x:c r="C475" s="28" t="n">
        <x:v>9</x:v>
      </x:c>
      <x:c r="D475" s="47" t="n">
        <x:v>108.02</x:v>
      </x:c>
      <x:c r="E475" s="47" t="n">
        <x:v>586.12</x:v>
      </x:c>
      <x:c r="F475" s="47" t="n">
        <x:v>112.22</x:v>
      </x:c>
      <x:c r="G475" s="47" t="n">
        <x:v>599.5</x:v>
      </x:c>
      <x:c r="H475" s="50" t="n">
        <x:v>0.176503</x:v>
      </x:c>
      <x:c r="I475" s="50" t="n">
        <x:v>0.74005</x:v>
      </x:c>
      <x:c r="J475" s="50" t="n">
        <x:v>0.183366</x:v>
      </x:c>
      <x:c r="K475" s="50" t="n">
        <x:v>0.756944</x:v>
      </x:c>
      <x:c r="L475" s="47" t="n">
        <x:v>612</x:v>
      </x:c>
      <x:c r="M475" s="47" t="n">
        <x:v>792</x:v>
      </x:c>
      <x:c r="N475" s="28" t="str">
        <x:v>top-left</x:v>
      </x:c>
      <x:c r="O475" s="28" t="str">
        <x:v>PDF points</x:v>
      </x:c>
    </x:row>
    <x:row r="476" ht="22" customHeight="1">
      <x:c r="A476" s="28" t="str">
        <x:v>ANC-JAM-026-01-R02</x:v>
      </x:c>
      <x:c r="B476" s="28" t="str">
        <x:v>ANC-JAM-026-01</x:v>
      </x:c>
      <x:c r="C476" s="28" t="n">
        <x:v>9</x:v>
      </x:c>
      <x:c r="D476" s="47" t="n">
        <x:v>144.02</x:v>
      </x:c>
      <x:c r="E476" s="47" t="n">
        <x:v>586.288</x:v>
      </x:c>
      <x:c r="F476" s="47" t="n">
        <x:v>494.894</x:v>
      </x:c>
      <x:c r="G476" s="47" t="n">
        <x:v>599.572</x:v>
      </x:c>
      <x:c r="H476" s="50" t="n">
        <x:v>0.235327</x:v>
      </x:c>
      <x:c r="I476" s="50" t="n">
        <x:v>0.740263</x:v>
      </x:c>
      <x:c r="J476" s="50" t="n">
        <x:v>0.80865</x:v>
      </x:c>
      <x:c r="K476" s="50" t="n">
        <x:v>0.757035</x:v>
      </x:c>
      <x:c r="L476" s="47" t="n">
        <x:v>612</x:v>
      </x:c>
      <x:c r="M476" s="47" t="n">
        <x:v>792</x:v>
      </x:c>
      <x:c r="N476" s="28" t="str">
        <x:v>top-left</x:v>
      </x:c>
      <x:c r="O476" s="28" t="str">
        <x:v>PDF points</x:v>
      </x:c>
    </x:row>
    <x:row r="477" ht="22" customHeight="1">
      <x:c r="A477" s="28" t="str">
        <x:v>ANC-JAM-026-01-R03</x:v>
      </x:c>
      <x:c r="B477" s="28" t="str">
        <x:v>ANC-JAM-026-01</x:v>
      </x:c>
      <x:c r="C477" s="28" t="n">
        <x:v>9</x:v>
      </x:c>
      <x:c r="D477" s="47" t="n">
        <x:v>144.02</x:v>
      </x:c>
      <x:c r="E477" s="47" t="n">
        <x:v>602.008</x:v>
      </x:c>
      <x:c r="F477" s="47" t="n">
        <x:v>515.852</x:v>
      </x:c>
      <x:c r="G477" s="47" t="n">
        <x:v>615.292</x:v>
      </x:c>
      <x:c r="H477" s="50" t="n">
        <x:v>0.235327</x:v>
      </x:c>
      <x:c r="I477" s="50" t="n">
        <x:v>0.760111</x:v>
      </x:c>
      <x:c r="J477" s="50" t="n">
        <x:v>0.842895</x:v>
      </x:c>
      <x:c r="K477" s="50" t="n">
        <x:v>0.776884</x:v>
      </x:c>
      <x:c r="L477" s="47" t="n">
        <x:v>612</x:v>
      </x:c>
      <x:c r="M477" s="47" t="n">
        <x:v>792</x:v>
      </x:c>
      <x:c r="N477" s="28" t="str">
        <x:v>top-left</x:v>
      </x:c>
      <x:c r="O477" s="28" t="str">
        <x:v>PDF points</x:v>
      </x:c>
    </x:row>
    <x:row r="478" ht="22" customHeight="1">
      <x:c r="A478" s="28" t="str">
        <x:v>ANC-JAM-026-01-R04</x:v>
      </x:c>
      <x:c r="B478" s="28" t="str">
        <x:v>ANC-JAM-026-01</x:v>
      </x:c>
      <x:c r="C478" s="28" t="n">
        <x:v>9</x:v>
      </x:c>
      <x:c r="D478" s="47" t="n">
        <x:v>144.02</x:v>
      </x:c>
      <x:c r="E478" s="47" t="n">
        <x:v>617.728</x:v>
      </x:c>
      <x:c r="F478" s="47" t="n">
        <x:v>188.996</x:v>
      </x:c>
      <x:c r="G478" s="47" t="n">
        <x:v>631.012</x:v>
      </x:c>
      <x:c r="H478" s="50" t="n">
        <x:v>0.235327</x:v>
      </x:c>
      <x:c r="I478" s="50" t="n">
        <x:v>0.77996</x:v>
      </x:c>
      <x:c r="J478" s="50" t="n">
        <x:v>0.308817</x:v>
      </x:c>
      <x:c r="K478" s="50" t="n">
        <x:v>0.796732</x:v>
      </x:c>
      <x:c r="L478" s="47" t="n">
        <x:v>612</x:v>
      </x:c>
      <x:c r="M478" s="47" t="n">
        <x:v>792</x:v>
      </x:c>
      <x:c r="N478" s="28" t="str">
        <x:v>top-left</x:v>
      </x:c>
      <x:c r="O478" s="28" t="str">
        <x:v>PDF points</x:v>
      </x:c>
    </x:row>
    <x:row r="479" ht="22" customHeight="1">
      <x:c r="A479" s="28" t="str">
        <x:v>ANC-JAM-027-01-R01</x:v>
      </x:c>
      <x:c r="B479" s="28" t="str">
        <x:v>ANC-JAM-027-01</x:v>
      </x:c>
      <x:c r="C479" s="28" t="n">
        <x:v>10</x:v>
      </x:c>
      <x:c r="D479" s="47" t="n">
        <x:v>72.024</x:v>
      </x:c>
      <x:c r="E479" s="47" t="n">
        <x:v>72.468</x:v>
      </x:c>
      <x:c r="F479" s="47" t="n">
        <x:v>539.748</x:v>
      </x:c>
      <x:c r="G479" s="47" t="n">
        <x:v>85.752</x:v>
      </x:c>
      <x:c r="H479" s="50" t="n">
        <x:v>0.117686</x:v>
      </x:c>
      <x:c r="I479" s="50" t="n">
        <x:v>0.0915</x:v>
      </x:c>
      <x:c r="J479" s="50" t="n">
        <x:v>0.881941</x:v>
      </x:c>
      <x:c r="K479" s="50" t="n">
        <x:v>0.108273</x:v>
      </x:c>
      <x:c r="L479" s="47" t="n">
        <x:v>612</x:v>
      </x:c>
      <x:c r="M479" s="47" t="n">
        <x:v>792</x:v>
      </x:c>
      <x:c r="N479" s="28" t="str">
        <x:v>top-left</x:v>
      </x:c>
      <x:c r="O479" s="28" t="str">
        <x:v>PDF points</x:v>
      </x:c>
    </x:row>
    <x:row r="480" ht="22" customHeight="1">
      <x:c r="A480" s="28" t="str">
        <x:v>ANC-JAM-027-01-R02</x:v>
      </x:c>
      <x:c r="B480" s="28" t="str">
        <x:v>ANC-JAM-027-01</x:v>
      </x:c>
      <x:c r="C480" s="28" t="n">
        <x:v>10</x:v>
      </x:c>
      <x:c r="D480" s="47" t="n">
        <x:v>72.024</x:v>
      </x:c>
      <x:c r="E480" s="47" t="n">
        <x:v>87.248</x:v>
      </x:c>
      <x:c r="F480" s="47" t="n">
        <x:v>369.828</x:v>
      </x:c>
      <x:c r="G480" s="47" t="n">
        <x:v>100.532</x:v>
      </x:c>
      <x:c r="H480" s="50" t="n">
        <x:v>0.117686</x:v>
      </x:c>
      <x:c r="I480" s="50" t="n">
        <x:v>0.110162</x:v>
      </x:c>
      <x:c r="J480" s="50" t="n">
        <x:v>0.604294</x:v>
      </x:c>
      <x:c r="K480" s="50" t="n">
        <x:v>0.126934</x:v>
      </x:c>
      <x:c r="L480" s="47" t="n">
        <x:v>612</x:v>
      </x:c>
      <x:c r="M480" s="47" t="n">
        <x:v>792</x:v>
      </x:c>
      <x:c r="N480" s="28" t="str">
        <x:v>top-left</x:v>
      </x:c>
      <x:c r="O480" s="28" t="str">
        <x:v>PDF points</x:v>
      </x:c>
    </x:row>
    <x:row r="481" ht="22" customHeight="1">
      <x:c r="A481" s="28" t="str">
        <x:v>ANC-JAM-028-01-R01</x:v>
      </x:c>
      <x:c r="B481" s="28" t="str">
        <x:v>ANC-JAM-028-01</x:v>
      </x:c>
      <x:c r="C481" s="28" t="n">
        <x:v>10</x:v>
      </x:c>
      <x:c r="D481" s="47" t="n">
        <x:v>128.652</x:v>
      </x:c>
      <x:c r="E481" s="47" t="n">
        <x:v>169.688</x:v>
      </x:c>
      <x:c r="F481" s="47" t="n">
        <x:v>539.856</x:v>
      </x:c>
      <x:c r="G481" s="47" t="n">
        <x:v>182.972</x:v>
      </x:c>
      <x:c r="H481" s="50" t="n">
        <x:v>0.210216</x:v>
      </x:c>
      <x:c r="I481" s="50" t="n">
        <x:v>0.214253</x:v>
      </x:c>
      <x:c r="J481" s="50" t="n">
        <x:v>0.882118</x:v>
      </x:c>
      <x:c r="K481" s="50" t="n">
        <x:v>0.231025</x:v>
      </x:c>
      <x:c r="L481" s="47" t="n">
        <x:v>612</x:v>
      </x:c>
      <x:c r="M481" s="47" t="n">
        <x:v>792</x:v>
      </x:c>
      <x:c r="N481" s="28" t="str">
        <x:v>top-left</x:v>
      </x:c>
      <x:c r="O481" s="28" t="str">
        <x:v>PDF points</x:v>
      </x:c>
    </x:row>
    <x:row r="482" ht="22" customHeight="1">
      <x:c r="A482" s="28" t="str">
        <x:v>ANC-JAM-028-01-R02</x:v>
      </x:c>
      <x:c r="B482" s="28" t="str">
        <x:v>ANC-JAM-028-01</x:v>
      </x:c>
      <x:c r="C482" s="28" t="n">
        <x:v>10</x:v>
      </x:c>
      <x:c r="D482" s="47" t="n">
        <x:v>72.024</x:v>
      </x:c>
      <x:c r="E482" s="47" t="n">
        <x:v>184.448</x:v>
      </x:c>
      <x:c r="F482" s="47" t="n">
        <x:v>397.812</x:v>
      </x:c>
      <x:c r="G482" s="47" t="n">
        <x:v>197.732</x:v>
      </x:c>
      <x:c r="H482" s="50" t="n">
        <x:v>0.117686</x:v>
      </x:c>
      <x:c r="I482" s="50" t="n">
        <x:v>0.232889</x:v>
      </x:c>
      <x:c r="J482" s="50" t="n">
        <x:v>0.65002</x:v>
      </x:c>
      <x:c r="K482" s="50" t="n">
        <x:v>0.249662</x:v>
      </x:c>
      <x:c r="L482" s="47" t="n">
        <x:v>612</x:v>
      </x:c>
      <x:c r="M482" s="47" t="n">
        <x:v>792</x:v>
      </x:c>
      <x:c r="N482" s="28" t="str">
        <x:v>top-left</x:v>
      </x:c>
      <x:c r="O482" s="28" t="str">
        <x:v>PDF points</x:v>
      </x:c>
    </x:row>
    <x:row r="483" ht="22" customHeight="1">
      <x:c r="A483" s="28" t="str">
        <x:v>ANC-JAM-029-01-R01</x:v>
      </x:c>
      <x:c r="B483" s="28" t="str">
        <x:v>ANC-JAM-029-01</x:v>
      </x:c>
      <x:c r="C483" s="28" t="n">
        <x:v>2</x:v>
      </x:c>
      <x:c r="D483" s="47" t="n">
        <x:v>72.024</x:v>
      </x:c>
      <x:c r="E483" s="47" t="n">
        <x:v>547.378</x:v>
      </x:c>
      <x:c r="F483" s="47" t="n">
        <x:v>78.024</x:v>
      </x:c>
      <x:c r="G483" s="47" t="n">
        <x:v>560.662</x:v>
      </x:c>
      <x:c r="H483" s="50" t="n">
        <x:v>0.117686</x:v>
      </x:c>
      <x:c r="I483" s="50" t="n">
        <x:v>0.691134</x:v>
      </x:c>
      <x:c r="J483" s="50" t="n">
        <x:v>0.12749</x:v>
      </x:c>
      <x:c r="K483" s="50" t="n">
        <x:v>0.707907</x:v>
      </x:c>
      <x:c r="L483" s="47" t="n">
        <x:v>612</x:v>
      </x:c>
      <x:c r="M483" s="47" t="n">
        <x:v>792</x:v>
      </x:c>
      <x:c r="N483" s="28" t="str">
        <x:v>top-left</x:v>
      </x:c>
      <x:c r="O483" s="28" t="str">
        <x:v>PDF points</x:v>
      </x:c>
    </x:row>
    <x:row r="484" ht="22" customHeight="1">
      <x:c r="A484" s="28" t="str">
        <x:v>ANC-JAM-029-01-R02</x:v>
      </x:c>
      <x:c r="B484" s="28" t="str">
        <x:v>ANC-JAM-029-01</x:v>
      </x:c>
      <x:c r="C484" s="28" t="n">
        <x:v>2</x:v>
      </x:c>
      <x:c r="D484" s="47" t="n">
        <x:v>93.624</x:v>
      </x:c>
      <x:c r="E484" s="47" t="n">
        <x:v>547.378</x:v>
      </x:c>
      <x:c r="F484" s="47" t="n">
        <x:v>224.88</x:v>
      </x:c>
      <x:c r="G484" s="47" t="n">
        <x:v>560.662</x:v>
      </x:c>
      <x:c r="H484" s="50" t="n">
        <x:v>0.15298</x:v>
      </x:c>
      <x:c r="I484" s="50" t="n">
        <x:v>0.691134</x:v>
      </x:c>
      <x:c r="J484" s="50" t="n">
        <x:v>0.367451</x:v>
      </x:c>
      <x:c r="K484" s="50" t="n">
        <x:v>0.707907</x:v>
      </x:c>
      <x:c r="L484" s="47" t="n">
        <x:v>612</x:v>
      </x:c>
      <x:c r="M484" s="47" t="n">
        <x:v>792</x:v>
      </x:c>
      <x:c r="N484" s="28" t="str">
        <x:v>top-left</x:v>
      </x:c>
      <x:c r="O484" s="28" t="str">
        <x:v>PDF points</x:v>
      </x:c>
    </x:row>
    <x:row r="485" ht="22" customHeight="1">
      <x:c r="A485" s="28" t="str">
        <x:v>ANC-JAM-029-01-R03</x:v>
      </x:c>
      <x:c r="B485" s="28" t="str">
        <x:v>ANC-JAM-029-01</x:v>
      </x:c>
      <x:c r="C485" s="28" t="n">
        <x:v>2</x:v>
      </x:c>
      <x:c r="D485" s="47" t="n">
        <x:v>72.024</x:v>
      </x:c>
      <x:c r="E485" s="47" t="n">
        <x:v>565.138</x:v>
      </x:c>
      <x:c r="F485" s="47" t="n">
        <x:v>539.88</x:v>
      </x:c>
      <x:c r="G485" s="47" t="n">
        <x:v>578.422</x:v>
      </x:c>
      <x:c r="H485" s="50" t="n">
        <x:v>0.117686</x:v>
      </x:c>
      <x:c r="I485" s="50" t="n">
        <x:v>0.713558</x:v>
      </x:c>
      <x:c r="J485" s="50" t="n">
        <x:v>0.882157</x:v>
      </x:c>
      <x:c r="K485" s="50" t="n">
        <x:v>0.730331</x:v>
      </x:c>
      <x:c r="L485" s="47" t="n">
        <x:v>612</x:v>
      </x:c>
      <x:c r="M485" s="47" t="n">
        <x:v>792</x:v>
      </x:c>
      <x:c r="N485" s="28" t="str">
        <x:v>top-left</x:v>
      </x:c>
      <x:c r="O485" s="28" t="str">
        <x:v>PDF points</x:v>
      </x:c>
    </x:row>
    <x:row r="486" ht="22" customHeight="1">
      <x:c r="A486" s="28" t="str">
        <x:v>ANC-JAM-029-01-R04</x:v>
      </x:c>
      <x:c r="B486" s="28" t="str">
        <x:v>ANC-JAM-029-01</x:v>
      </x:c>
      <x:c r="C486" s="28" t="n">
        <x:v>2</x:v>
      </x:c>
      <x:c r="D486" s="47" t="n">
        <x:v>72.024</x:v>
      </x:c>
      <x:c r="E486" s="47" t="n">
        <x:v>578.968</x:v>
      </x:c>
      <x:c r="F486" s="47" t="n">
        <x:v>357.444</x:v>
      </x:c>
      <x:c r="G486" s="47" t="n">
        <x:v>592.252</x:v>
      </x:c>
      <x:c r="H486" s="50" t="n">
        <x:v>0.117686</x:v>
      </x:c>
      <x:c r="I486" s="50" t="n">
        <x:v>0.73102</x:v>
      </x:c>
      <x:c r="J486" s="50" t="n">
        <x:v>0.584059</x:v>
      </x:c>
      <x:c r="K486" s="50" t="n">
        <x:v>0.747793</x:v>
      </x:c>
      <x:c r="L486" s="47" t="n">
        <x:v>612</x:v>
      </x:c>
      <x:c r="M486" s="47" t="n">
        <x:v>792</x:v>
      </x:c>
      <x:c r="N486" s="28" t="str">
        <x:v>top-left</x:v>
      </x:c>
      <x:c r="O486" s="28" t="str">
        <x:v>PDF points</x:v>
      </x:c>
    </x:row>
    <x:row r="487" ht="22" customHeight="1">
      <x:c r="A487" s="28" t="str">
        <x:v>ANC-JAM-030-01-R01</x:v>
      </x:c>
      <x:c r="B487" s="28" t="str">
        <x:v>ANC-JAM-030-01</x:v>
      </x:c>
      <x:c r="C487" s="28" t="n">
        <x:v>5</x:v>
      </x:c>
      <x:c r="D487" s="47" t="n">
        <x:v>90.024</x:v>
      </x:c>
      <x:c r="E487" s="47" t="n">
        <x:v>108.128</x:v>
      </x:c>
      <x:c r="F487" s="47" t="n">
        <x:v>501.386</x:v>
      </x:c>
      <x:c r="G487" s="47" t="n">
        <x:v>121.58</x:v>
      </x:c>
      <x:c r="H487" s="50" t="n">
        <x:v>0.147098</x:v>
      </x:c>
      <x:c r="I487" s="50" t="n">
        <x:v>0.136525</x:v>
      </x:c>
      <x:c r="J487" s="50" t="n">
        <x:v>0.819258</x:v>
      </x:c>
      <x:c r="K487" s="50" t="n">
        <x:v>0.15351</x:v>
      </x:c>
      <x:c r="L487" s="47" t="n">
        <x:v>612</x:v>
      </x:c>
      <x:c r="M487" s="47" t="n">
        <x:v>792</x:v>
      </x:c>
      <x:c r="N487" s="28" t="str">
        <x:v>top-left</x:v>
      </x:c>
      <x:c r="O487" s="28" t="str">
        <x:v>PDF points</x:v>
      </x:c>
    </x:row>
    <x:row r="488" ht="22" customHeight="1">
      <x:c r="A488" s="28" t="str">
        <x:v>ANC-JAM-030-01-R02</x:v>
      </x:c>
      <x:c r="B488" s="28" t="str">
        <x:v>ANC-JAM-030-01</x:v>
      </x:c>
      <x:c r="C488" s="28" t="n">
        <x:v>5</x:v>
      </x:c>
      <x:c r="D488" s="47" t="n">
        <x:v>108.02</x:v>
      </x:c>
      <x:c r="E488" s="47" t="n">
        <x:v>122.888</x:v>
      </x:c>
      <x:c r="F488" s="47" t="n">
        <x:v>536.582</x:v>
      </x:c>
      <x:c r="G488" s="47" t="n">
        <x:v>136.172</x:v>
      </x:c>
      <x:c r="H488" s="50" t="n">
        <x:v>0.176503</x:v>
      </x:c>
      <x:c r="I488" s="50" t="n">
        <x:v>0.155162</x:v>
      </x:c>
      <x:c r="J488" s="50" t="n">
        <x:v>0.876768</x:v>
      </x:c>
      <x:c r="K488" s="50" t="n">
        <x:v>0.171934</x:v>
      </x:c>
      <x:c r="L488" s="47" t="n">
        <x:v>612</x:v>
      </x:c>
      <x:c r="M488" s="47" t="n">
        <x:v>792</x:v>
      </x:c>
      <x:c r="N488" s="28" t="str">
        <x:v>top-left</x:v>
      </x:c>
      <x:c r="O488" s="28" t="str">
        <x:v>PDF points</x:v>
      </x:c>
    </x:row>
    <x:row r="489" ht="22" customHeight="1">
      <x:c r="A489" s="28" t="str">
        <x:v>ANC-JAM-030-01-R03</x:v>
      </x:c>
      <x:c r="B489" s="28" t="str">
        <x:v>ANC-JAM-030-01</x:v>
      </x:c>
      <x:c r="C489" s="28" t="n">
        <x:v>5</x:v>
      </x:c>
      <x:c r="D489" s="47" t="n">
        <x:v>108.02</x:v>
      </x:c>
      <x:c r="E489" s="47" t="n">
        <x:v>137.648</x:v>
      </x:c>
      <x:c r="F489" s="47" t="n">
        <x:v>523.328</x:v>
      </x:c>
      <x:c r="G489" s="47" t="n">
        <x:v>150.932</x:v>
      </x:c>
      <x:c r="H489" s="50" t="n">
        <x:v>0.176503</x:v>
      </x:c>
      <x:c r="I489" s="50" t="n">
        <x:v>0.173798</x:v>
      </x:c>
      <x:c r="J489" s="50" t="n">
        <x:v>0.855111</x:v>
      </x:c>
      <x:c r="K489" s="50" t="n">
        <x:v>0.190571</x:v>
      </x:c>
      <x:c r="L489" s="47" t="n">
        <x:v>612</x:v>
      </x:c>
      <x:c r="M489" s="47" t="n">
        <x:v>792</x:v>
      </x:c>
      <x:c r="N489" s="28" t="str">
        <x:v>top-left</x:v>
      </x:c>
      <x:c r="O489" s="28" t="str">
        <x:v>PDF points</x:v>
      </x:c>
    </x:row>
    <x:row r="490" ht="22" customHeight="1">
      <x:c r="A490" s="28" t="str">
        <x:v>ANC-JAM-031-01-R01</x:v>
      </x:c>
      <x:c r="B490" s="28" t="str">
        <x:v>ANC-JAM-031-01</x:v>
      </x:c>
      <x:c r="C490" s="28" t="n">
        <x:v>5</x:v>
      </x:c>
      <x:c r="D490" s="47" t="n">
        <x:v>90.024</x:v>
      </x:c>
      <x:c r="E490" s="47" t="n">
        <x:v>186.008</x:v>
      </x:c>
      <x:c r="F490" s="47" t="n">
        <x:v>539.216</x:v>
      </x:c>
      <x:c r="G490" s="47" t="n">
        <x:v>199.46</x:v>
      </x:c>
      <x:c r="H490" s="50" t="n">
        <x:v>0.147098</x:v>
      </x:c>
      <x:c r="I490" s="50" t="n">
        <x:v>0.234859</x:v>
      </x:c>
      <x:c r="J490" s="50" t="n">
        <x:v>0.881072</x:v>
      </x:c>
      <x:c r="K490" s="50" t="n">
        <x:v>0.251843</x:v>
      </x:c>
      <x:c r="L490" s="47" t="n">
        <x:v>612</x:v>
      </x:c>
      <x:c r="M490" s="47" t="n">
        <x:v>792</x:v>
      </x:c>
      <x:c r="N490" s="28" t="str">
        <x:v>top-left</x:v>
      </x:c>
      <x:c r="O490" s="28" t="str">
        <x:v>PDF points</x:v>
      </x:c>
    </x:row>
    <x:row r="491" ht="22" customHeight="1">
      <x:c r="A491" s="28" t="str">
        <x:v>ANC-JAM-031-01-R02</x:v>
      </x:c>
      <x:c r="B491" s="28" t="str">
        <x:v>ANC-JAM-031-01</x:v>
      </x:c>
      <x:c r="C491" s="28" t="n">
        <x:v>5</x:v>
      </x:c>
      <x:c r="D491" s="47" t="n">
        <x:v>108.02</x:v>
      </x:c>
      <x:c r="E491" s="47" t="n">
        <x:v>200.768</x:v>
      </x:c>
      <x:c r="F491" s="47" t="n">
        <x:v>491.444</x:v>
      </x:c>
      <x:c r="G491" s="47" t="n">
        <x:v>214.052</x:v>
      </x:c>
      <x:c r="H491" s="50" t="n">
        <x:v>0.176503</x:v>
      </x:c>
      <x:c r="I491" s="50" t="n">
        <x:v>0.253495</x:v>
      </x:c>
      <x:c r="J491" s="50" t="n">
        <x:v>0.803013</x:v>
      </x:c>
      <x:c r="K491" s="50" t="n">
        <x:v>0.270268</x:v>
      </x:c>
      <x:c r="L491" s="47" t="n">
        <x:v>612</x:v>
      </x:c>
      <x:c r="M491" s="47" t="n">
        <x:v>792</x:v>
      </x:c>
      <x:c r="N491" s="28" t="str">
        <x:v>top-left</x:v>
      </x:c>
      <x:c r="O491" s="28" t="str">
        <x:v>PDF points</x:v>
      </x:c>
    </x:row>
    <x:row r="492" ht="22" customHeight="1">
      <x:c r="A492" s="28" t="str">
        <x:v>ANC-JAM-031-01-R03</x:v>
      </x:c>
      <x:c r="B492" s="28" t="str">
        <x:v>ANC-JAM-031-01</x:v>
      </x:c>
      <x:c r="C492" s="28" t="n">
        <x:v>5</x:v>
      </x:c>
      <x:c r="D492" s="47" t="n">
        <x:v>108.02</x:v>
      </x:c>
      <x:c r="E492" s="47" t="n">
        <x:v>215.528</x:v>
      </x:c>
      <x:c r="F492" s="47" t="n">
        <x:v>509.984</x:v>
      </x:c>
      <x:c r="G492" s="47" t="n">
        <x:v>228.812</x:v>
      </x:c>
      <x:c r="H492" s="50" t="n">
        <x:v>0.176503</x:v>
      </x:c>
      <x:c r="I492" s="50" t="n">
        <x:v>0.272131</x:v>
      </x:c>
      <x:c r="J492" s="50" t="n">
        <x:v>0.833307</x:v>
      </x:c>
      <x:c r="K492" s="50" t="n">
        <x:v>0.288904</x:v>
      </x:c>
      <x:c r="L492" s="47" t="n">
        <x:v>612</x:v>
      </x:c>
      <x:c r="M492" s="47" t="n">
        <x:v>792</x:v>
      </x:c>
      <x:c r="N492" s="28" t="str">
        <x:v>top-left</x:v>
      </x:c>
      <x:c r="O492" s="28" t="str">
        <x:v>PDF points</x:v>
      </x:c>
    </x:row>
    <x:row r="493" ht="22" customHeight="1">
      <x:c r="A493" s="28" t="str">
        <x:v>ANC-JAM-032-01-R01</x:v>
      </x:c>
      <x:c r="B493" s="28" t="str">
        <x:v>ANC-JAM-032-01</x:v>
      </x:c>
      <x:c r="C493" s="28" t="n">
        <x:v>5</x:v>
      </x:c>
      <x:c r="D493" s="47" t="n">
        <x:v>90.024</x:v>
      </x:c>
      <x:c r="E493" s="47" t="n">
        <x:v>301.478</x:v>
      </x:c>
      <x:c r="F493" s="47" t="n">
        <x:v>516.356</x:v>
      </x:c>
      <x:c r="G493" s="47" t="n">
        <x:v>314.93</x:v>
      </x:c>
      <x:c r="H493" s="50" t="n">
        <x:v>0.147098</x:v>
      </x:c>
      <x:c r="I493" s="50" t="n">
        <x:v>0.380654</x:v>
      </x:c>
      <x:c r="J493" s="50" t="n">
        <x:v>0.843719</x:v>
      </x:c>
      <x:c r="K493" s="50" t="n">
        <x:v>0.397639</x:v>
      </x:c>
      <x:c r="L493" s="47" t="n">
        <x:v>612</x:v>
      </x:c>
      <x:c r="M493" s="47" t="n">
        <x:v>792</x:v>
      </x:c>
      <x:c r="N493" s="28" t="str">
        <x:v>top-left</x:v>
      </x:c>
      <x:c r="O493" s="28" t="str">
        <x:v>PDF points</x:v>
      </x:c>
    </x:row>
    <x:row r="494" ht="22" customHeight="1">
      <x:c r="A494" s="28" t="str">
        <x:v>ANC-JAM-033-01-R01</x:v>
      </x:c>
      <x:c r="B494" s="28" t="str">
        <x:v>ANC-JAM-033-01</x:v>
      </x:c>
      <x:c r="C494" s="28" t="n">
        <x:v>5</x:v>
      </x:c>
      <x:c r="D494" s="47" t="n">
        <x:v>268.34</x:v>
      </x:c>
      <x:c r="E494" s="47" t="n">
        <x:v>524.338</x:v>
      </x:c>
      <x:c r="F494" s="47" t="n">
        <x:v>539.774</x:v>
      </x:c>
      <x:c r="G494" s="47" t="n">
        <x:v>537.622</x:v>
      </x:c>
      <x:c r="H494" s="50" t="n">
        <x:v>0.438464</x:v>
      </x:c>
      <x:c r="I494" s="50" t="n">
        <x:v>0.662043</x:v>
      </x:c>
      <x:c r="J494" s="50" t="n">
        <x:v>0.881984</x:v>
      </x:c>
      <x:c r="K494" s="50" t="n">
        <x:v>0.678816</x:v>
      </x:c>
      <x:c r="L494" s="47" t="n">
        <x:v>612</x:v>
      </x:c>
      <x:c r="M494" s="47" t="n">
        <x:v>792</x:v>
      </x:c>
      <x:c r="N494" s="28" t="str">
        <x:v>top-left</x:v>
      </x:c>
      <x:c r="O494" s="28" t="str">
        <x:v>PDF points</x:v>
      </x:c>
    </x:row>
    <x:row r="495" ht="22" customHeight="1">
      <x:c r="A495" s="28" t="str">
        <x:v>ANC-JAM-033-01-R02</x:v>
      </x:c>
      <x:c r="B495" s="28" t="str">
        <x:v>ANC-JAM-033-01</x:v>
      </x:c>
      <x:c r="C495" s="28" t="n">
        <x:v>5</x:v>
      </x:c>
      <x:c r="D495" s="47" t="n">
        <x:v>108.02</x:v>
      </x:c>
      <x:c r="E495" s="47" t="n">
        <x:v>539.098</x:v>
      </x:c>
      <x:c r="F495" s="47" t="n">
        <x:v>212.876</x:v>
      </x:c>
      <x:c r="G495" s="47" t="n">
        <x:v>552.382</x:v>
      </x:c>
      <x:c r="H495" s="50" t="n">
        <x:v>0.176503</x:v>
      </x:c>
      <x:c r="I495" s="50" t="n">
        <x:v>0.680679</x:v>
      </x:c>
      <x:c r="J495" s="50" t="n">
        <x:v>0.347837</x:v>
      </x:c>
      <x:c r="K495" s="50" t="n">
        <x:v>0.697452</x:v>
      </x:c>
      <x:c r="L495" s="47" t="n">
        <x:v>612</x:v>
      </x:c>
      <x:c r="M495" s="47" t="n">
        <x:v>792</x:v>
      </x:c>
      <x:c r="N495" s="28" t="str">
        <x:v>top-left</x:v>
      </x:c>
      <x:c r="O495" s="28" t="str">
        <x:v>PDF points</x:v>
      </x:c>
    </x:row>
    <x:row r="496" ht="22" customHeight="1">
      <x:c r="A496" s="28" t="str">
        <x:v>ANC-JAM-033-01-R03</x:v>
      </x:c>
      <x:c r="B496" s="28" t="str">
        <x:v>ANC-JAM-033-01</x:v>
      </x:c>
      <x:c r="C496" s="28" t="n">
        <x:v>5</x:v>
      </x:c>
      <x:c r="D496" s="47" t="n">
        <x:v>90.024</x:v>
      </x:c>
      <x:c r="E496" s="47" t="n">
        <x:v>557.818</x:v>
      </x:c>
      <x:c r="F496" s="47" t="n">
        <x:v>277.508</x:v>
      </x:c>
      <x:c r="G496" s="47" t="n">
        <x:v>571.27</x:v>
      </x:c>
      <x:c r="H496" s="50" t="n">
        <x:v>0.147098</x:v>
      </x:c>
      <x:c r="I496" s="50" t="n">
        <x:v>0.704316</x:v>
      </x:c>
      <x:c r="J496" s="50" t="n">
        <x:v>0.453444</x:v>
      </x:c>
      <x:c r="K496" s="50" t="n">
        <x:v>0.721301</x:v>
      </x:c>
      <x:c r="L496" s="47" t="n">
        <x:v>612</x:v>
      </x:c>
      <x:c r="M496" s="47" t="n">
        <x:v>792</x:v>
      </x:c>
      <x:c r="N496" s="28" t="str">
        <x:v>top-left</x:v>
      </x:c>
      <x:c r="O496" s="28" t="str">
        <x:v>PDF points</x:v>
      </x:c>
    </x:row>
    <x:row r="497" ht="22" customHeight="1">
      <x:c r="A497" s="28" t="str">
        <x:v>ANC-JAM-033-01-R04</x:v>
      </x:c>
      <x:c r="B497" s="28" t="str">
        <x:v>ANC-JAM-033-01</x:v>
      </x:c>
      <x:c r="C497" s="28" t="n">
        <x:v>5</x:v>
      </x:c>
      <x:c r="D497" s="47" t="n">
        <x:v>120.14</x:v>
      </x:c>
      <x:c r="E497" s="47" t="n">
        <x:v>579.1</x:v>
      </x:c>
      <x:c r="F497" s="47" t="n">
        <x:v>126.005</x:v>
      </x:c>
      <x:c r="G497" s="47" t="n">
        <x:v>590.14</x:v>
      </x:c>
      <x:c r="H497" s="50" t="n">
        <x:v>0.196307</x:v>
      </x:c>
      <x:c r="I497" s="50" t="n">
        <x:v>0.731187</x:v>
      </x:c>
      <x:c r="J497" s="50" t="n">
        <x:v>0.205891</x:v>
      </x:c>
      <x:c r="K497" s="50" t="n">
        <x:v>0.745126</x:v>
      </x:c>
      <x:c r="L497" s="47" t="n">
        <x:v>612</x:v>
      </x:c>
      <x:c r="M497" s="47" t="n">
        <x:v>792</x:v>
      </x:c>
      <x:c r="N497" s="28" t="str">
        <x:v>top-left</x:v>
      </x:c>
      <x:c r="O497" s="28" t="str">
        <x:v>PDF points</x:v>
      </x:c>
    </x:row>
    <x:row r="498" ht="22" customHeight="1">
      <x:c r="A498" s="28" t="str">
        <x:v>ANC-JAM-033-01-R05</x:v>
      </x:c>
      <x:c r="B498" s="28" t="str">
        <x:v>ANC-JAM-033-01</x:v>
      </x:c>
      <x:c r="C498" s="28" t="n">
        <x:v>5</x:v>
      </x:c>
      <x:c r="D498" s="47" t="n">
        <x:v>144.02</x:v>
      </x:c>
      <x:c r="E498" s="47" t="n">
        <x:v>576.688</x:v>
      </x:c>
      <x:c r="F498" s="47" t="n">
        <x:v>539.708</x:v>
      </x:c>
      <x:c r="G498" s="47" t="n">
        <x:v>589.972</x:v>
      </x:c>
      <x:c r="H498" s="50" t="n">
        <x:v>0.235327</x:v>
      </x:c>
      <x:c r="I498" s="50" t="n">
        <x:v>0.728141</x:v>
      </x:c>
      <x:c r="J498" s="50" t="n">
        <x:v>0.881876</x:v>
      </x:c>
      <x:c r="K498" s="50" t="n">
        <x:v>0.744914</x:v>
      </x:c>
      <x:c r="L498" s="47" t="n">
        <x:v>612</x:v>
      </x:c>
      <x:c r="M498" s="47" t="n">
        <x:v>792</x:v>
      </x:c>
      <x:c r="N498" s="28" t="str">
        <x:v>top-left</x:v>
      </x:c>
      <x:c r="O498" s="28" t="str">
        <x:v>PDF points</x:v>
      </x:c>
    </x:row>
    <x:row r="499" ht="22" customHeight="1">
      <x:c r="A499" s="28" t="str">
        <x:v>ANC-JAM-033-01-R06</x:v>
      </x:c>
      <x:c r="B499" s="28" t="str">
        <x:v>ANC-JAM-033-01</x:v>
      </x:c>
      <x:c r="C499" s="28" t="n">
        <x:v>5</x:v>
      </x:c>
      <x:c r="D499" s="47" t="n">
        <x:v>144.02</x:v>
      </x:c>
      <x:c r="E499" s="47" t="n">
        <x:v>591.448</x:v>
      </x:c>
      <x:c r="F499" s="47" t="n">
        <x:v>539.822</x:v>
      </x:c>
      <x:c r="G499" s="47" t="n">
        <x:v>604.732</x:v>
      </x:c>
      <x:c r="H499" s="50" t="n">
        <x:v>0.235327</x:v>
      </x:c>
      <x:c r="I499" s="50" t="n">
        <x:v>0.746778</x:v>
      </x:c>
      <x:c r="J499" s="50" t="n">
        <x:v>0.882062</x:v>
      </x:c>
      <x:c r="K499" s="50" t="n">
        <x:v>0.76355</x:v>
      </x:c>
      <x:c r="L499" s="47" t="n">
        <x:v>612</x:v>
      </x:c>
      <x:c r="M499" s="47" t="n">
        <x:v>792</x:v>
      </x:c>
      <x:c r="N499" s="28" t="str">
        <x:v>top-left</x:v>
      </x:c>
      <x:c r="O499" s="28" t="str">
        <x:v>PDF points</x:v>
      </x:c>
    </x:row>
    <x:row r="500" ht="22" customHeight="1">
      <x:c r="A500" s="28" t="str">
        <x:v>ANC-JAM-033-01-R07</x:v>
      </x:c>
      <x:c r="B500" s="28" t="str">
        <x:v>ANC-JAM-033-01</x:v>
      </x:c>
      <x:c r="C500" s="28" t="n">
        <x:v>5</x:v>
      </x:c>
      <x:c r="D500" s="47" t="n">
        <x:v>144.02</x:v>
      </x:c>
      <x:c r="E500" s="47" t="n">
        <x:v>606.208</x:v>
      </x:c>
      <x:c r="F500" s="47" t="n">
        <x:v>191.636</x:v>
      </x:c>
      <x:c r="G500" s="47" t="n">
        <x:v>619.492</x:v>
      </x:c>
      <x:c r="H500" s="50" t="n">
        <x:v>0.235327</x:v>
      </x:c>
      <x:c r="I500" s="50" t="n">
        <x:v>0.765414</x:v>
      </x:c>
      <x:c r="J500" s="50" t="n">
        <x:v>0.313131</x:v>
      </x:c>
      <x:c r="K500" s="50" t="n">
        <x:v>0.782187</x:v>
      </x:c>
      <x:c r="L500" s="47" t="n">
        <x:v>612</x:v>
      </x:c>
      <x:c r="M500" s="47" t="n">
        <x:v>792</x:v>
      </x:c>
      <x:c r="N500" s="28" t="str">
        <x:v>top-left</x:v>
      </x:c>
      <x:c r="O500" s="28" t="str">
        <x:v>PDF points</x:v>
      </x:c>
    </x:row>
    <x:row r="501" ht="22" customHeight="1">
      <x:c r="A501" s="28" t="str">
        <x:v>ANC-JAM-034-01-R01</x:v>
      </x:c>
      <x:c r="B501" s="28" t="str">
        <x:v>ANC-JAM-034-01</x:v>
      </x:c>
      <x:c r="C501" s="28" t="n">
        <x:v>6</x:v>
      </x:c>
      <x:c r="D501" s="47" t="n">
        <x:v>90.024</x:v>
      </x:c>
      <x:c r="E501" s="47" t="n">
        <x:v>72.468</x:v>
      </x:c>
      <x:c r="F501" s="47" t="n">
        <x:v>313.628</x:v>
      </x:c>
      <x:c r="G501" s="47" t="n">
        <x:v>85.92</x:v>
      </x:c>
      <x:c r="H501" s="50" t="n">
        <x:v>0.147098</x:v>
      </x:c>
      <x:c r="I501" s="50" t="n">
        <x:v>0.0915</x:v>
      </x:c>
      <x:c r="J501" s="50" t="n">
        <x:v>0.512464</x:v>
      </x:c>
      <x:c r="K501" s="50" t="n">
        <x:v>0.108485</x:v>
      </x:c>
      <x:c r="L501" s="47" t="n">
        <x:v>612</x:v>
      </x:c>
      <x:c r="M501" s="47" t="n">
        <x:v>792</x:v>
      </x:c>
      <x:c r="N501" s="28" t="str">
        <x:v>top-left</x:v>
      </x:c>
      <x:c r="O501" s="28" t="str">
        <x:v>PDF points</x:v>
      </x:c>
    </x:row>
    <x:row r="502" ht="22" customHeight="1">
      <x:c r="A502" s="28" t="str">
        <x:v>ANC-JAM-034-01-R02</x:v>
      </x:c>
      <x:c r="B502" s="28" t="str">
        <x:v>ANC-JAM-034-01</x:v>
      </x:c>
      <x:c r="C502" s="28" t="n">
        <x:v>6</x:v>
      </x:c>
      <x:c r="D502" s="47" t="n">
        <x:v>120.14</x:v>
      </x:c>
      <x:c r="E502" s="47" t="n">
        <x:v>93.62</x:v>
      </x:c>
      <x:c r="F502" s="47" t="n">
        <x:v>126.005</x:v>
      </x:c>
      <x:c r="G502" s="47" t="n">
        <x:v>104.66</x:v>
      </x:c>
      <x:c r="H502" s="50" t="n">
        <x:v>0.196307</x:v>
      </x:c>
      <x:c r="I502" s="50" t="n">
        <x:v>0.118207</x:v>
      </x:c>
      <x:c r="J502" s="50" t="n">
        <x:v>0.205891</x:v>
      </x:c>
      <x:c r="K502" s="50" t="n">
        <x:v>0.132146</x:v>
      </x:c>
      <x:c r="L502" s="47" t="n">
        <x:v>612</x:v>
      </x:c>
      <x:c r="M502" s="47" t="n">
        <x:v>792</x:v>
      </x:c>
      <x:c r="N502" s="28" t="str">
        <x:v>top-left</x:v>
      </x:c>
      <x:c r="O502" s="28" t="str">
        <x:v>PDF points</x:v>
      </x:c>
    </x:row>
    <x:row r="503" ht="22" customHeight="1">
      <x:c r="A503" s="28" t="str">
        <x:v>ANC-JAM-034-01-R03</x:v>
      </x:c>
      <x:c r="B503" s="28" t="str">
        <x:v>ANC-JAM-034-01</x:v>
      </x:c>
      <x:c r="C503" s="28" t="n">
        <x:v>6</x:v>
      </x:c>
      <x:c r="D503" s="47" t="n">
        <x:v>144.02</x:v>
      </x:c>
      <x:c r="E503" s="47" t="n">
        <x:v>91.208</x:v>
      </x:c>
      <x:c r="F503" s="47" t="n">
        <x:v>539.87</x:v>
      </x:c>
      <x:c r="G503" s="47" t="n">
        <x:v>104.492</x:v>
      </x:c>
      <x:c r="H503" s="50" t="n">
        <x:v>0.235327</x:v>
      </x:c>
      <x:c r="I503" s="50" t="n">
        <x:v>0.115162</x:v>
      </x:c>
      <x:c r="J503" s="50" t="n">
        <x:v>0.88214</x:v>
      </x:c>
      <x:c r="K503" s="50" t="n">
        <x:v>0.131934</x:v>
      </x:c>
      <x:c r="L503" s="47" t="n">
        <x:v>612</x:v>
      </x:c>
      <x:c r="M503" s="47" t="n">
        <x:v>792</x:v>
      </x:c>
      <x:c r="N503" s="28" t="str">
        <x:v>top-left</x:v>
      </x:c>
      <x:c r="O503" s="28" t="str">
        <x:v>PDF points</x:v>
      </x:c>
    </x:row>
    <x:row r="504" ht="22" customHeight="1">
      <x:c r="A504" s="28" t="str">
        <x:v>ANC-JAM-034-01-R04</x:v>
      </x:c>
      <x:c r="B504" s="28" t="str">
        <x:v>ANC-JAM-034-01</x:v>
      </x:c>
      <x:c r="C504" s="28" t="n">
        <x:v>6</x:v>
      </x:c>
      <x:c r="D504" s="47" t="n">
        <x:v>144.02</x:v>
      </x:c>
      <x:c r="E504" s="47" t="n">
        <x:v>106.088</x:v>
      </x:c>
      <x:c r="F504" s="47" t="n">
        <x:v>539.684</x:v>
      </x:c>
      <x:c r="G504" s="47" t="n">
        <x:v>119.372</x:v>
      </x:c>
      <x:c r="H504" s="50" t="n">
        <x:v>0.235327</x:v>
      </x:c>
      <x:c r="I504" s="50" t="n">
        <x:v>0.13395</x:v>
      </x:c>
      <x:c r="J504" s="50" t="n">
        <x:v>0.881837</x:v>
      </x:c>
      <x:c r="K504" s="50" t="n">
        <x:v>0.150722</x:v>
      </x:c>
      <x:c r="L504" s="47" t="n">
        <x:v>612</x:v>
      </x:c>
      <x:c r="M504" s="47" t="n">
        <x:v>792</x:v>
      </x:c>
      <x:c r="N504" s="28" t="str">
        <x:v>top-left</x:v>
      </x:c>
      <x:c r="O504" s="28" t="str">
        <x:v>PDF points</x:v>
      </x:c>
    </x:row>
    <x:row r="505" ht="22" customHeight="1">
      <x:c r="A505" s="28" t="str">
        <x:v>ANC-JAM-034-01-R05</x:v>
      </x:c>
      <x:c r="B505" s="28" t="str">
        <x:v>ANC-JAM-034-01</x:v>
      </x:c>
      <x:c r="C505" s="28" t="n">
        <x:v>6</x:v>
      </x:c>
      <x:c r="D505" s="47" t="n">
        <x:v>144.02</x:v>
      </x:c>
      <x:c r="E505" s="47" t="n">
        <x:v>120.848</x:v>
      </x:c>
      <x:c r="F505" s="47" t="n">
        <x:v>412.832</x:v>
      </x:c>
      <x:c r="G505" s="47" t="n">
        <x:v>134.132</x:v>
      </x:c>
      <x:c r="H505" s="50" t="n">
        <x:v>0.235327</x:v>
      </x:c>
      <x:c r="I505" s="50" t="n">
        <x:v>0.152586</x:v>
      </x:c>
      <x:c r="J505" s="50" t="n">
        <x:v>0.674562</x:v>
      </x:c>
      <x:c r="K505" s="50" t="n">
        <x:v>0.169359</x:v>
      </x:c>
      <x:c r="L505" s="47" t="n">
        <x:v>612</x:v>
      </x:c>
      <x:c r="M505" s="47" t="n">
        <x:v>792</x:v>
      </x:c>
      <x:c r="N505" s="28" t="str">
        <x:v>top-left</x:v>
      </x:c>
      <x:c r="O505" s="28" t="str">
        <x:v>PDF points</x:v>
      </x:c>
    </x:row>
    <x:row r="506" ht="22" customHeight="1">
      <x:c r="A506" s="28" t="str">
        <x:v>ANC-JAM-035-01-R01</x:v>
      </x:c>
      <x:c r="B506" s="28" t="str">
        <x:v>ANC-JAM-035-01</x:v>
      </x:c>
      <x:c r="C506" s="28" t="n">
        <x:v>7</x:v>
      </x:c>
      <x:c r="D506" s="47" t="n">
        <x:v>90.024</x:v>
      </x:c>
      <x:c r="E506" s="47" t="n">
        <x:v>72.468</x:v>
      </x:c>
      <x:c r="F506" s="47" t="n">
        <x:v>514.286</x:v>
      </x:c>
      <x:c r="G506" s="47" t="n">
        <x:v>85.92</x:v>
      </x:c>
      <x:c r="H506" s="50" t="n">
        <x:v>0.147098</x:v>
      </x:c>
      <x:c r="I506" s="50" t="n">
        <x:v>0.0915</x:v>
      </x:c>
      <x:c r="J506" s="50" t="n">
        <x:v>0.840337</x:v>
      </x:c>
      <x:c r="K506" s="50" t="n">
        <x:v>0.108485</x:v>
      </x:c>
      <x:c r="L506" s="47" t="n">
        <x:v>612</x:v>
      </x:c>
      <x:c r="M506" s="47" t="n">
        <x:v>792</x:v>
      </x:c>
      <x:c r="N506" s="28" t="str">
        <x:v>top-left</x:v>
      </x:c>
      <x:c r="O506" s="28" t="str">
        <x:v>PDF points</x:v>
      </x:c>
    </x:row>
    <x:row r="507" ht="22" customHeight="1">
      <x:c r="A507" s="28" t="str">
        <x:v>ANC-JAM-036-01-R01</x:v>
      </x:c>
      <x:c r="B507" s="28" t="str">
        <x:v>ANC-JAM-036-01</x:v>
      </x:c>
      <x:c r="C507" s="28" t="n">
        <x:v>6</x:v>
      </x:c>
      <x:c r="D507" s="47" t="n">
        <x:v>72.024</x:v>
      </x:c>
      <x:c r="E507" s="47" t="n">
        <x:v>353.51</x:v>
      </x:c>
      <x:c r="F507" s="47" t="n">
        <x:v>356.672</x:v>
      </x:c>
      <x:c r="G507" s="47" t="n">
        <x:v>371.177</x:v>
      </x:c>
      <x:c r="H507" s="50" t="n">
        <x:v>0.117686</x:v>
      </x:c>
      <x:c r="I507" s="50" t="n">
        <x:v>0.446351</x:v>
      </x:c>
      <x:c r="J507" s="50" t="n">
        <x:v>0.582797</x:v>
      </x:c>
      <x:c r="K507" s="50" t="n">
        <x:v>0.468658</x:v>
      </x:c>
      <x:c r="L507" s="47" t="n">
        <x:v>612</x:v>
      </x:c>
      <x:c r="M507" s="47" t="n">
        <x:v>792</x:v>
      </x:c>
      <x:c r="N507" s="28" t="str">
        <x:v>top-left</x:v>
      </x:c>
      <x:c r="O507" s="28" t="str">
        <x:v>PDF points</x:v>
      </x:c>
    </x:row>
    <x:row r="508" ht="22" customHeight="1">
      <x:c r="A508" s="28" t="str">
        <x:v>ANC-JAM-036-01-R02</x:v>
      </x:c>
      <x:c r="B508" s="28" t="str">
        <x:v>ANC-JAM-036-01</x:v>
      </x:c>
      <x:c r="C508" s="28" t="n">
        <x:v>6</x:v>
      </x:c>
      <x:c r="D508" s="47" t="n">
        <x:v>72.024</x:v>
      </x:c>
      <x:c r="E508" s="47" t="n">
        <x:v>374.918</x:v>
      </x:c>
      <x:c r="F508" s="47" t="n">
        <x:v>298.26</x:v>
      </x:c>
      <x:c r="G508" s="47" t="n">
        <x:v>388.202</x:v>
      </x:c>
      <x:c r="H508" s="50" t="n">
        <x:v>0.117686</x:v>
      </x:c>
      <x:c r="I508" s="50" t="n">
        <x:v>0.473381</x:v>
      </x:c>
      <x:c r="J508" s="50" t="n">
        <x:v>0.487353</x:v>
      </x:c>
      <x:c r="K508" s="50" t="n">
        <x:v>0.490154</x:v>
      </x:c>
      <x:c r="L508" s="47" t="n">
        <x:v>612</x:v>
      </x:c>
      <x:c r="M508" s="47" t="n">
        <x:v>792</x:v>
      </x:c>
      <x:c r="N508" s="28" t="str">
        <x:v>top-left</x:v>
      </x:c>
      <x:c r="O508" s="28" t="str">
        <x:v>PDF points</x:v>
      </x:c>
    </x:row>
    <x:row r="509" ht="22" customHeight="1">
      <x:c r="A509" s="28" t="str">
        <x:v>ANC-JAM-037-01-R01</x:v>
      </x:c>
      <x:c r="B509" s="28" t="str">
        <x:v>ANC-JAM-037-01</x:v>
      </x:c>
      <x:c r="C509" s="28" t="n">
        <x:v>7</x:v>
      </x:c>
      <x:c r="D509" s="47" t="n">
        <x:v>72.024</x:v>
      </x:c>
      <x:c r="E509" s="47" t="n">
        <x:v>562.09</x:v>
      </x:c>
      <x:c r="F509" s="47" t="n">
        <x:v>234.68</x:v>
      </x:c>
      <x:c r="G509" s="47" t="n">
        <x:v>579.757</x:v>
      </x:c>
      <x:c r="H509" s="50" t="n">
        <x:v>0.117686</x:v>
      </x:c>
      <x:c r="I509" s="50" t="n">
        <x:v>0.709709</x:v>
      </x:c>
      <x:c r="J509" s="50" t="n">
        <x:v>0.383464</x:v>
      </x:c>
      <x:c r="K509" s="50" t="n">
        <x:v>0.732017</x:v>
      </x:c>
      <x:c r="L509" s="47" t="n">
        <x:v>612</x:v>
      </x:c>
      <x:c r="M509" s="47" t="n">
        <x:v>792</x:v>
      </x:c>
      <x:c r="N509" s="28" t="str">
        <x:v>top-left</x:v>
      </x:c>
      <x:c r="O509" s="28" t="str">
        <x:v>PDF points</x:v>
      </x:c>
    </x:row>
    <x:row r="510" ht="22" customHeight="1">
      <x:c r="A510" s="28" t="str">
        <x:v>ANC-JAM-037-01-R02</x:v>
      </x:c>
      <x:c r="B510" s="28" t="str">
        <x:v>ANC-JAM-037-01</x:v>
      </x:c>
      <x:c r="C510" s="28" t="n">
        <x:v>7</x:v>
      </x:c>
      <x:c r="D510" s="47" t="n">
        <x:v>72.024</x:v>
      </x:c>
      <x:c r="E510" s="47" t="n">
        <x:v>583.408</x:v>
      </x:c>
      <x:c r="F510" s="47" t="n">
        <x:v>464.868</x:v>
      </x:c>
      <x:c r="G510" s="47" t="n">
        <x:v>596.692</x:v>
      </x:c>
      <x:c r="H510" s="50" t="n">
        <x:v>0.117686</x:v>
      </x:c>
      <x:c r="I510" s="50" t="n">
        <x:v>0.736626</x:v>
      </x:c>
      <x:c r="J510" s="50" t="n">
        <x:v>0.759588</x:v>
      </x:c>
      <x:c r="K510" s="50" t="n">
        <x:v>0.753399</x:v>
      </x:c>
      <x:c r="L510" s="47" t="n">
        <x:v>612</x:v>
      </x:c>
      <x:c r="M510" s="47" t="n">
        <x:v>792</x:v>
      </x:c>
      <x:c r="N510" s="28" t="str">
        <x:v>top-left</x:v>
      </x:c>
      <x:c r="O510" s="28" t="str">
        <x:v>PDF points</x:v>
      </x:c>
    </x:row>
    <x:row r="511" ht="22" customHeight="1">
      <x:c r="A511" s="28" t="str">
        <x:v>ANC-JAM-038-01-R01</x:v>
      </x:c>
      <x:c r="B511" s="28" t="str">
        <x:v>ANC-JAM-038-01</x:v>
      </x:c>
      <x:c r="C511" s="28" t="n">
        <x:v>8</x:v>
      </x:c>
      <x:c r="D511" s="47" t="n">
        <x:v>72.024</x:v>
      </x:c>
      <x:c r="E511" s="47" t="n">
        <x:v>409.498</x:v>
      </x:c>
      <x:c r="F511" s="47" t="n">
        <x:v>465.876</x:v>
      </x:c>
      <x:c r="G511" s="47" t="n">
        <x:v>422.782</x:v>
      </x:c>
      <x:c r="H511" s="50" t="n">
        <x:v>0.117686</x:v>
      </x:c>
      <x:c r="I511" s="50" t="n">
        <x:v>0.517043</x:v>
      </x:c>
      <x:c r="J511" s="50" t="n">
        <x:v>0.761235</x:v>
      </x:c>
      <x:c r="K511" s="50" t="n">
        <x:v>0.533816</x:v>
      </x:c>
      <x:c r="L511" s="47" t="n">
        <x:v>612</x:v>
      </x:c>
      <x:c r="M511" s="47" t="n">
        <x:v>792</x:v>
      </x:c>
      <x:c r="N511" s="28" t="str">
        <x:v>top-left</x:v>
      </x:c>
      <x:c r="O511" s="28" t="str">
        <x:v>PDF points</x:v>
      </x:c>
    </x:row>
    <x:row r="512" ht="22" customHeight="1">
      <x:c r="A512" s="28" t="str">
        <x:v>ANC-JAM-039-01-R01</x:v>
      </x:c>
      <x:c r="B512" s="28" t="str">
        <x:v>ANC-JAM-039-01</x:v>
      </x:c>
      <x:c r="C512" s="28" t="n">
        <x:v>10</x:v>
      </x:c>
      <x:c r="D512" s="47" t="n">
        <x:v>72.024</x:v>
      </x:c>
      <x:c r="E512" s="47" t="n">
        <x:v>184.448</x:v>
      </x:c>
      <x:c r="F512" s="47" t="n">
        <x:v>539.796</x:v>
      </x:c>
      <x:c r="G512" s="47" t="n">
        <x:v>197.732</x:v>
      </x:c>
      <x:c r="H512" s="50" t="n">
        <x:v>0.117686</x:v>
      </x:c>
      <x:c r="I512" s="50" t="n">
        <x:v>0.232889</x:v>
      </x:c>
      <x:c r="J512" s="50" t="n">
        <x:v>0.88202</x:v>
      </x:c>
      <x:c r="K512" s="50" t="n">
        <x:v>0.249662</x:v>
      </x:c>
      <x:c r="L512" s="47" t="n">
        <x:v>612</x:v>
      </x:c>
      <x:c r="M512" s="47" t="n">
        <x:v>792</x:v>
      </x:c>
      <x:c r="N512" s="28" t="str">
        <x:v>top-left</x:v>
      </x:c>
      <x:c r="O512" s="28" t="str">
        <x:v>PDF points</x:v>
      </x:c>
    </x:row>
    <x:row r="513" ht="22" customHeight="1">
      <x:c r="A513" s="28" t="str">
        <x:v>ANC-JAM-039-01-R02</x:v>
      </x:c>
      <x:c r="B513" s="28" t="str">
        <x:v>ANC-JAM-039-01</x:v>
      </x:c>
      <x:c r="C513" s="28" t="n">
        <x:v>10</x:v>
      </x:c>
      <x:c r="D513" s="47" t="n">
        <x:v>72.024</x:v>
      </x:c>
      <x:c r="E513" s="47" t="n">
        <x:v>199.208</x:v>
      </x:c>
      <x:c r="F513" s="47" t="n">
        <x:v>539.64</x:v>
      </x:c>
      <x:c r="G513" s="47" t="n">
        <x:v>212.492</x:v>
      </x:c>
      <x:c r="H513" s="50" t="n">
        <x:v>0.117686</x:v>
      </x:c>
      <x:c r="I513" s="50" t="n">
        <x:v>0.251525</x:v>
      </x:c>
      <x:c r="J513" s="50" t="n">
        <x:v>0.881765</x:v>
      </x:c>
      <x:c r="K513" s="50" t="n">
        <x:v>0.268298</x:v>
      </x:c>
      <x:c r="L513" s="47" t="n">
        <x:v>612</x:v>
      </x:c>
      <x:c r="M513" s="47" t="n">
        <x:v>792</x:v>
      </x:c>
      <x:c r="N513" s="28" t="str">
        <x:v>top-left</x:v>
      </x:c>
      <x:c r="O513" s="28" t="str">
        <x:v>PDF points</x:v>
      </x:c>
    </x:row>
    <x:row r="514" ht="22" customHeight="1">
      <x:c r="A514" s="28" t="str">
        <x:v>ANC-JAM-040-01-R01</x:v>
      </x:c>
      <x:c r="B514" s="28" t="str">
        <x:v>ANC-JAM-040-01</x:v>
      </x:c>
      <x:c r="C514" s="28" t="n">
        <x:v>10</x:v>
      </x:c>
      <x:c r="D514" s="47" t="n">
        <x:v>72.024</x:v>
      </x:c>
      <x:c r="E514" s="47" t="n">
        <x:v>266.918</x:v>
      </x:c>
      <x:c r="F514" s="47" t="n">
        <x:v>539.628</x:v>
      </x:c>
      <x:c r="G514" s="47" t="n">
        <x:v>280.202</x:v>
      </x:c>
      <x:c r="H514" s="50" t="n">
        <x:v>0.117686</x:v>
      </x:c>
      <x:c r="I514" s="50" t="n">
        <x:v>0.337018</x:v>
      </x:c>
      <x:c r="J514" s="50" t="n">
        <x:v>0.881745</x:v>
      </x:c>
      <x:c r="K514" s="50" t="n">
        <x:v>0.35379</x:v>
      </x:c>
      <x:c r="L514" s="47" t="n">
        <x:v>612</x:v>
      </x:c>
      <x:c r="M514" s="47" t="n">
        <x:v>792</x:v>
      </x:c>
      <x:c r="N514" s="28" t="str">
        <x:v>top-left</x:v>
      </x:c>
      <x:c r="O514" s="28" t="str">
        <x:v>PDF points</x:v>
      </x:c>
    </x:row>
    <x:row r="515" ht="22" customHeight="1">
      <x:c r="A515" s="28" t="str">
        <x:v>ANC-JAM-040-01-R02</x:v>
      </x:c>
      <x:c r="B515" s="28" t="str">
        <x:v>ANC-JAM-040-01</x:v>
      </x:c>
      <x:c r="C515" s="28" t="n">
        <x:v>10</x:v>
      </x:c>
      <x:c r="D515" s="47" t="n">
        <x:v>72.024</x:v>
      </x:c>
      <x:c r="E515" s="47" t="n">
        <x:v>281.678</x:v>
      </x:c>
      <x:c r="F515" s="47" t="n">
        <x:v>539.93</x:v>
      </x:c>
      <x:c r="G515" s="47" t="n">
        <x:v>294.962</x:v>
      </x:c>
      <x:c r="H515" s="50" t="n">
        <x:v>0.117686</x:v>
      </x:c>
      <x:c r="I515" s="50" t="n">
        <x:v>0.355654</x:v>
      </x:c>
      <x:c r="J515" s="50" t="n">
        <x:v>0.882239</x:v>
      </x:c>
      <x:c r="K515" s="50" t="n">
        <x:v>0.372427</x:v>
      </x:c>
      <x:c r="L515" s="47" t="n">
        <x:v>612</x:v>
      </x:c>
      <x:c r="M515" s="47" t="n">
        <x:v>792</x:v>
      </x:c>
      <x:c r="N515" s="28" t="str">
        <x:v>top-left</x:v>
      </x:c>
      <x:c r="O515" s="28" t="str">
        <x:v>PDF points</x:v>
      </x:c>
    </x:row>
    <x:row r="516" ht="22" customHeight="1">
      <x:c r="A516" s="28" t="str">
        <x:v>ANC-SLE-001-01-R01</x:v>
      </x:c>
      <x:c r="B516" s="28" t="str">
        <x:v>ANC-SLE-001-01</x:v>
      </x:c>
      <x:c r="C516" s="28" t="n">
        <x:v>9</x:v>
      </x:c>
      <x:c r="D516" s="47" t="n">
        <x:v>296.04</x:v>
      </x:c>
      <x:c r="E516" s="47" t="n">
        <x:v>484.907</x:v>
      </x:c>
      <x:c r="F516" s="47" t="n">
        <x:v>501.155</x:v>
      </x:c>
      <x:c r="G516" s="47" t="n">
        <x:v>496.809</x:v>
      </x:c>
      <x:c r="H516" s="50" t="n">
        <x:v>0.483726</x:v>
      </x:c>
      <x:c r="I516" s="50" t="n">
        <x:v>0.612256</x:v>
      </x:c>
      <x:c r="J516" s="50" t="n">
        <x:v>0.81888</x:v>
      </x:c>
      <x:c r="K516" s="50" t="n">
        <x:v>0.627284</x:v>
      </x:c>
      <x:c r="L516" s="47" t="n">
        <x:v>612</x:v>
      </x:c>
      <x:c r="M516" s="47" t="n">
        <x:v>792</x:v>
      </x:c>
      <x:c r="N516" s="28" t="str">
        <x:v>top-left</x:v>
      </x:c>
      <x:c r="O516" s="28" t="str">
        <x:v>PDF points</x:v>
      </x:c>
    </x:row>
    <x:row r="517" ht="22" customHeight="1">
      <x:c r="A517" s="28" t="str">
        <x:v>ANC-SLE-001-01-R02</x:v>
      </x:c>
      <x:c r="B517" s="28" t="str">
        <x:v>ANC-SLE-001-01</x:v>
      </x:c>
      <x:c r="C517" s="28" t="n">
        <x:v>9</x:v>
      </x:c>
      <x:c r="D517" s="47" t="n">
        <x:v>296.04</x:v>
      </x:c>
      <x:c r="E517" s="47" t="n">
        <x:v>497.507</x:v>
      </x:c>
      <x:c r="F517" s="47" t="n">
        <x:v>478.487</x:v>
      </x:c>
      <x:c r="G517" s="47" t="n">
        <x:v>509.409</x:v>
      </x:c>
      <x:c r="H517" s="50" t="n">
        <x:v>0.483726</x:v>
      </x:c>
      <x:c r="I517" s="50" t="n">
        <x:v>0.628165</x:v>
      </x:c>
      <x:c r="J517" s="50" t="n">
        <x:v>0.781842</x:v>
      </x:c>
      <x:c r="K517" s="50" t="n">
        <x:v>0.643193</x:v>
      </x:c>
      <x:c r="L517" s="47" t="n">
        <x:v>612</x:v>
      </x:c>
      <x:c r="M517" s="47" t="n">
        <x:v>792</x:v>
      </x:c>
      <x:c r="N517" s="28" t="str">
        <x:v>top-left</x:v>
      </x:c>
      <x:c r="O517" s="28" t="str">
        <x:v>PDF points</x:v>
      </x:c>
    </x:row>
    <x:row r="518" ht="22" customHeight="1">
      <x:c r="A518" s="28" t="str">
        <x:v>ANC-SLE-002-01-R01</x:v>
      </x:c>
      <x:c r="B518" s="28" t="str">
        <x:v>ANC-SLE-002-01</x:v>
      </x:c>
      <x:c r="C518" s="28" t="n">
        <x:v>9</x:v>
      </x:c>
      <x:c r="D518" s="47" t="n">
        <x:v>296.04</x:v>
      </x:c>
      <x:c r="E518" s="47" t="n">
        <x:v>514.187</x:v>
      </x:c>
      <x:c r="F518" s="47" t="n">
        <x:v>515.344</x:v>
      </x:c>
      <x:c r="G518" s="47" t="n">
        <x:v>526.089</x:v>
      </x:c>
      <x:c r="H518" s="50" t="n">
        <x:v>0.483726</x:v>
      </x:c>
      <x:c r="I518" s="50" t="n">
        <x:v>0.649226</x:v>
      </x:c>
      <x:c r="J518" s="50" t="n">
        <x:v>0.842065</x:v>
      </x:c>
      <x:c r="K518" s="50" t="n">
        <x:v>0.664254</x:v>
      </x:c>
      <x:c r="L518" s="47" t="n">
        <x:v>612</x:v>
      </x:c>
      <x:c r="M518" s="47" t="n">
        <x:v>792</x:v>
      </x:c>
      <x:c r="N518" s="28" t="str">
        <x:v>top-left</x:v>
      </x:c>
      <x:c r="O518" s="28" t="str">
        <x:v>PDF points</x:v>
      </x:c>
    </x:row>
    <x:row r="519" ht="22" customHeight="1">
      <x:c r="A519" s="28" t="str">
        <x:v>ANC-SLE-002-01-R02</x:v>
      </x:c>
      <x:c r="B519" s="28" t="str">
        <x:v>ANC-SLE-002-01</x:v>
      </x:c>
      <x:c r="C519" s="28" t="n">
        <x:v>9</x:v>
      </x:c>
      <x:c r="D519" s="47" t="n">
        <x:v>296.04</x:v>
      </x:c>
      <x:c r="E519" s="47" t="n">
        <x:v>526.787</x:v>
      </x:c>
      <x:c r="F519" s="47" t="n">
        <x:v>523.35</x:v>
      </x:c>
      <x:c r="G519" s="47" t="n">
        <x:v>538.689</x:v>
      </x:c>
      <x:c r="H519" s="50" t="n">
        <x:v>0.483726</x:v>
      </x:c>
      <x:c r="I519" s="50" t="n">
        <x:v>0.665135</x:v>
      </x:c>
      <x:c r="J519" s="50" t="n">
        <x:v>0.855147</x:v>
      </x:c>
      <x:c r="K519" s="50" t="n">
        <x:v>0.680163</x:v>
      </x:c>
      <x:c r="L519" s="47" t="n">
        <x:v>612</x:v>
      </x:c>
      <x:c r="M519" s="47" t="n">
        <x:v>792</x:v>
      </x:c>
      <x:c r="N519" s="28" t="str">
        <x:v>top-left</x:v>
      </x:c>
      <x:c r="O519" s="28" t="str">
        <x:v>PDF points</x:v>
      </x:c>
    </x:row>
    <x:row r="520" ht="22" customHeight="1">
      <x:c r="A520" s="28" t="str">
        <x:v>ANC-SLE-003-01-R01</x:v>
      </x:c>
      <x:c r="B520" s="28" t="str">
        <x:v>ANC-SLE-003-01</x:v>
      </x:c>
      <x:c r="C520" s="28" t="n">
        <x:v>9</x:v>
      </x:c>
      <x:c r="D520" s="47" t="n">
        <x:v>296.04</x:v>
      </x:c>
      <x:c r="E520" s="47" t="n">
        <x:v>572.867</x:v>
      </x:c>
      <x:c r="F520" s="47" t="n">
        <x:v>464.467</x:v>
      </x:c>
      <x:c r="G520" s="47" t="n">
        <x:v>584.769</x:v>
      </x:c>
      <x:c r="H520" s="50" t="n">
        <x:v>0.483726</x:v>
      </x:c>
      <x:c r="I520" s="50" t="n">
        <x:v>0.723317</x:v>
      </x:c>
      <x:c r="J520" s="50" t="n">
        <x:v>0.758934</x:v>
      </x:c>
      <x:c r="K520" s="50" t="n">
        <x:v>0.738345</x:v>
      </x:c>
      <x:c r="L520" s="47" t="n">
        <x:v>612</x:v>
      </x:c>
      <x:c r="M520" s="47" t="n">
        <x:v>792</x:v>
      </x:c>
      <x:c r="N520" s="28" t="str">
        <x:v>top-left</x:v>
      </x:c>
      <x:c r="O520" s="28" t="str">
        <x:v>PDF points</x:v>
      </x:c>
    </x:row>
    <x:row r="521" ht="22" customHeight="1">
      <x:c r="A521" s="28" t="str">
        <x:v>ANC-SLE-004-01-R01</x:v>
      </x:c>
      <x:c r="B521" s="28" t="str">
        <x:v>ANC-SLE-004-01</x:v>
      </x:c>
      <x:c r="C521" s="28" t="n">
        <x:v>9</x:v>
      </x:c>
      <x:c r="D521" s="47" t="n">
        <x:v>225.12</x:v>
      </x:c>
      <x:c r="E521" s="47" t="n">
        <x:v>595.907</x:v>
      </x:c>
      <x:c r="F521" s="47" t="n">
        <x:v>535.606</x:v>
      </x:c>
      <x:c r="G521" s="47" t="n">
        <x:v>607.809</x:v>
      </x:c>
      <x:c r="H521" s="50" t="n">
        <x:v>0.367843</x:v>
      </x:c>
      <x:c r="I521" s="50" t="n">
        <x:v>0.752407</x:v>
      </x:c>
      <x:c r="J521" s="50" t="n">
        <x:v>0.875173</x:v>
      </x:c>
      <x:c r="K521" s="50" t="n">
        <x:v>0.767435</x:v>
      </x:c>
      <x:c r="L521" s="47" t="n">
        <x:v>612</x:v>
      </x:c>
      <x:c r="M521" s="47" t="n">
        <x:v>792</x:v>
      </x:c>
      <x:c r="N521" s="28" t="str">
        <x:v>top-left</x:v>
      </x:c>
      <x:c r="O521" s="28" t="str">
        <x:v>PDF points</x:v>
      </x:c>
    </x:row>
    <x:row r="522" ht="22" customHeight="1">
      <x:c r="A522" s="28" t="str">
        <x:v>ANC-SLE-005-01-R01</x:v>
      </x:c>
      <x:c r="B522" s="28" t="str">
        <x:v>ANC-SLE-005-01</x:v>
      </x:c>
      <x:c r="C522" s="28" t="n">
        <x:v>9</x:v>
      </x:c>
      <x:c r="D522" s="47" t="n">
        <x:v>296.04</x:v>
      </x:c>
      <x:c r="E522" s="47" t="n">
        <x:v>618.827</x:v>
      </x:c>
      <x:c r="F522" s="47" t="n">
        <x:v>536.965</x:v>
      </x:c>
      <x:c r="G522" s="47" t="n">
        <x:v>630.729</x:v>
      </x:c>
      <x:c r="H522" s="50" t="n">
        <x:v>0.483726</x:v>
      </x:c>
      <x:c r="I522" s="50" t="n">
        <x:v>0.781347</x:v>
      </x:c>
      <x:c r="J522" s="50" t="n">
        <x:v>0.877394</x:v>
      </x:c>
      <x:c r="K522" s="50" t="n">
        <x:v>0.796375</x:v>
      </x:c>
      <x:c r="L522" s="47" t="n">
        <x:v>612</x:v>
      </x:c>
      <x:c r="M522" s="47" t="n">
        <x:v>792</x:v>
      </x:c>
      <x:c r="N522" s="28" t="str">
        <x:v>top-left</x:v>
      </x:c>
      <x:c r="O522" s="28" t="str">
        <x:v>PDF points</x:v>
      </x:c>
    </x:row>
    <x:row r="523" ht="22" customHeight="1">
      <x:c r="A523" s="28" t="str">
        <x:v>ANC-SLE-005-01-R02</x:v>
      </x:c>
      <x:c r="B523" s="28" t="str">
        <x:v>ANC-SLE-005-01</x:v>
      </x:c>
      <x:c r="C523" s="28" t="n">
        <x:v>9</x:v>
      </x:c>
      <x:c r="D523" s="47" t="n">
        <x:v>296.04</x:v>
      </x:c>
      <x:c r="E523" s="47" t="n">
        <x:v>631.427</x:v>
      </x:c>
      <x:c r="F523" s="47" t="n">
        <x:v>343.905</x:v>
      </x:c>
      <x:c r="G523" s="47" t="n">
        <x:v>643.329</x:v>
      </x:c>
      <x:c r="H523" s="50" t="n">
        <x:v>0.483726</x:v>
      </x:c>
      <x:c r="I523" s="50" t="n">
        <x:v>0.797256</x:v>
      </x:c>
      <x:c r="J523" s="50" t="n">
        <x:v>0.561936</x:v>
      </x:c>
      <x:c r="K523" s="50" t="n">
        <x:v>0.812284</x:v>
      </x:c>
      <x:c r="L523" s="47" t="n">
        <x:v>612</x:v>
      </x:c>
      <x:c r="M523" s="47" t="n">
        <x:v>792</x:v>
      </x:c>
      <x:c r="N523" s="28" t="str">
        <x:v>top-left</x:v>
      </x:c>
      <x:c r="O523" s="28" t="str">
        <x:v>PDF points</x:v>
      </x:c>
    </x:row>
    <x:row r="524" ht="22" customHeight="1">
      <x:c r="A524" s="28" t="str">
        <x:v>ANC-SLE-006-01-R01</x:v>
      </x:c>
      <x:c r="B524" s="28" t="str">
        <x:v>ANC-SLE-006-01</x:v>
      </x:c>
      <x:c r="C524" s="28" t="n">
        <x:v>10</x:v>
      </x:c>
      <x:c r="D524" s="47" t="n">
        <x:v>70.56</x:v>
      </x:c>
      <x:c r="E524" s="47" t="n">
        <x:v>600.159</x:v>
      </x:c>
      <x:c r="F524" s="47" t="n">
        <x:v>541.397</x:v>
      </x:c>
      <x:c r="G524" s="47" t="n">
        <x:v>613.352</x:v>
      </x:c>
      <x:c r="H524" s="50" t="n">
        <x:v>0.115294</x:v>
      </x:c>
      <x:c r="I524" s="50" t="n">
        <x:v>0.757776</x:v>
      </x:c>
      <x:c r="J524" s="50" t="n">
        <x:v>0.884636</x:v>
      </x:c>
      <x:c r="K524" s="50" t="n">
        <x:v>0.774434</x:v>
      </x:c>
      <x:c r="L524" s="47" t="n">
        <x:v>612</x:v>
      </x:c>
      <x:c r="M524" s="47" t="n">
        <x:v>792</x:v>
      </x:c>
      <x:c r="N524" s="28" t="str">
        <x:v>top-left</x:v>
      </x:c>
      <x:c r="O524" s="28" t="str">
        <x:v>PDF points</x:v>
      </x:c>
    </x:row>
    <x:row r="525" ht="22" customHeight="1">
      <x:c r="A525" s="28" t="str">
        <x:v>ANC-SLE-007-01-R01</x:v>
      </x:c>
      <x:c r="B525" s="28" t="str">
        <x:v>ANC-SLE-007-01</x:v>
      </x:c>
      <x:c r="C525" s="28" t="n">
        <x:v>10</x:v>
      </x:c>
      <x:c r="D525" s="47" t="n">
        <x:v>70.56</x:v>
      </x:c>
      <x:c r="E525" s="47" t="n">
        <x:v>636.039</x:v>
      </x:c>
      <x:c r="F525" s="47" t="n">
        <x:v>541.536</x:v>
      </x:c>
      <x:c r="G525" s="47" t="n">
        <x:v>649.232</x:v>
      </x:c>
      <x:c r="H525" s="50" t="n">
        <x:v>0.115294</x:v>
      </x:c>
      <x:c r="I525" s="50" t="n">
        <x:v>0.803079</x:v>
      </x:c>
      <x:c r="J525" s="50" t="n">
        <x:v>0.884864</x:v>
      </x:c>
      <x:c r="K525" s="50" t="n">
        <x:v>0.819737</x:v>
      </x:c>
      <x:c r="L525" s="47" t="n">
        <x:v>612</x:v>
      </x:c>
      <x:c r="M525" s="47" t="n">
        <x:v>792</x:v>
      </x:c>
      <x:c r="N525" s="28" t="str">
        <x:v>top-left</x:v>
      </x:c>
      <x:c r="O525" s="28" t="str">
        <x:v>PDF points</x:v>
      </x:c>
    </x:row>
    <x:row r="526" ht="22" customHeight="1">
      <x:c r="A526" s="28" t="str">
        <x:v>ANC-SLE-008-01-R01</x:v>
      </x:c>
      <x:c r="B526" s="28" t="str">
        <x:v>ANC-SLE-008-01</x:v>
      </x:c>
      <x:c r="C526" s="28" t="n">
        <x:v>10</x:v>
      </x:c>
      <x:c r="D526" s="47" t="n">
        <x:v>116.522</x:v>
      </x:c>
      <x:c r="E526" s="47" t="n">
        <x:v>654.034</x:v>
      </x:c>
      <x:c r="F526" s="47" t="n">
        <x:v>541.589</x:v>
      </x:c>
      <x:c r="G526" s="47" t="n">
        <x:v>667.227</x:v>
      </x:c>
      <x:c r="H526" s="50" t="n">
        <x:v>0.190395</x:v>
      </x:c>
      <x:c r="I526" s="50" t="n">
        <x:v>0.825801</x:v>
      </x:c>
      <x:c r="J526" s="50" t="n">
        <x:v>0.884949</x:v>
      </x:c>
      <x:c r="K526" s="50" t="n">
        <x:v>0.842458</x:v>
      </x:c>
      <x:c r="L526" s="47" t="n">
        <x:v>612</x:v>
      </x:c>
      <x:c r="M526" s="47" t="n">
        <x:v>792</x:v>
      </x:c>
      <x:c r="N526" s="28" t="str">
        <x:v>top-left</x:v>
      </x:c>
      <x:c r="O526" s="28" t="str">
        <x:v>PDF points</x:v>
      </x:c>
    </x:row>
    <x:row r="527" ht="22" customHeight="1">
      <x:c r="A527" s="28" t="str">
        <x:v>ANC-SLE-008-01-R02</x:v>
      </x:c>
      <x:c r="B527" s="28" t="str">
        <x:v>ANC-SLE-008-01</x:v>
      </x:c>
      <x:c r="C527" s="28" t="n">
        <x:v>10</x:v>
      </x:c>
      <x:c r="D527" s="47" t="n">
        <x:v>70.56</x:v>
      </x:c>
      <x:c r="E527" s="47" t="n">
        <x:v>672.029</x:v>
      </x:c>
      <x:c r="F527" s="47" t="n">
        <x:v>437.309</x:v>
      </x:c>
      <x:c r="G527" s="47" t="n">
        <x:v>685.222</x:v>
      </x:c>
      <x:c r="H527" s="50" t="n">
        <x:v>0.115294</x:v>
      </x:c>
      <x:c r="I527" s="50" t="n">
        <x:v>0.848522</x:v>
      </x:c>
      <x:c r="J527" s="50" t="n">
        <x:v>0.714557</x:v>
      </x:c>
      <x:c r="K527" s="50" t="n">
        <x:v>0.865179</x:v>
      </x:c>
      <x:c r="L527" s="47" t="n">
        <x:v>612</x:v>
      </x:c>
      <x:c r="M527" s="47" t="n">
        <x:v>792</x:v>
      </x:c>
      <x:c r="N527" s="28" t="str">
        <x:v>top-left</x:v>
      </x:c>
      <x:c r="O527" s="28" t="str">
        <x:v>PDF points</x:v>
      </x:c>
    </x:row>
    <x:row r="528" ht="22" customHeight="1">
      <x:c r="A528" s="28" t="str">
        <x:v>ANC-SLE-009-01-R01</x:v>
      </x:c>
      <x:c r="B528" s="28" t="str">
        <x:v>ANC-SLE-009-01</x:v>
      </x:c>
      <x:c r="C528" s="28" t="n">
        <x:v>11</x:v>
      </x:c>
      <x:c r="D528" s="47" t="n">
        <x:v>70.56</x:v>
      </x:c>
      <x:c r="E528" s="47" t="n">
        <x:v>129.911</x:v>
      </x:c>
      <x:c r="F528" s="47" t="n">
        <x:v>541.522</x:v>
      </x:c>
      <x:c r="G528" s="47" t="n">
        <x:v>143.104</x:v>
      </x:c>
      <x:c r="H528" s="50" t="n">
        <x:v>0.115294</x:v>
      </x:c>
      <x:c r="I528" s="50" t="n">
        <x:v>0.16403</x:v>
      </x:c>
      <x:c r="J528" s="50" t="n">
        <x:v>0.88484</x:v>
      </x:c>
      <x:c r="K528" s="50" t="n">
        <x:v>0.180687</x:v>
      </x:c>
      <x:c r="L528" s="47" t="n">
        <x:v>612</x:v>
      </x:c>
      <x:c r="M528" s="47" t="n">
        <x:v>792</x:v>
      </x:c>
      <x:c r="N528" s="28" t="str">
        <x:v>top-left</x:v>
      </x:c>
      <x:c r="O528" s="28" t="str">
        <x:v>PDF points</x:v>
      </x:c>
    </x:row>
    <x:row r="529" ht="22" customHeight="1">
      <x:c r="A529" s="28" t="str">
        <x:v>ANC-SLE-010-01-R01</x:v>
      </x:c>
      <x:c r="B529" s="28" t="str">
        <x:v>ANC-SLE-010-01</x:v>
      </x:c>
      <x:c r="C529" s="28" t="n">
        <x:v>11</x:v>
      </x:c>
      <x:c r="D529" s="47" t="n">
        <x:v>307.58</x:v>
      </x:c>
      <x:c r="E529" s="47" t="n">
        <x:v>269.104</x:v>
      </x:c>
      <x:c r="F529" s="47" t="n">
        <x:v>541.56</x:v>
      </x:c>
      <x:c r="G529" s="47" t="n">
        <x:v>282.297</x:v>
      </x:c>
      <x:c r="H529" s="50" t="n">
        <x:v>0.502582</x:v>
      </x:c>
      <x:c r="I529" s="50" t="n">
        <x:v>0.339777</x:v>
      </x:c>
      <x:c r="J529" s="50" t="n">
        <x:v>0.884901</x:v>
      </x:c>
      <x:c r="K529" s="50" t="n">
        <x:v>0.356435</x:v>
      </x:c>
      <x:c r="L529" s="47" t="n">
        <x:v>612</x:v>
      </x:c>
      <x:c r="M529" s="47" t="n">
        <x:v>792</x:v>
      </x:c>
      <x:c r="N529" s="28" t="str">
        <x:v>top-left</x:v>
      </x:c>
      <x:c r="O529" s="28" t="str">
        <x:v>PDF points</x:v>
      </x:c>
    </x:row>
    <x:row r="530" ht="22" customHeight="1">
      <x:c r="A530" s="28" t="str">
        <x:v>ANC-SLE-010-01-R02</x:v>
      </x:c>
      <x:c r="B530" s="28" t="str">
        <x:v>ANC-SLE-010-01</x:v>
      </x:c>
      <x:c r="C530" s="28" t="n">
        <x:v>11</x:v>
      </x:c>
      <x:c r="D530" s="47" t="n">
        <x:v>70.56</x:v>
      </x:c>
      <x:c r="E530" s="47" t="n">
        <x:v>287.099</x:v>
      </x:c>
      <x:c r="F530" s="47" t="n">
        <x:v>374.409</x:v>
      </x:c>
      <x:c r="G530" s="47" t="n">
        <x:v>300.292</x:v>
      </x:c>
      <x:c r="H530" s="50" t="n">
        <x:v>0.115294</x:v>
      </x:c>
      <x:c r="I530" s="50" t="n">
        <x:v>0.362499</x:v>
      </x:c>
      <x:c r="J530" s="50" t="n">
        <x:v>0.61178</x:v>
      </x:c>
      <x:c r="K530" s="50" t="n">
        <x:v>0.379156</x:v>
      </x:c>
      <x:c r="L530" s="47" t="n">
        <x:v>612</x:v>
      </x:c>
      <x:c r="M530" s="47" t="n">
        <x:v>792</x:v>
      </x:c>
      <x:c r="N530" s="28" t="str">
        <x:v>top-left</x:v>
      </x:c>
      <x:c r="O530" s="28" t="str">
        <x:v>PDF points</x:v>
      </x:c>
    </x:row>
    <x:row r="531" ht="22" customHeight="1">
      <x:c r="A531" s="28" t="str">
        <x:v>ANC-SLE-011-01-R01</x:v>
      </x:c>
      <x:c r="B531" s="28" t="str">
        <x:v>ANC-SLE-011-01</x:v>
      </x:c>
      <x:c r="C531" s="28" t="n">
        <x:v>11</x:v>
      </x:c>
      <x:c r="D531" s="47" t="n">
        <x:v>240.706</x:v>
      </x:c>
      <x:c r="E531" s="47" t="n">
        <x:v>408.285</x:v>
      </x:c>
      <x:c r="F531" s="47" t="n">
        <x:v>541.542</x:v>
      </x:c>
      <x:c r="G531" s="47" t="n">
        <x:v>421.478</x:v>
      </x:c>
      <x:c r="H531" s="50" t="n">
        <x:v>0.393311</x:v>
      </x:c>
      <x:c r="I531" s="50" t="n">
        <x:v>0.515511</x:v>
      </x:c>
      <x:c r="J531" s="50" t="n">
        <x:v>0.884873</x:v>
      </x:c>
      <x:c r="K531" s="50" t="n">
        <x:v>0.532169</x:v>
      </x:c>
      <x:c r="L531" s="47" t="n">
        <x:v>612</x:v>
      </x:c>
      <x:c r="M531" s="47" t="n">
        <x:v>792</x:v>
      </x:c>
      <x:c r="N531" s="28" t="str">
        <x:v>top-left</x:v>
      </x:c>
      <x:c r="O531" s="28" t="str">
        <x:v>PDF points</x:v>
      </x:c>
    </x:row>
    <x:row r="532" ht="22" customHeight="1">
      <x:c r="A532" s="28" t="str">
        <x:v>ANC-SLE-011-01-R02</x:v>
      </x:c>
      <x:c r="B532" s="28" t="str">
        <x:v>ANC-SLE-011-01</x:v>
      </x:c>
      <x:c r="C532" s="28" t="n">
        <x:v>11</x:v>
      </x:c>
      <x:c r="D532" s="47" t="n">
        <x:v>70.549</x:v>
      </x:c>
      <x:c r="E532" s="47" t="n">
        <x:v>426.28</x:v>
      </x:c>
      <x:c r="F532" s="47" t="n">
        <x:v>354.128</x:v>
      </x:c>
      <x:c r="G532" s="47" t="n">
        <x:v>439.473</x:v>
      </x:c>
      <x:c r="H532" s="50" t="n">
        <x:v>0.115276</x:v>
      </x:c>
      <x:c r="I532" s="50" t="n">
        <x:v>0.538233</x:v>
      </x:c>
      <x:c r="J532" s="50" t="n">
        <x:v>0.57864</x:v>
      </x:c>
      <x:c r="K532" s="50" t="n">
        <x:v>0.55489</x:v>
      </x:c>
      <x:c r="L532" s="47" t="n">
        <x:v>612</x:v>
      </x:c>
      <x:c r="M532" s="47" t="n">
        <x:v>792</x:v>
      </x:c>
      <x:c r="N532" s="28" t="str">
        <x:v>top-left</x:v>
      </x:c>
      <x:c r="O532" s="28" t="str">
        <x:v>PDF points</x:v>
      </x:c>
    </x:row>
    <x:row r="533" ht="22" customHeight="1">
      <x:c r="A533" s="28" t="str">
        <x:v>ANC-SLE-012-01-R01</x:v>
      </x:c>
      <x:c r="B533" s="28" t="str">
        <x:v>ANC-SLE-012-01</x:v>
      </x:c>
      <x:c r="C533" s="28" t="n">
        <x:v>14</x:v>
      </x:c>
      <x:c r="D533" s="47" t="n">
        <x:v>133.92</x:v>
      </x:c>
      <x:c r="E533" s="47" t="n">
        <x:v>384.667</x:v>
      </x:c>
      <x:c r="F533" s="47" t="n">
        <x:v>205.977</x:v>
      </x:c>
      <x:c r="G533" s="47" t="n">
        <x:v>394.275</x:v>
      </x:c>
      <x:c r="H533" s="50" t="n">
        <x:v>0.159042</x:v>
      </x:c>
      <x:c r="I533" s="50" t="n">
        <x:v>0.646152</x:v>
      </x:c>
      <x:c r="J533" s="50" t="n">
        <x:v>0.244616</x:v>
      </x:c>
      <x:c r="K533" s="50" t="n">
        <x:v>0.662291</x:v>
      </x:c>
      <x:c r="L533" s="47" t="n">
        <x:v>842.04</x:v>
      </x:c>
      <x:c r="M533" s="47" t="n">
        <x:v>595.32</x:v>
      </x:c>
      <x:c r="N533" s="28" t="str">
        <x:v>top-left</x:v>
      </x:c>
      <x:c r="O533" s="28" t="str">
        <x:v>PDF points</x:v>
      </x:c>
    </x:row>
    <x:row r="534" ht="22" customHeight="1">
      <x:c r="A534" s="28" t="str">
        <x:v>ANC-SLE-012-01-R02</x:v>
      </x:c>
      <x:c r="B534" s="28" t="str">
        <x:v>ANC-SLE-012-01</x:v>
      </x:c>
      <x:c r="C534" s="28" t="n">
        <x:v>14</x:v>
      </x:c>
      <x:c r="D534" s="47" t="n">
        <x:v>122.88</x:v>
      </x:c>
      <x:c r="E534" s="47" t="n">
        <x:v>393.427</x:v>
      </x:c>
      <x:c r="F534" s="47" t="n">
        <x:v>206.564</x:v>
      </x:c>
      <x:c r="G534" s="47" t="n">
        <x:v>403.035</x:v>
      </x:c>
      <x:c r="H534" s="50" t="n">
        <x:v>0.145931</x:v>
      </x:c>
      <x:c r="I534" s="50" t="n">
        <x:v>0.660867</x:v>
      </x:c>
      <x:c r="J534" s="50" t="n">
        <x:v>0.245314</x:v>
      </x:c>
      <x:c r="K534" s="50" t="n">
        <x:v>0.677006</x:v>
      </x:c>
      <x:c r="L534" s="47" t="n">
        <x:v>842.04</x:v>
      </x:c>
      <x:c r="M534" s="47" t="n">
        <x:v>595.32</x:v>
      </x:c>
      <x:c r="N534" s="28" t="str">
        <x:v>top-left</x:v>
      </x:c>
      <x:c r="O534" s="28" t="str">
        <x:v>PDF points</x:v>
      </x:c>
    </x:row>
    <x:row r="535" ht="22" customHeight="1">
      <x:c r="A535" s="28" t="str">
        <x:v>ANC-SLE-012-01-R03</x:v>
      </x:c>
      <x:c r="B535" s="28" t="str">
        <x:v>ANC-SLE-012-01</x:v>
      </x:c>
      <x:c r="C535" s="28" t="n">
        <x:v>14</x:v>
      </x:c>
      <x:c r="D535" s="47" t="n">
        <x:v>217.32</x:v>
      </x:c>
      <x:c r="E535" s="47" t="n">
        <x:v>384.667</x:v>
      </x:c>
      <x:c r="F535" s="47" t="n">
        <x:v>393.885</x:v>
      </x:c>
      <x:c r="G535" s="47" t="n">
        <x:v>394.275</x:v>
      </x:c>
      <x:c r="H535" s="50" t="n">
        <x:v>0.258088</x:v>
      </x:c>
      <x:c r="I535" s="50" t="n">
        <x:v>0.646152</x:v>
      </x:c>
      <x:c r="J535" s="50" t="n">
        <x:v>0.467774</x:v>
      </x:c>
      <x:c r="K535" s="50" t="n">
        <x:v>0.662291</x:v>
      </x:c>
      <x:c r="L535" s="47" t="n">
        <x:v>842.04</x:v>
      </x:c>
      <x:c r="M535" s="47" t="n">
        <x:v>595.32</x:v>
      </x:c>
      <x:c r="N535" s="28" t="str">
        <x:v>top-left</x:v>
      </x:c>
      <x:c r="O535" s="28" t="str">
        <x:v>PDF points</x:v>
      </x:c>
    </x:row>
    <x:row r="536" ht="22" customHeight="1">
      <x:c r="A536" s="28" t="str">
        <x:v>ANC-SLE-012-01-R04</x:v>
      </x:c>
      <x:c r="B536" s="28" t="str">
        <x:v>ANC-SLE-012-01</x:v>
      </x:c>
      <x:c r="C536" s="28" t="n">
        <x:v>14</x:v>
      </x:c>
      <x:c r="D536" s="47" t="n">
        <x:v>476.28</x:v>
      </x:c>
      <x:c r="E536" s="47" t="n">
        <x:v>386.467</x:v>
      </x:c>
      <x:c r="F536" s="47" t="n">
        <x:v>491.398</x:v>
      </x:c>
      <x:c r="G536" s="47" t="n">
        <x:v>396.075</x:v>
      </x:c>
      <x:c r="H536" s="50" t="n">
        <x:v>0.565626</x:v>
      </x:c>
      <x:c r="I536" s="50" t="n">
        <x:v>0.649176</x:v>
      </x:c>
      <x:c r="J536" s="50" t="n">
        <x:v>0.58358</x:v>
      </x:c>
      <x:c r="K536" s="50" t="n">
        <x:v>0.665315</x:v>
      </x:c>
      <x:c r="L536" s="47" t="n">
        <x:v>842.04</x:v>
      </x:c>
      <x:c r="M536" s="47" t="n">
        <x:v>595.32</x:v>
      </x:c>
      <x:c r="N536" s="28" t="str">
        <x:v>top-left</x:v>
      </x:c>
      <x:c r="O536" s="28" t="str">
        <x:v>PDF points</x:v>
      </x:c>
    </x:row>
    <x:row r="537" ht="22" customHeight="1">
      <x:c r="A537" s="28" t="str">
        <x:v>ANC-SLE-012-01-R05</x:v>
      </x:c>
      <x:c r="B537" s="28" t="str">
        <x:v>ANC-SLE-012-01</x:v>
      </x:c>
      <x:c r="C537" s="28" t="n">
        <x:v>14</x:v>
      </x:c>
      <x:c r="D537" s="47" t="n">
        <x:v>526.924</x:v>
      </x:c>
      <x:c r="E537" s="47" t="n">
        <x:v>386.467</x:v>
      </x:c>
      <x:c r="F537" s="47" t="n">
        <x:v>542.042</x:v>
      </x:c>
      <x:c r="G537" s="47" t="n">
        <x:v>396.075</x:v>
      </x:c>
      <x:c r="H537" s="50" t="n">
        <x:v>0.625771</x:v>
      </x:c>
      <x:c r="I537" s="50" t="n">
        <x:v>0.649176</x:v>
      </x:c>
      <x:c r="J537" s="50" t="n">
        <x:v>0.643724</x:v>
      </x:c>
      <x:c r="K537" s="50" t="n">
        <x:v>0.665315</x:v>
      </x:c>
      <x:c r="L537" s="47" t="n">
        <x:v>842.04</x:v>
      </x:c>
      <x:c r="M537" s="47" t="n">
        <x:v>595.32</x:v>
      </x:c>
      <x:c r="N537" s="28" t="str">
        <x:v>top-left</x:v>
      </x:c>
      <x:c r="O537" s="28" t="str">
        <x:v>PDF points</x:v>
      </x:c>
    </x:row>
    <x:row r="538" ht="22" customHeight="1">
      <x:c r="A538" s="28" t="str">
        <x:v>ANC-SLE-012-01-R06</x:v>
      </x:c>
      <x:c r="B538" s="28" t="str">
        <x:v>ANC-SLE-012-01</x:v>
      </x:c>
      <x:c r="C538" s="28" t="n">
        <x:v>14</x:v>
      </x:c>
      <x:c r="D538" s="47" t="n">
        <x:v>576.482</x:v>
      </x:c>
      <x:c r="E538" s="47" t="n">
        <x:v>386.467</x:v>
      </x:c>
      <x:c r="F538" s="47" t="n">
        <x:v>591.6</x:v>
      </x:c>
      <x:c r="G538" s="47" t="n">
        <x:v>396.075</x:v>
      </x:c>
      <x:c r="H538" s="50" t="n">
        <x:v>0.684626</x:v>
      </x:c>
      <x:c r="I538" s="50" t="n">
        <x:v>0.649176</x:v>
      </x:c>
      <x:c r="J538" s="50" t="n">
        <x:v>0.70258</x:v>
      </x:c>
      <x:c r="K538" s="50" t="n">
        <x:v>0.665315</x:v>
      </x:c>
      <x:c r="L538" s="47" t="n">
        <x:v>842.04</x:v>
      </x:c>
      <x:c r="M538" s="47" t="n">
        <x:v>595.32</x:v>
      </x:c>
      <x:c r="N538" s="28" t="str">
        <x:v>top-left</x:v>
      </x:c>
      <x:c r="O538" s="28" t="str">
        <x:v>PDF points</x:v>
      </x:c>
    </x:row>
    <x:row r="539" ht="22" customHeight="1">
      <x:c r="A539" s="28" t="str">
        <x:v>ANC-SLE-012-01-R07</x:v>
      </x:c>
      <x:c r="B539" s="28" t="str">
        <x:v>ANC-SLE-012-01</x:v>
      </x:c>
      <x:c r="C539" s="28" t="n">
        <x:v>14</x:v>
      </x:c>
      <x:c r="D539" s="47" t="n">
        <x:v>616.92</x:v>
      </x:c>
      <x:c r="E539" s="47" t="n">
        <x:v>386.467</x:v>
      </x:c>
      <x:c r="F539" s="47" t="n">
        <x:v>632.038</x:v>
      </x:c>
      <x:c r="G539" s="47" t="n">
        <x:v>396.075</x:v>
      </x:c>
      <x:c r="H539" s="50" t="n">
        <x:v>0.732649</x:v>
      </x:c>
      <x:c r="I539" s="50" t="n">
        <x:v>0.649176</x:v>
      </x:c>
      <x:c r="J539" s="50" t="n">
        <x:v>0.750603</x:v>
      </x:c>
      <x:c r="K539" s="50" t="n">
        <x:v>0.665315</x:v>
      </x:c>
      <x:c r="L539" s="47" t="n">
        <x:v>842.04</x:v>
      </x:c>
      <x:c r="M539" s="47" t="n">
        <x:v>595.32</x:v>
      </x:c>
      <x:c r="N539" s="28" t="str">
        <x:v>top-left</x:v>
      </x:c>
      <x:c r="O539" s="28" t="str">
        <x:v>PDF points</x:v>
      </x:c>
    </x:row>
    <x:row r="540" ht="22" customHeight="1">
      <x:c r="A540" s="28" t="str">
        <x:v>ANC-SLE-012-01-R08</x:v>
      </x:c>
      <x:c r="B540" s="28" t="str">
        <x:v>ANC-SLE-012-01</x:v>
      </x:c>
      <x:c r="C540" s="28" t="n">
        <x:v>14</x:v>
      </x:c>
      <x:c r="D540" s="47" t="n">
        <x:v>656.52</x:v>
      </x:c>
      <x:c r="E540" s="47" t="n">
        <x:v>386.467</x:v>
      </x:c>
      <x:c r="F540" s="47" t="n">
        <x:v>671.638</x:v>
      </x:c>
      <x:c r="G540" s="47" t="n">
        <x:v>396.075</x:v>
      </x:c>
      <x:c r="H540" s="50" t="n">
        <x:v>0.779678</x:v>
      </x:c>
      <x:c r="I540" s="50" t="n">
        <x:v>0.649176</x:v>
      </x:c>
      <x:c r="J540" s="50" t="n">
        <x:v>0.797632</x:v>
      </x:c>
      <x:c r="K540" s="50" t="n">
        <x:v>0.665315</x:v>
      </x:c>
      <x:c r="L540" s="47" t="n">
        <x:v>842.04</x:v>
      </x:c>
      <x:c r="M540" s="47" t="n">
        <x:v>595.32</x:v>
      </x:c>
      <x:c r="N540" s="28" t="str">
        <x:v>top-left</x:v>
      </x:c>
      <x:c r="O540" s="28" t="str">
        <x:v>PDF points</x:v>
      </x:c>
    </x:row>
    <x:row r="541" ht="22" customHeight="1">
      <x:c r="A541" s="28" t="str">
        <x:v>ANC-SLE-012-01-R09</x:v>
      </x:c>
      <x:c r="B541" s="28" t="str">
        <x:v>ANC-SLE-012-01</x:v>
      </x:c>
      <x:c r="C541" s="28" t="n">
        <x:v>14</x:v>
      </x:c>
      <x:c r="D541" s="47" t="n">
        <x:v>696</x:v>
      </x:c>
      <x:c r="E541" s="47" t="n">
        <x:v>386.467</x:v>
      </x:c>
      <x:c r="F541" s="47" t="n">
        <x:v>711.118</x:v>
      </x:c>
      <x:c r="G541" s="47" t="n">
        <x:v>396.075</x:v>
      </x:c>
      <x:c r="H541" s="50" t="n">
        <x:v>0.826564</x:v>
      </x:c>
      <x:c r="I541" s="50" t="n">
        <x:v>0.649176</x:v>
      </x:c>
      <x:c r="J541" s="50" t="n">
        <x:v>0.844518</x:v>
      </x:c>
      <x:c r="K541" s="50" t="n">
        <x:v>0.665315</x:v>
      </x:c>
      <x:c r="L541" s="47" t="n">
        <x:v>842.04</x:v>
      </x:c>
      <x:c r="M541" s="47" t="n">
        <x:v>595.32</x:v>
      </x:c>
      <x:c r="N541" s="28" t="str">
        <x:v>top-left</x:v>
      </x:c>
      <x:c r="O541" s="28" t="str">
        <x:v>PDF points</x:v>
      </x:c>
    </x:row>
    <x:row r="542" ht="22" customHeight="1">
      <x:c r="A542" s="28" t="str">
        <x:v>ANC-SLE-012-01-R10</x:v>
      </x:c>
      <x:c r="B542" s="28" t="str">
        <x:v>ANC-SLE-012-01</x:v>
      </x:c>
      <x:c r="C542" s="28" t="n">
        <x:v>14</x:v>
      </x:c>
      <x:c r="D542" s="47" t="n">
        <x:v>731.88</x:v>
      </x:c>
      <x:c r="E542" s="47" t="n">
        <x:v>386.467</x:v>
      </x:c>
      <x:c r="F542" s="47" t="n">
        <x:v>746.998</x:v>
      </x:c>
      <x:c r="G542" s="47" t="n">
        <x:v>396.075</x:v>
      </x:c>
      <x:c r="H542" s="50" t="n">
        <x:v>0.869175</x:v>
      </x:c>
      <x:c r="I542" s="50" t="n">
        <x:v>0.649176</x:v>
      </x:c>
      <x:c r="J542" s="50" t="n">
        <x:v>0.887129</x:v>
      </x:c>
      <x:c r="K542" s="50" t="n">
        <x:v>0.665315</x:v>
      </x:c>
      <x:c r="L542" s="47" t="n">
        <x:v>842.04</x:v>
      </x:c>
      <x:c r="M542" s="47" t="n">
        <x:v>595.32</x:v>
      </x:c>
      <x:c r="N542" s="28" t="str">
        <x:v>top-left</x:v>
      </x:c>
      <x:c r="O542" s="28" t="str">
        <x:v>PDF points</x:v>
      </x:c>
    </x:row>
    <x:row r="543" ht="22" customHeight="1">
      <x:c r="A543" s="28" t="str">
        <x:v>ANC-SLE-012-01-R11</x:v>
      </x:c>
      <x:c r="B543" s="28" t="str">
        <x:v>ANC-SLE-012-01</x:v>
      </x:c>
      <x:c r="C543" s="28" t="n">
        <x:v>14</x:v>
      </x:c>
      <x:c r="D543" s="47" t="n">
        <x:v>768.004</x:v>
      </x:c>
      <x:c r="E543" s="47" t="n">
        <x:v>386.467</x:v>
      </x:c>
      <x:c r="F543" s="47" t="n">
        <x:v>783.121</x:v>
      </x:c>
      <x:c r="G543" s="47" t="n">
        <x:v>396.075</x:v>
      </x:c>
      <x:c r="H543" s="50" t="n">
        <x:v>0.912075</x:v>
      </x:c>
      <x:c r="I543" s="50" t="n">
        <x:v>0.649176</x:v>
      </x:c>
      <x:c r="J543" s="50" t="n">
        <x:v>0.930029</x:v>
      </x:c>
      <x:c r="K543" s="50" t="n">
        <x:v>0.665315</x:v>
      </x:c>
      <x:c r="L543" s="47" t="n">
        <x:v>842.04</x:v>
      </x:c>
      <x:c r="M543" s="47" t="n">
        <x:v>595.32</x:v>
      </x:c>
      <x:c r="N543" s="28" t="str">
        <x:v>top-left</x:v>
      </x:c>
      <x:c r="O543" s="28" t="str">
        <x:v>PDF points</x:v>
      </x:c>
    </x:row>
    <x:row r="544" ht="22" customHeight="1">
      <x:c r="A544" s="28" t="str">
        <x:v>ANC-SLE-012-01-R12</x:v>
      </x:c>
      <x:c r="B544" s="28" t="str">
        <x:v>ANC-SLE-012-01</x:v>
      </x:c>
      <x:c r="C544" s="28" t="n">
        <x:v>14</x:v>
      </x:c>
      <x:c r="D544" s="47" t="n">
        <x:v>217.32</x:v>
      </x:c>
      <x:c r="E544" s="47" t="n">
        <x:v>397.507</x:v>
      </x:c>
      <x:c r="F544" s="47" t="n">
        <x:v>441.357</x:v>
      </x:c>
      <x:c r="G544" s="47" t="n">
        <x:v>407.115</x:v>
      </x:c>
      <x:c r="H544" s="50" t="n">
        <x:v>0.258088</x:v>
      </x:c>
      <x:c r="I544" s="50" t="n">
        <x:v>0.66772</x:v>
      </x:c>
      <x:c r="J544" s="50" t="n">
        <x:v>0.524152</x:v>
      </x:c>
      <x:c r="K544" s="50" t="n">
        <x:v>0.683859</x:v>
      </x:c>
      <x:c r="L544" s="47" t="n">
        <x:v>842.04</x:v>
      </x:c>
      <x:c r="M544" s="47" t="n">
        <x:v>595.32</x:v>
      </x:c>
      <x:c r="N544" s="28" t="str">
        <x:v>top-left</x:v>
      </x:c>
      <x:c r="O544" s="28" t="str">
        <x:v>PDF points</x:v>
      </x:c>
    </x:row>
    <x:row r="545" ht="22" customHeight="1">
      <x:c r="A545" s="28" t="str">
        <x:v>ANC-SLE-012-01-R13</x:v>
      </x:c>
      <x:c r="B545" s="28" t="str">
        <x:v>ANC-SLE-012-01</x:v>
      </x:c>
      <x:c r="C545" s="28" t="n">
        <x:v>14</x:v>
      </x:c>
      <x:c r="D545" s="47" t="n">
        <x:v>217.32</x:v>
      </x:c>
      <x:c r="E545" s="47" t="n">
        <x:v>406.267</x:v>
      </x:c>
      <x:c r="F545" s="47" t="n">
        <x:v>243.774</x:v>
      </x:c>
      <x:c r="G545" s="47" t="n">
        <x:v>415.875</x:v>
      </x:c>
      <x:c r="H545" s="50" t="n">
        <x:v>0.258088</x:v>
      </x:c>
      <x:c r="I545" s="50" t="n">
        <x:v>0.682435</x:v>
      </x:c>
      <x:c r="J545" s="50" t="n">
        <x:v>0.289504</x:v>
      </x:c>
      <x:c r="K545" s="50" t="n">
        <x:v>0.698574</x:v>
      </x:c>
      <x:c r="L545" s="47" t="n">
        <x:v>842.04</x:v>
      </x:c>
      <x:c r="M545" s="47" t="n">
        <x:v>595.32</x:v>
      </x:c>
      <x:c r="N545" s="28" t="str">
        <x:v>top-left</x:v>
      </x:c>
      <x:c r="O545" s="28" t="str">
        <x:v>PDF points</x:v>
      </x:c>
    </x:row>
    <x:row r="546" ht="22" customHeight="1">
      <x:c r="A546" s="28" t="str">
        <x:v>ANC-SLE-012-01-R14</x:v>
      </x:c>
      <x:c r="B546" s="28" t="str">
        <x:v>ANC-SLE-012-01</x:v>
      </x:c>
      <x:c r="C546" s="28" t="n">
        <x:v>14</x:v>
      </x:c>
      <x:c r="D546" s="47" t="n">
        <x:v>476.28</x:v>
      </x:c>
      <x:c r="E546" s="47" t="n">
        <x:v>404.467</x:v>
      </x:c>
      <x:c r="F546" s="47" t="n">
        <x:v>491.398</x:v>
      </x:c>
      <x:c r="G546" s="47" t="n">
        <x:v>414.075</x:v>
      </x:c>
      <x:c r="H546" s="50" t="n">
        <x:v>0.565626</x:v>
      </x:c>
      <x:c r="I546" s="50" t="n">
        <x:v>0.679412</x:v>
      </x:c>
      <x:c r="J546" s="50" t="n">
        <x:v>0.58358</x:v>
      </x:c>
      <x:c r="K546" s="50" t="n">
        <x:v>0.695551</x:v>
      </x:c>
      <x:c r="L546" s="47" t="n">
        <x:v>842.04</x:v>
      </x:c>
      <x:c r="M546" s="47" t="n">
        <x:v>595.32</x:v>
      </x:c>
      <x:c r="N546" s="28" t="str">
        <x:v>top-left</x:v>
      </x:c>
      <x:c r="O546" s="28" t="str">
        <x:v>PDF points</x:v>
      </x:c>
    </x:row>
    <x:row r="547" ht="22" customHeight="1">
      <x:c r="A547" s="28" t="str">
        <x:v>ANC-SLE-012-01-R15</x:v>
      </x:c>
      <x:c r="B547" s="28" t="str">
        <x:v>ANC-SLE-012-01</x:v>
      </x:c>
      <x:c r="C547" s="28" t="n">
        <x:v>14</x:v>
      </x:c>
      <x:c r="D547" s="47" t="n">
        <x:v>526.924</x:v>
      </x:c>
      <x:c r="E547" s="47" t="n">
        <x:v>404.467</x:v>
      </x:c>
      <x:c r="F547" s="47" t="n">
        <x:v>542.042</x:v>
      </x:c>
      <x:c r="G547" s="47" t="n">
        <x:v>414.075</x:v>
      </x:c>
      <x:c r="H547" s="50" t="n">
        <x:v>0.625771</x:v>
      </x:c>
      <x:c r="I547" s="50" t="n">
        <x:v>0.679412</x:v>
      </x:c>
      <x:c r="J547" s="50" t="n">
        <x:v>0.643724</x:v>
      </x:c>
      <x:c r="K547" s="50" t="n">
        <x:v>0.695551</x:v>
      </x:c>
      <x:c r="L547" s="47" t="n">
        <x:v>842.04</x:v>
      </x:c>
      <x:c r="M547" s="47" t="n">
        <x:v>595.32</x:v>
      </x:c>
      <x:c r="N547" s="28" t="str">
        <x:v>top-left</x:v>
      </x:c>
      <x:c r="O547" s="28" t="str">
        <x:v>PDF points</x:v>
      </x:c>
    </x:row>
    <x:row r="548" ht="22" customHeight="1">
      <x:c r="A548" s="28" t="str">
        <x:v>ANC-SLE-012-01-R16</x:v>
      </x:c>
      <x:c r="B548" s="28" t="str">
        <x:v>ANC-SLE-012-01</x:v>
      </x:c>
      <x:c r="C548" s="28" t="n">
        <x:v>14</x:v>
      </x:c>
      <x:c r="D548" s="47" t="n">
        <x:v>576.482</x:v>
      </x:c>
      <x:c r="E548" s="47" t="n">
        <x:v>404.467</x:v>
      </x:c>
      <x:c r="F548" s="47" t="n">
        <x:v>591.6</x:v>
      </x:c>
      <x:c r="G548" s="47" t="n">
        <x:v>414.075</x:v>
      </x:c>
      <x:c r="H548" s="50" t="n">
        <x:v>0.684626</x:v>
      </x:c>
      <x:c r="I548" s="50" t="n">
        <x:v>0.679412</x:v>
      </x:c>
      <x:c r="J548" s="50" t="n">
        <x:v>0.70258</x:v>
      </x:c>
      <x:c r="K548" s="50" t="n">
        <x:v>0.695551</x:v>
      </x:c>
      <x:c r="L548" s="47" t="n">
        <x:v>842.04</x:v>
      </x:c>
      <x:c r="M548" s="47" t="n">
        <x:v>595.32</x:v>
      </x:c>
      <x:c r="N548" s="28" t="str">
        <x:v>top-left</x:v>
      </x:c>
      <x:c r="O548" s="28" t="str">
        <x:v>PDF points</x:v>
      </x:c>
    </x:row>
    <x:row r="549" ht="22" customHeight="1">
      <x:c r="A549" s="28" t="str">
        <x:v>ANC-SLE-012-01-R17</x:v>
      </x:c>
      <x:c r="B549" s="28" t="str">
        <x:v>ANC-SLE-012-01</x:v>
      </x:c>
      <x:c r="C549" s="28" t="n">
        <x:v>14</x:v>
      </x:c>
      <x:c r="D549" s="47" t="n">
        <x:v>616.92</x:v>
      </x:c>
      <x:c r="E549" s="47" t="n">
        <x:v>404.467</x:v>
      </x:c>
      <x:c r="F549" s="47" t="n">
        <x:v>632.038</x:v>
      </x:c>
      <x:c r="G549" s="47" t="n">
        <x:v>414.075</x:v>
      </x:c>
      <x:c r="H549" s="50" t="n">
        <x:v>0.732649</x:v>
      </x:c>
      <x:c r="I549" s="50" t="n">
        <x:v>0.679412</x:v>
      </x:c>
      <x:c r="J549" s="50" t="n">
        <x:v>0.750603</x:v>
      </x:c>
      <x:c r="K549" s="50" t="n">
        <x:v>0.695551</x:v>
      </x:c>
      <x:c r="L549" s="47" t="n">
        <x:v>842.04</x:v>
      </x:c>
      <x:c r="M549" s="47" t="n">
        <x:v>595.32</x:v>
      </x:c>
      <x:c r="N549" s="28" t="str">
        <x:v>top-left</x:v>
      </x:c>
      <x:c r="O549" s="28" t="str">
        <x:v>PDF points</x:v>
      </x:c>
    </x:row>
    <x:row r="550" ht="22" customHeight="1">
      <x:c r="A550" s="28" t="str">
        <x:v>ANC-SLE-012-01-R18</x:v>
      </x:c>
      <x:c r="B550" s="28" t="str">
        <x:v>ANC-SLE-012-01</x:v>
      </x:c>
      <x:c r="C550" s="28" t="n">
        <x:v>14</x:v>
      </x:c>
      <x:c r="D550" s="47" t="n">
        <x:v>656.52</x:v>
      </x:c>
      <x:c r="E550" s="47" t="n">
        <x:v>404.467</x:v>
      </x:c>
      <x:c r="F550" s="47" t="n">
        <x:v>671.638</x:v>
      </x:c>
      <x:c r="G550" s="47" t="n">
        <x:v>414.075</x:v>
      </x:c>
      <x:c r="H550" s="50" t="n">
        <x:v>0.779678</x:v>
      </x:c>
      <x:c r="I550" s="50" t="n">
        <x:v>0.679412</x:v>
      </x:c>
      <x:c r="J550" s="50" t="n">
        <x:v>0.797632</x:v>
      </x:c>
      <x:c r="K550" s="50" t="n">
        <x:v>0.695551</x:v>
      </x:c>
      <x:c r="L550" s="47" t="n">
        <x:v>842.04</x:v>
      </x:c>
      <x:c r="M550" s="47" t="n">
        <x:v>595.32</x:v>
      </x:c>
      <x:c r="N550" s="28" t="str">
        <x:v>top-left</x:v>
      </x:c>
      <x:c r="O550" s="28" t="str">
        <x:v>PDF points</x:v>
      </x:c>
    </x:row>
    <x:row r="551" ht="22" customHeight="1">
      <x:c r="A551" s="28" t="str">
        <x:v>ANC-SLE-012-01-R19</x:v>
      </x:c>
      <x:c r="B551" s="28" t="str">
        <x:v>ANC-SLE-012-01</x:v>
      </x:c>
      <x:c r="C551" s="28" t="n">
        <x:v>14</x:v>
      </x:c>
      <x:c r="D551" s="47" t="n">
        <x:v>696.004</x:v>
      </x:c>
      <x:c r="E551" s="47" t="n">
        <x:v>404.467</x:v>
      </x:c>
      <x:c r="F551" s="47" t="n">
        <x:v>711.122</x:v>
      </x:c>
      <x:c r="G551" s="47" t="n">
        <x:v>414.075</x:v>
      </x:c>
      <x:c r="H551" s="50" t="n">
        <x:v>0.826569</x:v>
      </x:c>
      <x:c r="I551" s="50" t="n">
        <x:v>0.679412</x:v>
      </x:c>
      <x:c r="J551" s="50" t="n">
        <x:v>0.844523</x:v>
      </x:c>
      <x:c r="K551" s="50" t="n">
        <x:v>0.695551</x:v>
      </x:c>
      <x:c r="L551" s="47" t="n">
        <x:v>842.04</x:v>
      </x:c>
      <x:c r="M551" s="47" t="n">
        <x:v>595.32</x:v>
      </x:c>
      <x:c r="N551" s="28" t="str">
        <x:v>top-left</x:v>
      </x:c>
      <x:c r="O551" s="28" t="str">
        <x:v>PDF points</x:v>
      </x:c>
    </x:row>
    <x:row r="552" ht="22" customHeight="1">
      <x:c r="A552" s="28" t="str">
        <x:v>ANC-SLE-012-01-R20</x:v>
      </x:c>
      <x:c r="B552" s="28" t="str">
        <x:v>ANC-SLE-012-01</x:v>
      </x:c>
      <x:c r="C552" s="28" t="n">
        <x:v>14</x:v>
      </x:c>
      <x:c r="D552" s="47" t="n">
        <x:v>731.887</x:v>
      </x:c>
      <x:c r="E552" s="47" t="n">
        <x:v>404.467</x:v>
      </x:c>
      <x:c r="F552" s="47" t="n">
        <x:v>747.005</x:v>
      </x:c>
      <x:c r="G552" s="47" t="n">
        <x:v>414.075</x:v>
      </x:c>
      <x:c r="H552" s="50" t="n">
        <x:v>0.869183</x:v>
      </x:c>
      <x:c r="I552" s="50" t="n">
        <x:v>0.679412</x:v>
      </x:c>
      <x:c r="J552" s="50" t="n">
        <x:v>0.887137</x:v>
      </x:c>
      <x:c r="K552" s="50" t="n">
        <x:v>0.695551</x:v>
      </x:c>
      <x:c r="L552" s="47" t="n">
        <x:v>842.04</x:v>
      </x:c>
      <x:c r="M552" s="47" t="n">
        <x:v>595.32</x:v>
      </x:c>
      <x:c r="N552" s="28" t="str">
        <x:v>top-left</x:v>
      </x:c>
      <x:c r="O552" s="28" t="str">
        <x:v>PDF points</x:v>
      </x:c>
    </x:row>
    <x:row r="553" ht="22" customHeight="1">
      <x:c r="A553" s="28" t="str">
        <x:v>ANC-SLE-012-01-R21</x:v>
      </x:c>
      <x:c r="B553" s="28" t="str">
        <x:v>ANC-SLE-012-01</x:v>
      </x:c>
      <x:c r="C553" s="28" t="n">
        <x:v>14</x:v>
      </x:c>
      <x:c r="D553" s="47" t="n">
        <x:v>768.011</x:v>
      </x:c>
      <x:c r="E553" s="47" t="n">
        <x:v>404.467</x:v>
      </x:c>
      <x:c r="F553" s="47" t="n">
        <x:v>783.128</x:v>
      </x:c>
      <x:c r="G553" s="47" t="n">
        <x:v>414.075</x:v>
      </x:c>
      <x:c r="H553" s="50" t="n">
        <x:v>0.912083</x:v>
      </x:c>
      <x:c r="I553" s="50" t="n">
        <x:v>0.679412</x:v>
      </x:c>
      <x:c r="J553" s="50" t="n">
        <x:v>0.930037</x:v>
      </x:c>
      <x:c r="K553" s="50" t="n">
        <x:v>0.695551</x:v>
      </x:c>
      <x:c r="L553" s="47" t="n">
        <x:v>842.04</x:v>
      </x:c>
      <x:c r="M553" s="47" t="n">
        <x:v>595.32</x:v>
      </x:c>
      <x:c r="N553" s="28" t="str">
        <x:v>top-left</x:v>
      </x:c>
      <x:c r="O553" s="28" t="str">
        <x:v>PDF points</x:v>
      </x:c>
    </x:row>
    <x:row r="554" ht="22" customHeight="1">
      <x:c r="A554" s="28" t="str">
        <x:v>ANC-SLE-012-01-R22</x:v>
      </x:c>
      <x:c r="B554" s="28" t="str">
        <x:v>ANC-SLE-012-01</x:v>
      </x:c>
      <x:c r="C554" s="28" t="n">
        <x:v>14</x:v>
      </x:c>
      <x:c r="D554" s="47" t="n">
        <x:v>217.32</x:v>
      </x:c>
      <x:c r="E554" s="47" t="n">
        <x:v>420.547</x:v>
      </x:c>
      <x:c r="F554" s="47" t="n">
        <x:v>386.8</x:v>
      </x:c>
      <x:c r="G554" s="47" t="n">
        <x:v>430.155</x:v>
      </x:c>
      <x:c r="H554" s="50" t="n">
        <x:v>0.258088</x:v>
      </x:c>
      <x:c r="I554" s="50" t="n">
        <x:v>0.706422</x:v>
      </x:c>
      <x:c r="J554" s="50" t="n">
        <x:v>0.45936</x:v>
      </x:c>
      <x:c r="K554" s="50" t="n">
        <x:v>0.722561</x:v>
      </x:c>
      <x:c r="L554" s="47" t="n">
        <x:v>842.04</x:v>
      </x:c>
      <x:c r="M554" s="47" t="n">
        <x:v>595.32</x:v>
      </x:c>
      <x:c r="N554" s="28" t="str">
        <x:v>top-left</x:v>
      </x:c>
      <x:c r="O554" s="28" t="str">
        <x:v>PDF points</x:v>
      </x:c>
    </x:row>
    <x:row r="555" ht="22" customHeight="1">
      <x:c r="A555" s="28" t="str">
        <x:v>ANC-SLE-012-01-R23</x:v>
      </x:c>
      <x:c r="B555" s="28" t="str">
        <x:v>ANC-SLE-012-01</x:v>
      </x:c>
      <x:c r="C555" s="28" t="n">
        <x:v>14</x:v>
      </x:c>
      <x:c r="D555" s="47" t="n">
        <x:v>476.28</x:v>
      </x:c>
      <x:c r="E555" s="47" t="n">
        <x:v>423.067</x:v>
      </x:c>
      <x:c r="F555" s="47" t="n">
        <x:v>491.398</x:v>
      </x:c>
      <x:c r="G555" s="47" t="n">
        <x:v>432.675</x:v>
      </x:c>
      <x:c r="H555" s="50" t="n">
        <x:v>0.565626</x:v>
      </x:c>
      <x:c r="I555" s="50" t="n">
        <x:v>0.710655</x:v>
      </x:c>
      <x:c r="J555" s="50" t="n">
        <x:v>0.58358</x:v>
      </x:c>
      <x:c r="K555" s="50" t="n">
        <x:v>0.726794</x:v>
      </x:c>
      <x:c r="L555" s="47" t="n">
        <x:v>842.04</x:v>
      </x:c>
      <x:c r="M555" s="47" t="n">
        <x:v>595.32</x:v>
      </x:c>
      <x:c r="N555" s="28" t="str">
        <x:v>top-left</x:v>
      </x:c>
      <x:c r="O555" s="28" t="str">
        <x:v>PDF points</x:v>
      </x:c>
    </x:row>
    <x:row r="556" ht="22" customHeight="1">
      <x:c r="A556" s="28" t="str">
        <x:v>ANC-SLE-012-01-R24</x:v>
      </x:c>
      <x:c r="B556" s="28" t="str">
        <x:v>ANC-SLE-012-01</x:v>
      </x:c>
      <x:c r="C556" s="28" t="n">
        <x:v>14</x:v>
      </x:c>
      <x:c r="D556" s="47" t="n">
        <x:v>526.924</x:v>
      </x:c>
      <x:c r="E556" s="47" t="n">
        <x:v>423.067</x:v>
      </x:c>
      <x:c r="F556" s="47" t="n">
        <x:v>542.042</x:v>
      </x:c>
      <x:c r="G556" s="47" t="n">
        <x:v>432.675</x:v>
      </x:c>
      <x:c r="H556" s="50" t="n">
        <x:v>0.625771</x:v>
      </x:c>
      <x:c r="I556" s="50" t="n">
        <x:v>0.710655</x:v>
      </x:c>
      <x:c r="J556" s="50" t="n">
        <x:v>0.643724</x:v>
      </x:c>
      <x:c r="K556" s="50" t="n">
        <x:v>0.726794</x:v>
      </x:c>
      <x:c r="L556" s="47" t="n">
        <x:v>842.04</x:v>
      </x:c>
      <x:c r="M556" s="47" t="n">
        <x:v>595.32</x:v>
      </x:c>
      <x:c r="N556" s="28" t="str">
        <x:v>top-left</x:v>
      </x:c>
      <x:c r="O556" s="28" t="str">
        <x:v>PDF points</x:v>
      </x:c>
    </x:row>
    <x:row r="557" ht="22" customHeight="1">
      <x:c r="A557" s="28" t="str">
        <x:v>ANC-SLE-012-01-R25</x:v>
      </x:c>
      <x:c r="B557" s="28" t="str">
        <x:v>ANC-SLE-012-01</x:v>
      </x:c>
      <x:c r="C557" s="28" t="n">
        <x:v>14</x:v>
      </x:c>
      <x:c r="D557" s="47" t="n">
        <x:v>576.482</x:v>
      </x:c>
      <x:c r="E557" s="47" t="n">
        <x:v>423.067</x:v>
      </x:c>
      <x:c r="F557" s="47" t="n">
        <x:v>591.6</x:v>
      </x:c>
      <x:c r="G557" s="47" t="n">
        <x:v>432.675</x:v>
      </x:c>
      <x:c r="H557" s="50" t="n">
        <x:v>0.684626</x:v>
      </x:c>
      <x:c r="I557" s="50" t="n">
        <x:v>0.710655</x:v>
      </x:c>
      <x:c r="J557" s="50" t="n">
        <x:v>0.70258</x:v>
      </x:c>
      <x:c r="K557" s="50" t="n">
        <x:v>0.726794</x:v>
      </x:c>
      <x:c r="L557" s="47" t="n">
        <x:v>842.04</x:v>
      </x:c>
      <x:c r="M557" s="47" t="n">
        <x:v>595.32</x:v>
      </x:c>
      <x:c r="N557" s="28" t="str">
        <x:v>top-left</x:v>
      </x:c>
      <x:c r="O557" s="28" t="str">
        <x:v>PDF points</x:v>
      </x:c>
    </x:row>
    <x:row r="558" ht="22" customHeight="1">
      <x:c r="A558" s="28" t="str">
        <x:v>ANC-SLE-012-01-R26</x:v>
      </x:c>
      <x:c r="B558" s="28" t="str">
        <x:v>ANC-SLE-012-01</x:v>
      </x:c>
      <x:c r="C558" s="28" t="n">
        <x:v>14</x:v>
      </x:c>
      <x:c r="D558" s="47" t="n">
        <x:v>616.92</x:v>
      </x:c>
      <x:c r="E558" s="47" t="n">
        <x:v>423.067</x:v>
      </x:c>
      <x:c r="F558" s="47" t="n">
        <x:v>632.038</x:v>
      </x:c>
      <x:c r="G558" s="47" t="n">
        <x:v>432.675</x:v>
      </x:c>
      <x:c r="H558" s="50" t="n">
        <x:v>0.732649</x:v>
      </x:c>
      <x:c r="I558" s="50" t="n">
        <x:v>0.710655</x:v>
      </x:c>
      <x:c r="J558" s="50" t="n">
        <x:v>0.750603</x:v>
      </x:c>
      <x:c r="K558" s="50" t="n">
        <x:v>0.726794</x:v>
      </x:c>
      <x:c r="L558" s="47" t="n">
        <x:v>842.04</x:v>
      </x:c>
      <x:c r="M558" s="47" t="n">
        <x:v>595.32</x:v>
      </x:c>
      <x:c r="N558" s="28" t="str">
        <x:v>top-left</x:v>
      </x:c>
      <x:c r="O558" s="28" t="str">
        <x:v>PDF points</x:v>
      </x:c>
    </x:row>
    <x:row r="559" ht="22" customHeight="1">
      <x:c r="A559" s="28" t="str">
        <x:v>ANC-SLE-012-01-R27</x:v>
      </x:c>
      <x:c r="B559" s="28" t="str">
        <x:v>ANC-SLE-012-01</x:v>
      </x:c>
      <x:c r="C559" s="28" t="n">
        <x:v>14</x:v>
      </x:c>
      <x:c r="D559" s="47" t="n">
        <x:v>656.52</x:v>
      </x:c>
      <x:c r="E559" s="47" t="n">
        <x:v>423.067</x:v>
      </x:c>
      <x:c r="F559" s="47" t="n">
        <x:v>671.638</x:v>
      </x:c>
      <x:c r="G559" s="47" t="n">
        <x:v>432.675</x:v>
      </x:c>
      <x:c r="H559" s="50" t="n">
        <x:v>0.779678</x:v>
      </x:c>
      <x:c r="I559" s="50" t="n">
        <x:v>0.710655</x:v>
      </x:c>
      <x:c r="J559" s="50" t="n">
        <x:v>0.797632</x:v>
      </x:c>
      <x:c r="K559" s="50" t="n">
        <x:v>0.726794</x:v>
      </x:c>
      <x:c r="L559" s="47" t="n">
        <x:v>842.04</x:v>
      </x:c>
      <x:c r="M559" s="47" t="n">
        <x:v>595.32</x:v>
      </x:c>
      <x:c r="N559" s="28" t="str">
        <x:v>top-left</x:v>
      </x:c>
      <x:c r="O559" s="28" t="str">
        <x:v>PDF points</x:v>
      </x:c>
    </x:row>
    <x:row r="560" ht="22" customHeight="1">
      <x:c r="A560" s="28" t="str">
        <x:v>ANC-SLE-012-01-R28</x:v>
      </x:c>
      <x:c r="B560" s="28" t="str">
        <x:v>ANC-SLE-012-01</x:v>
      </x:c>
      <x:c r="C560" s="28" t="n">
        <x:v>14</x:v>
      </x:c>
      <x:c r="D560" s="47" t="n">
        <x:v>696.004</x:v>
      </x:c>
      <x:c r="E560" s="47" t="n">
        <x:v>423.067</x:v>
      </x:c>
      <x:c r="F560" s="47" t="n">
        <x:v>711.122</x:v>
      </x:c>
      <x:c r="G560" s="47" t="n">
        <x:v>432.675</x:v>
      </x:c>
      <x:c r="H560" s="50" t="n">
        <x:v>0.826569</x:v>
      </x:c>
      <x:c r="I560" s="50" t="n">
        <x:v>0.710655</x:v>
      </x:c>
      <x:c r="J560" s="50" t="n">
        <x:v>0.844523</x:v>
      </x:c>
      <x:c r="K560" s="50" t="n">
        <x:v>0.726794</x:v>
      </x:c>
      <x:c r="L560" s="47" t="n">
        <x:v>842.04</x:v>
      </x:c>
      <x:c r="M560" s="47" t="n">
        <x:v>595.32</x:v>
      </x:c>
      <x:c r="N560" s="28" t="str">
        <x:v>top-left</x:v>
      </x:c>
      <x:c r="O560" s="28" t="str">
        <x:v>PDF points</x:v>
      </x:c>
    </x:row>
    <x:row r="561" ht="22" customHeight="1">
      <x:c r="A561" s="28" t="str">
        <x:v>ANC-SLE-012-01-R29</x:v>
      </x:c>
      <x:c r="B561" s="28" t="str">
        <x:v>ANC-SLE-012-01</x:v>
      </x:c>
      <x:c r="C561" s="28" t="n">
        <x:v>14</x:v>
      </x:c>
      <x:c r="D561" s="47" t="n">
        <x:v>731.887</x:v>
      </x:c>
      <x:c r="E561" s="47" t="n">
        <x:v>423.067</x:v>
      </x:c>
      <x:c r="F561" s="47" t="n">
        <x:v>747.005</x:v>
      </x:c>
      <x:c r="G561" s="47" t="n">
        <x:v>432.675</x:v>
      </x:c>
      <x:c r="H561" s="50" t="n">
        <x:v>0.869183</x:v>
      </x:c>
      <x:c r="I561" s="50" t="n">
        <x:v>0.710655</x:v>
      </x:c>
      <x:c r="J561" s="50" t="n">
        <x:v>0.887137</x:v>
      </x:c>
      <x:c r="K561" s="50" t="n">
        <x:v>0.726794</x:v>
      </x:c>
      <x:c r="L561" s="47" t="n">
        <x:v>842.04</x:v>
      </x:c>
      <x:c r="M561" s="47" t="n">
        <x:v>595.32</x:v>
      </x:c>
      <x:c r="N561" s="28" t="str">
        <x:v>top-left</x:v>
      </x:c>
      <x:c r="O561" s="28" t="str">
        <x:v>PDF points</x:v>
      </x:c>
    </x:row>
    <x:row r="562" ht="22" customHeight="1">
      <x:c r="A562" s="28" t="str">
        <x:v>ANC-SLE-012-01-R30</x:v>
      </x:c>
      <x:c r="B562" s="28" t="str">
        <x:v>ANC-SLE-012-01</x:v>
      </x:c>
      <x:c r="C562" s="28" t="n">
        <x:v>14</x:v>
      </x:c>
      <x:c r="D562" s="47" t="n">
        <x:v>768.011</x:v>
      </x:c>
      <x:c r="E562" s="47" t="n">
        <x:v>423.067</x:v>
      </x:c>
      <x:c r="F562" s="47" t="n">
        <x:v>783.128</x:v>
      </x:c>
      <x:c r="G562" s="47" t="n">
        <x:v>432.675</x:v>
      </x:c>
      <x:c r="H562" s="50" t="n">
        <x:v>0.912083</x:v>
      </x:c>
      <x:c r="I562" s="50" t="n">
        <x:v>0.710655</x:v>
      </x:c>
      <x:c r="J562" s="50" t="n">
        <x:v>0.930037</x:v>
      </x:c>
      <x:c r="K562" s="50" t="n">
        <x:v>0.726794</x:v>
      </x:c>
      <x:c r="L562" s="47" t="n">
        <x:v>842.04</x:v>
      </x:c>
      <x:c r="M562" s="47" t="n">
        <x:v>595.32</x:v>
      </x:c>
      <x:c r="N562" s="28" t="str">
        <x:v>top-left</x:v>
      </x:c>
      <x:c r="O562" s="28" t="str">
        <x:v>PDF points</x:v>
      </x:c>
    </x:row>
    <x:row r="563" ht="22" customHeight="1">
      <x:c r="A563" s="28" t="str">
        <x:v>ANC-SLE-012-01-R31</x:v>
      </x:c>
      <x:c r="B563" s="28" t="str">
        <x:v>ANC-SLE-012-01</x:v>
      </x:c>
      <x:c r="C563" s="28" t="n">
        <x:v>14</x:v>
      </x:c>
      <x:c r="D563" s="47" t="n">
        <x:v>51.12</x:v>
      </x:c>
      <x:c r="E563" s="47" t="n">
        <x:v>449.467</x:v>
      </x:c>
      <x:c r="F563" s="47" t="n">
        <x:v>90.002</x:v>
      </x:c>
      <x:c r="G563" s="47" t="n">
        <x:v>458.713</x:v>
      </x:c>
      <x:c r="H563" s="50" t="n">
        <x:v>0.06071</x:v>
      </x:c>
      <x:c r="I563" s="50" t="n">
        <x:v>0.755001</x:v>
      </x:c>
      <x:c r="J563" s="50" t="n">
        <x:v>0.106886</x:v>
      </x:c>
      <x:c r="K563" s="50" t="n">
        <x:v>0.770532</x:v>
      </x:c>
      <x:c r="L563" s="47" t="n">
        <x:v>842.04</x:v>
      </x:c>
      <x:c r="M563" s="47" t="n">
        <x:v>595.32</x:v>
      </x:c>
      <x:c r="N563" s="28" t="str">
        <x:v>top-left</x:v>
      </x:c>
      <x:c r="O563" s="28" t="str">
        <x:v>PDF points</x:v>
      </x:c>
    </x:row>
    <x:row r="564" ht="22" customHeight="1">
      <x:c r="A564" s="28" t="str">
        <x:v>ANC-SLE-012-01-R32</x:v>
      </x:c>
      <x:c r="B564" s="28" t="str">
        <x:v>ANC-SLE-012-01</x:v>
      </x:c>
      <x:c r="C564" s="28" t="n">
        <x:v>14</x:v>
      </x:c>
      <x:c r="D564" s="47" t="n">
        <x:v>122.88</x:v>
      </x:c>
      <x:c r="E564" s="47" t="n">
        <x:v>449.467</x:v>
      </x:c>
      <x:c r="F564" s="47" t="n">
        <x:v>194.201</x:v>
      </x:c>
      <x:c r="G564" s="47" t="n">
        <x:v>459.075</x:v>
      </x:c>
      <x:c r="H564" s="50" t="n">
        <x:v>0.145931</x:v>
      </x:c>
      <x:c r="I564" s="50" t="n">
        <x:v>0.755001</x:v>
      </x:c>
      <x:c r="J564" s="50" t="n">
        <x:v>0.230632</x:v>
      </x:c>
      <x:c r="K564" s="50" t="n">
        <x:v>0.77114</x:v>
      </x:c>
      <x:c r="L564" s="47" t="n">
        <x:v>842.04</x:v>
      </x:c>
      <x:c r="M564" s="47" t="n">
        <x:v>595.32</x:v>
      </x:c>
      <x:c r="N564" s="28" t="str">
        <x:v>top-left</x:v>
      </x:c>
      <x:c r="O564" s="28" t="str">
        <x:v>PDF points</x:v>
      </x:c>
    </x:row>
    <x:row r="565" ht="22" customHeight="1">
      <x:c r="A565" s="28" t="str">
        <x:v>ANC-SLE-012-01-R33</x:v>
      </x:c>
      <x:c r="B565" s="28" t="str">
        <x:v>ANC-SLE-012-01</x:v>
      </x:c>
      <x:c r="C565" s="28" t="n">
        <x:v>14</x:v>
      </x:c>
      <x:c r="D565" s="47" t="n">
        <x:v>217.32</x:v>
      </x:c>
      <x:c r="E565" s="47" t="n">
        <x:v>449.467</x:v>
      </x:c>
      <x:c r="F565" s="47" t="n">
        <x:v>404.649</x:v>
      </x:c>
      <x:c r="G565" s="47" t="n">
        <x:v>459.075</x:v>
      </x:c>
      <x:c r="H565" s="50" t="n">
        <x:v>0.258088</x:v>
      </x:c>
      <x:c r="I565" s="50" t="n">
        <x:v>0.755001</x:v>
      </x:c>
      <x:c r="J565" s="50" t="n">
        <x:v>0.480558</x:v>
      </x:c>
      <x:c r="K565" s="50" t="n">
        <x:v>0.77114</x:v>
      </x:c>
      <x:c r="L565" s="47" t="n">
        <x:v>842.04</x:v>
      </x:c>
      <x:c r="M565" s="47" t="n">
        <x:v>595.32</x:v>
      </x:c>
      <x:c r="N565" s="28" t="str">
        <x:v>top-left</x:v>
      </x:c>
      <x:c r="O565" s="28" t="str">
        <x:v>PDF points</x:v>
      </x:c>
    </x:row>
    <x:row r="566" ht="22" customHeight="1">
      <x:c r="A566" s="28" t="str">
        <x:v>ANC-SLE-013-01-R01</x:v>
      </x:c>
      <x:c r="B566" s="28" t="str">
        <x:v>ANC-SLE-013-01</x:v>
      </x:c>
      <x:c r="C566" s="28" t="n">
        <x:v>14</x:v>
      </x:c>
      <x:c r="D566" s="47" t="n">
        <x:v>217.32</x:v>
      </x:c>
      <x:c r="E566" s="47" t="n">
        <x:v>468.187</x:v>
      </x:c>
      <x:c r="F566" s="47" t="n">
        <x:v>422.303</x:v>
      </x:c>
      <x:c r="G566" s="47" t="n">
        <x:v>477.795</x:v>
      </x:c>
      <x:c r="H566" s="50" t="n">
        <x:v>0.258088</x:v>
      </x:c>
      <x:c r="I566" s="50" t="n">
        <x:v>0.786446</x:v>
      </x:c>
      <x:c r="J566" s="50" t="n">
        <x:v>0.501524</x:v>
      </x:c>
      <x:c r="K566" s="50" t="n">
        <x:v>0.802585</x:v>
      </x:c>
      <x:c r="L566" s="47" t="n">
        <x:v>842.04</x:v>
      </x:c>
      <x:c r="M566" s="47" t="n">
        <x:v>595.32</x:v>
      </x:c>
      <x:c r="N566" s="28" t="str">
        <x:v>top-left</x:v>
      </x:c>
      <x:c r="O566" s="28" t="str">
        <x:v>PDF points</x:v>
      </x:c>
    </x:row>
    <x:row r="567" ht="22" customHeight="1">
      <x:c r="A567" s="28" t="str">
        <x:v>ANC-SLE-013-01-R02</x:v>
      </x:c>
      <x:c r="B567" s="28" t="str">
        <x:v>ANC-SLE-013-01</x:v>
      </x:c>
      <x:c r="C567" s="28" t="n">
        <x:v>14</x:v>
      </x:c>
      <x:c r="D567" s="47" t="n">
        <x:v>217.32</x:v>
      </x:c>
      <x:c r="E567" s="47" t="n">
        <x:v>476.827</x:v>
      </x:c>
      <x:c r="F567" s="47" t="n">
        <x:v>371.004</x:v>
      </x:c>
      <x:c r="G567" s="47" t="n">
        <x:v>486.435</x:v>
      </x:c>
      <x:c r="H567" s="50" t="n">
        <x:v>0.258088</x:v>
      </x:c>
      <x:c r="I567" s="50" t="n">
        <x:v>0.80096</x:v>
      </x:c>
      <x:c r="J567" s="50" t="n">
        <x:v>0.440601</x:v>
      </x:c>
      <x:c r="K567" s="50" t="n">
        <x:v>0.817099</x:v>
      </x:c>
      <x:c r="L567" s="47" t="n">
        <x:v>842.04</x:v>
      </x:c>
      <x:c r="M567" s="47" t="n">
        <x:v>595.32</x:v>
      </x:c>
      <x:c r="N567" s="28" t="str">
        <x:v>top-left</x:v>
      </x:c>
      <x:c r="O567" s="28" t="str">
        <x:v>PDF points</x:v>
      </x:c>
    </x:row>
    <x:row r="568" ht="22" customHeight="1">
      <x:c r="A568" s="28" t="str">
        <x:v>ANC-SLE-014-01-R01</x:v>
      </x:c>
      <x:c r="B568" s="28" t="str">
        <x:v>ANC-SLE-014-01</x:v>
      </x:c>
      <x:c r="C568" s="28" t="n">
        <x:v>14</x:v>
      </x:c>
      <x:c r="D568" s="47" t="n">
        <x:v>217.32</x:v>
      </x:c>
      <x:c r="E568" s="47" t="n">
        <x:v>507.787</x:v>
      </x:c>
      <x:c r="F568" s="47" t="n">
        <x:v>423.537</x:v>
      </x:c>
      <x:c r="G568" s="47" t="n">
        <x:v>517.395</x:v>
      </x:c>
      <x:c r="H568" s="50" t="n">
        <x:v>0.258088</x:v>
      </x:c>
      <x:c r="I568" s="50" t="n">
        <x:v>0.852965</x:v>
      </x:c>
      <x:c r="J568" s="50" t="n">
        <x:v>0.502989</x:v>
      </x:c>
      <x:c r="K568" s="50" t="n">
        <x:v>0.869104</x:v>
      </x:c>
      <x:c r="L568" s="47" t="n">
        <x:v>842.04</x:v>
      </x:c>
      <x:c r="M568" s="47" t="n">
        <x:v>595.32</x:v>
      </x:c>
      <x:c r="N568" s="28" t="str">
        <x:v>top-left</x:v>
      </x:c>
      <x:c r="O568" s="28" t="str">
        <x:v>PDF points</x:v>
      </x:c>
    </x:row>
    <x:row r="569" ht="22" customHeight="1">
      <x:c r="A569" s="28" t="str">
        <x:v>ANC-SLE-014-01-R02</x:v>
      </x:c>
      <x:c r="B569" s="28" t="str">
        <x:v>ANC-SLE-014-01</x:v>
      </x:c>
      <x:c r="C569" s="28" t="n">
        <x:v>14</x:v>
      </x:c>
      <x:c r="D569" s="47" t="n">
        <x:v>217.32</x:v>
      </x:c>
      <x:c r="E569" s="47" t="n">
        <x:v>516.547</x:v>
      </x:c>
      <x:c r="F569" s="47" t="n">
        <x:v>381.288</x:v>
      </x:c>
      <x:c r="G569" s="47" t="n">
        <x:v>526.155</x:v>
      </x:c>
      <x:c r="H569" s="50" t="n">
        <x:v>0.258088</x:v>
      </x:c>
      <x:c r="I569" s="50" t="n">
        <x:v>0.86768</x:v>
      </x:c>
      <x:c r="J569" s="50" t="n">
        <x:v>0.452815</x:v>
      </x:c>
      <x:c r="K569" s="50" t="n">
        <x:v>0.883819</x:v>
      </x:c>
      <x:c r="L569" s="47" t="n">
        <x:v>842.04</x:v>
      </x:c>
      <x:c r="M569" s="47" t="n">
        <x:v>595.32</x:v>
      </x:c>
      <x:c r="N569" s="28" t="str">
        <x:v>top-left</x:v>
      </x:c>
      <x:c r="O569" s="28" t="str">
        <x:v>PDF points</x:v>
      </x:c>
    </x:row>
    <x:row r="570" ht="22" customHeight="1">
      <x:c r="A570" s="28" t="str">
        <x:v>ANC-SLE-015-01-R01</x:v>
      </x:c>
      <x:c r="B570" s="28" t="str">
        <x:v>ANC-SLE-015-01</x:v>
      </x:c>
      <x:c r="C570" s="28" t="n">
        <x:v>15</x:v>
      </x:c>
      <x:c r="D570" s="47" t="n">
        <x:v>122.88</x:v>
      </x:c>
      <x:c r="E570" s="47" t="n">
        <x:v>123.307</x:v>
      </x:c>
      <x:c r="F570" s="47" t="n">
        <x:v>149.08</x:v>
      </x:c>
      <x:c r="G570" s="47" t="n">
        <x:v>132.915</x:v>
      </x:c>
      <x:c r="H570" s="50" t="n">
        <x:v>0.145931</x:v>
      </x:c>
      <x:c r="I570" s="50" t="n">
        <x:v>0.207128</x:v>
      </x:c>
      <x:c r="J570" s="50" t="n">
        <x:v>0.177046</x:v>
      </x:c>
      <x:c r="K570" s="50" t="n">
        <x:v>0.223267</x:v>
      </x:c>
      <x:c r="L570" s="47" t="n">
        <x:v>842.04</x:v>
      </x:c>
      <x:c r="M570" s="47" t="n">
        <x:v>595.32</x:v>
      </x:c>
      <x:c r="N570" s="28" t="str">
        <x:v>top-left</x:v>
      </x:c>
      <x:c r="O570" s="28" t="str">
        <x:v>PDF points</x:v>
      </x:c>
    </x:row>
    <x:row r="571" ht="22" customHeight="1">
      <x:c r="A571" s="28" t="str">
        <x:v>ANC-SLE-015-01-R02</x:v>
      </x:c>
      <x:c r="B571" s="28" t="str">
        <x:v>ANC-SLE-015-01</x:v>
      </x:c>
      <x:c r="C571" s="28" t="n">
        <x:v>15</x:v>
      </x:c>
      <x:c r="D571" s="47" t="n">
        <x:v>226.683</x:v>
      </x:c>
      <x:c r="E571" s="47" t="n">
        <x:v>115.507</x:v>
      </x:c>
      <x:c r="F571" s="47" t="n">
        <x:v>432.523</x:v>
      </x:c>
      <x:c r="G571" s="47" t="n">
        <x:v>125.115</x:v>
      </x:c>
      <x:c r="H571" s="50" t="n">
        <x:v>0.269207</x:v>
      </x:c>
      <x:c r="I571" s="50" t="n">
        <x:v>0.194026</x:v>
      </x:c>
      <x:c r="J571" s="50" t="n">
        <x:v>0.513661</x:v>
      </x:c>
      <x:c r="K571" s="50" t="n">
        <x:v>0.210164</x:v>
      </x:c>
      <x:c r="L571" s="47" t="n">
        <x:v>842.04</x:v>
      </x:c>
      <x:c r="M571" s="47" t="n">
        <x:v>595.32</x:v>
      </x:c>
      <x:c r="N571" s="28" t="str">
        <x:v>top-left</x:v>
      </x:c>
      <x:c r="O571" s="28" t="str">
        <x:v>PDF points</x:v>
      </x:c>
    </x:row>
    <x:row r="572" ht="22" customHeight="1">
      <x:c r="A572" s="28" t="str">
        <x:v>ANC-SLE-015-01-R03</x:v>
      </x:c>
      <x:c r="B572" s="28" t="str">
        <x:v>ANC-SLE-015-01</x:v>
      </x:c>
      <x:c r="C572" s="28" t="n">
        <x:v>15</x:v>
      </x:c>
      <x:c r="D572" s="47" t="n">
        <x:v>476.28</x:v>
      </x:c>
      <x:c r="E572" s="47" t="n">
        <x:v>119.467</x:v>
      </x:c>
      <x:c r="F572" s="47" t="n">
        <x:v>491.398</x:v>
      </x:c>
      <x:c r="G572" s="47" t="n">
        <x:v>129.075</x:v>
      </x:c>
      <x:c r="H572" s="50" t="n">
        <x:v>0.565626</x:v>
      </x:c>
      <x:c r="I572" s="50" t="n">
        <x:v>0.200677</x:v>
      </x:c>
      <x:c r="J572" s="50" t="n">
        <x:v>0.58358</x:v>
      </x:c>
      <x:c r="K572" s="50" t="n">
        <x:v>0.216816</x:v>
      </x:c>
      <x:c r="L572" s="47" t="n">
        <x:v>842.04</x:v>
      </x:c>
      <x:c r="M572" s="47" t="n">
        <x:v>595.32</x:v>
      </x:c>
      <x:c r="N572" s="28" t="str">
        <x:v>top-left</x:v>
      </x:c>
      <x:c r="O572" s="28" t="str">
        <x:v>PDF points</x:v>
      </x:c>
    </x:row>
    <x:row r="573" ht="22" customHeight="1">
      <x:c r="A573" s="28" t="str">
        <x:v>ANC-SLE-015-01-R04</x:v>
      </x:c>
      <x:c r="B573" s="28" t="str">
        <x:v>ANC-SLE-015-01</x:v>
      </x:c>
      <x:c r="C573" s="28" t="n">
        <x:v>15</x:v>
      </x:c>
      <x:c r="D573" s="47" t="n">
        <x:v>526.924</x:v>
      </x:c>
      <x:c r="E573" s="47" t="n">
        <x:v>119.467</x:v>
      </x:c>
      <x:c r="F573" s="47" t="n">
        <x:v>542.042</x:v>
      </x:c>
      <x:c r="G573" s="47" t="n">
        <x:v>129.075</x:v>
      </x:c>
      <x:c r="H573" s="50" t="n">
        <x:v>0.625771</x:v>
      </x:c>
      <x:c r="I573" s="50" t="n">
        <x:v>0.200677</x:v>
      </x:c>
      <x:c r="J573" s="50" t="n">
        <x:v>0.643724</x:v>
      </x:c>
      <x:c r="K573" s="50" t="n">
        <x:v>0.216816</x:v>
      </x:c>
      <x:c r="L573" s="47" t="n">
        <x:v>842.04</x:v>
      </x:c>
      <x:c r="M573" s="47" t="n">
        <x:v>595.32</x:v>
      </x:c>
      <x:c r="N573" s="28" t="str">
        <x:v>top-left</x:v>
      </x:c>
      <x:c r="O573" s="28" t="str">
        <x:v>PDF points</x:v>
      </x:c>
    </x:row>
    <x:row r="574" ht="22" customHeight="1">
      <x:c r="A574" s="28" t="str">
        <x:v>ANC-SLE-015-01-R05</x:v>
      </x:c>
      <x:c r="B574" s="28" t="str">
        <x:v>ANC-SLE-015-01</x:v>
      </x:c>
      <x:c r="C574" s="28" t="n">
        <x:v>15</x:v>
      </x:c>
      <x:c r="D574" s="47" t="n">
        <x:v>576.482</x:v>
      </x:c>
      <x:c r="E574" s="47" t="n">
        <x:v>119.467</x:v>
      </x:c>
      <x:c r="F574" s="47" t="n">
        <x:v>591.6</x:v>
      </x:c>
      <x:c r="G574" s="47" t="n">
        <x:v>129.075</x:v>
      </x:c>
      <x:c r="H574" s="50" t="n">
        <x:v>0.684626</x:v>
      </x:c>
      <x:c r="I574" s="50" t="n">
        <x:v>0.200677</x:v>
      </x:c>
      <x:c r="J574" s="50" t="n">
        <x:v>0.70258</x:v>
      </x:c>
      <x:c r="K574" s="50" t="n">
        <x:v>0.216816</x:v>
      </x:c>
      <x:c r="L574" s="47" t="n">
        <x:v>842.04</x:v>
      </x:c>
      <x:c r="M574" s="47" t="n">
        <x:v>595.32</x:v>
      </x:c>
      <x:c r="N574" s="28" t="str">
        <x:v>top-left</x:v>
      </x:c>
      <x:c r="O574" s="28" t="str">
        <x:v>PDF points</x:v>
      </x:c>
    </x:row>
    <x:row r="575" ht="22" customHeight="1">
      <x:c r="A575" s="28" t="str">
        <x:v>ANC-SLE-015-01-R06</x:v>
      </x:c>
      <x:c r="B575" s="28" t="str">
        <x:v>ANC-SLE-015-01</x:v>
      </x:c>
      <x:c r="C575" s="28" t="n">
        <x:v>15</x:v>
      </x:c>
      <x:c r="D575" s="47" t="n">
        <x:v>616.92</x:v>
      </x:c>
      <x:c r="E575" s="47" t="n">
        <x:v>119.467</x:v>
      </x:c>
      <x:c r="F575" s="47" t="n">
        <x:v>632.038</x:v>
      </x:c>
      <x:c r="G575" s="47" t="n">
        <x:v>129.075</x:v>
      </x:c>
      <x:c r="H575" s="50" t="n">
        <x:v>0.732649</x:v>
      </x:c>
      <x:c r="I575" s="50" t="n">
        <x:v>0.200677</x:v>
      </x:c>
      <x:c r="J575" s="50" t="n">
        <x:v>0.750603</x:v>
      </x:c>
      <x:c r="K575" s="50" t="n">
        <x:v>0.216816</x:v>
      </x:c>
      <x:c r="L575" s="47" t="n">
        <x:v>842.04</x:v>
      </x:c>
      <x:c r="M575" s="47" t="n">
        <x:v>595.32</x:v>
      </x:c>
      <x:c r="N575" s="28" t="str">
        <x:v>top-left</x:v>
      </x:c>
      <x:c r="O575" s="28" t="str">
        <x:v>PDF points</x:v>
      </x:c>
    </x:row>
    <x:row r="576" ht="22" customHeight="1">
      <x:c r="A576" s="28" t="str">
        <x:v>ANC-SLE-015-01-R07</x:v>
      </x:c>
      <x:c r="B576" s="28" t="str">
        <x:v>ANC-SLE-015-01</x:v>
      </x:c>
      <x:c r="C576" s="28" t="n">
        <x:v>15</x:v>
      </x:c>
      <x:c r="D576" s="47" t="n">
        <x:v>656.52</x:v>
      </x:c>
      <x:c r="E576" s="47" t="n">
        <x:v>119.467</x:v>
      </x:c>
      <x:c r="F576" s="47" t="n">
        <x:v>671.638</x:v>
      </x:c>
      <x:c r="G576" s="47" t="n">
        <x:v>129.075</x:v>
      </x:c>
      <x:c r="H576" s="50" t="n">
        <x:v>0.779678</x:v>
      </x:c>
      <x:c r="I576" s="50" t="n">
        <x:v>0.200677</x:v>
      </x:c>
      <x:c r="J576" s="50" t="n">
        <x:v>0.797632</x:v>
      </x:c>
      <x:c r="K576" s="50" t="n">
        <x:v>0.216816</x:v>
      </x:c>
      <x:c r="L576" s="47" t="n">
        <x:v>842.04</x:v>
      </x:c>
      <x:c r="M576" s="47" t="n">
        <x:v>595.32</x:v>
      </x:c>
      <x:c r="N576" s="28" t="str">
        <x:v>top-left</x:v>
      </x:c>
      <x:c r="O576" s="28" t="str">
        <x:v>PDF points</x:v>
      </x:c>
    </x:row>
    <x:row r="577" ht="22" customHeight="1">
      <x:c r="A577" s="28" t="str">
        <x:v>ANC-SLE-015-01-R08</x:v>
      </x:c>
      <x:c r="B577" s="28" t="str">
        <x:v>ANC-SLE-015-01</x:v>
      </x:c>
      <x:c r="C577" s="28" t="n">
        <x:v>15</x:v>
      </x:c>
      <x:c r="D577" s="47" t="n">
        <x:v>696</x:v>
      </x:c>
      <x:c r="E577" s="47" t="n">
        <x:v>119.467</x:v>
      </x:c>
      <x:c r="F577" s="47" t="n">
        <x:v>711.118</x:v>
      </x:c>
      <x:c r="G577" s="47" t="n">
        <x:v>129.075</x:v>
      </x:c>
      <x:c r="H577" s="50" t="n">
        <x:v>0.826564</x:v>
      </x:c>
      <x:c r="I577" s="50" t="n">
        <x:v>0.200677</x:v>
      </x:c>
      <x:c r="J577" s="50" t="n">
        <x:v>0.844518</x:v>
      </x:c>
      <x:c r="K577" s="50" t="n">
        <x:v>0.216816</x:v>
      </x:c>
      <x:c r="L577" s="47" t="n">
        <x:v>842.04</x:v>
      </x:c>
      <x:c r="M577" s="47" t="n">
        <x:v>595.32</x:v>
      </x:c>
      <x:c r="N577" s="28" t="str">
        <x:v>top-left</x:v>
      </x:c>
      <x:c r="O577" s="28" t="str">
        <x:v>PDF points</x:v>
      </x:c>
    </x:row>
    <x:row r="578" ht="22" customHeight="1">
      <x:c r="A578" s="28" t="str">
        <x:v>ANC-SLE-015-01-R09</x:v>
      </x:c>
      <x:c r="B578" s="28" t="str">
        <x:v>ANC-SLE-015-01</x:v>
      </x:c>
      <x:c r="C578" s="28" t="n">
        <x:v>15</x:v>
      </x:c>
      <x:c r="D578" s="47" t="n">
        <x:v>731.88</x:v>
      </x:c>
      <x:c r="E578" s="47" t="n">
        <x:v>119.467</x:v>
      </x:c>
      <x:c r="F578" s="47" t="n">
        <x:v>746.998</x:v>
      </x:c>
      <x:c r="G578" s="47" t="n">
        <x:v>129.075</x:v>
      </x:c>
      <x:c r="H578" s="50" t="n">
        <x:v>0.869175</x:v>
      </x:c>
      <x:c r="I578" s="50" t="n">
        <x:v>0.200677</x:v>
      </x:c>
      <x:c r="J578" s="50" t="n">
        <x:v>0.887129</x:v>
      </x:c>
      <x:c r="K578" s="50" t="n">
        <x:v>0.216816</x:v>
      </x:c>
      <x:c r="L578" s="47" t="n">
        <x:v>842.04</x:v>
      </x:c>
      <x:c r="M578" s="47" t="n">
        <x:v>595.32</x:v>
      </x:c>
      <x:c r="N578" s="28" t="str">
        <x:v>top-left</x:v>
      </x:c>
      <x:c r="O578" s="28" t="str">
        <x:v>PDF points</x:v>
      </x:c>
    </x:row>
    <x:row r="579" ht="22" customHeight="1">
      <x:c r="A579" s="28" t="str">
        <x:v>ANC-SLE-015-01-R10</x:v>
      </x:c>
      <x:c r="B579" s="28" t="str">
        <x:v>ANC-SLE-015-01</x:v>
      </x:c>
      <x:c r="C579" s="28" t="n">
        <x:v>15</x:v>
      </x:c>
      <x:c r="D579" s="47" t="n">
        <x:v>768</x:v>
      </x:c>
      <x:c r="E579" s="47" t="n">
        <x:v>119.467</x:v>
      </x:c>
      <x:c r="F579" s="47" t="n">
        <x:v>783.118</x:v>
      </x:c>
      <x:c r="G579" s="47" t="n">
        <x:v>129.075</x:v>
      </x:c>
      <x:c r="H579" s="50" t="n">
        <x:v>0.912071</x:v>
      </x:c>
      <x:c r="I579" s="50" t="n">
        <x:v>0.200677</x:v>
      </x:c>
      <x:c r="J579" s="50" t="n">
        <x:v>0.930024</x:v>
      </x:c>
      <x:c r="K579" s="50" t="n">
        <x:v>0.216816</x:v>
      </x:c>
      <x:c r="L579" s="47" t="n">
        <x:v>842.04</x:v>
      </x:c>
      <x:c r="M579" s="47" t="n">
        <x:v>595.32</x:v>
      </x:c>
      <x:c r="N579" s="28" t="str">
        <x:v>top-left</x:v>
      </x:c>
      <x:c r="O579" s="28" t="str">
        <x:v>PDF points</x:v>
      </x:c>
    </x:row>
    <x:row r="580" ht="22" customHeight="1">
      <x:c r="A580" s="28" t="str">
        <x:v>ANC-SLE-015-01-R11</x:v>
      </x:c>
      <x:c r="B580" s="28" t="str">
        <x:v>ANC-SLE-015-01</x:v>
      </x:c>
      <x:c r="C580" s="28" t="n">
        <x:v>15</x:v>
      </x:c>
      <x:c r="D580" s="47" t="n">
        <x:v>122.88</x:v>
      </x:c>
      <x:c r="E580" s="47" t="n">
        <x:v>132.547</x:v>
      </x:c>
      <x:c r="F580" s="47" t="n">
        <x:v>174.605</x:v>
      </x:c>
      <x:c r="G580" s="47" t="n">
        <x:v>142.155</x:v>
      </x:c>
      <x:c r="H580" s="50" t="n">
        <x:v>0.145931</x:v>
      </x:c>
      <x:c r="I580" s="50" t="n">
        <x:v>0.222649</x:v>
      </x:c>
      <x:c r="J580" s="50" t="n">
        <x:v>0.20736</x:v>
      </x:c>
      <x:c r="K580" s="50" t="n">
        <x:v>0.238788</x:v>
      </x:c>
      <x:c r="L580" s="47" t="n">
        <x:v>842.04</x:v>
      </x:c>
      <x:c r="M580" s="47" t="n">
        <x:v>595.32</x:v>
      </x:c>
      <x:c r="N580" s="28" t="str">
        <x:v>top-left</x:v>
      </x:c>
      <x:c r="O580" s="28" t="str">
        <x:v>PDF points</x:v>
      </x:c>
    </x:row>
    <x:row r="581" ht="22" customHeight="1">
      <x:c r="A581" s="28" t="str">
        <x:v>ANC-SLE-015-01-R12</x:v>
      </x:c>
      <x:c r="B581" s="28" t="str">
        <x:v>ANC-SLE-015-01</x:v>
      </x:c>
      <x:c r="C581" s="28" t="n">
        <x:v>15</x:v>
      </x:c>
      <x:c r="D581" s="47" t="n">
        <x:v>122.88</x:v>
      </x:c>
      <x:c r="E581" s="47" t="n">
        <x:v>141.307</x:v>
      </x:c>
      <x:c r="F581" s="47" t="n">
        <x:v>175.921</x:v>
      </x:c>
      <x:c r="G581" s="47" t="n">
        <x:v>150.915</x:v>
      </x:c>
      <x:c r="H581" s="50" t="n">
        <x:v>0.145931</x:v>
      </x:c>
      <x:c r="I581" s="50" t="n">
        <x:v>0.237364</x:v>
      </x:c>
      <x:c r="J581" s="50" t="n">
        <x:v>0.208923</x:v>
      </x:c>
      <x:c r="K581" s="50" t="n">
        <x:v>0.253503</x:v>
      </x:c>
      <x:c r="L581" s="47" t="n">
        <x:v>842.04</x:v>
      </x:c>
      <x:c r="M581" s="47" t="n">
        <x:v>595.32</x:v>
      </x:c>
      <x:c r="N581" s="28" t="str">
        <x:v>top-left</x:v>
      </x:c>
      <x:c r="O581" s="28" t="str">
        <x:v>PDF points</x:v>
      </x:c>
    </x:row>
    <x:row r="582" ht="22" customHeight="1">
      <x:c r="A582" s="28" t="str">
        <x:v>ANC-SLE-015-01-R13</x:v>
      </x:c>
      <x:c r="B582" s="28" t="str">
        <x:v>ANC-SLE-015-01</x:v>
      </x:c>
      <x:c r="C582" s="28" t="n">
        <x:v>15</x:v>
      </x:c>
      <x:c r="D582" s="47" t="n">
        <x:v>122.88</x:v>
      </x:c>
      <x:c r="E582" s="47" t="n">
        <x:v>149.95</x:v>
      </x:c>
      <x:c r="F582" s="47" t="n">
        <x:v>200.697</x:v>
      </x:c>
      <x:c r="G582" s="47" t="n">
        <x:v>159.558</x:v>
      </x:c>
      <x:c r="H582" s="50" t="n">
        <x:v>0.145931</x:v>
      </x:c>
      <x:c r="I582" s="50" t="n">
        <x:v>0.251882</x:v>
      </x:c>
      <x:c r="J582" s="50" t="n">
        <x:v>0.238346</x:v>
      </x:c>
      <x:c r="K582" s="50" t="n">
        <x:v>0.268021</x:v>
      </x:c>
      <x:c r="L582" s="47" t="n">
        <x:v>842.04</x:v>
      </x:c>
      <x:c r="M582" s="47" t="n">
        <x:v>595.32</x:v>
      </x:c>
      <x:c r="N582" s="28" t="str">
        <x:v>top-left</x:v>
      </x:c>
      <x:c r="O582" s="28" t="str">
        <x:v>PDF points</x:v>
      </x:c>
    </x:row>
    <x:row r="583" ht="22" customHeight="1">
      <x:c r="A583" s="28" t="str">
        <x:v>ANC-SLE-015-01-R14</x:v>
      </x:c>
      <x:c r="B583" s="28" t="str">
        <x:v>ANC-SLE-015-01</x:v>
      </x:c>
      <x:c r="C583" s="28" t="n">
        <x:v>15</x:v>
      </x:c>
      <x:c r="D583" s="47" t="n">
        <x:v>122.88</x:v>
      </x:c>
      <x:c r="E583" s="47" t="n">
        <x:v>158.707</x:v>
      </x:c>
      <x:c r="F583" s="47" t="n">
        <x:v>150.242</x:v>
      </x:c>
      <x:c r="G583" s="47" t="n">
        <x:v>168.315</x:v>
      </x:c>
      <x:c r="H583" s="50" t="n">
        <x:v>0.145931</x:v>
      </x:c>
      <x:c r="I583" s="50" t="n">
        <x:v>0.266592</x:v>
      </x:c>
      <x:c r="J583" s="50" t="n">
        <x:v>0.178426</x:v>
      </x:c>
      <x:c r="K583" s="50" t="n">
        <x:v>0.282731</x:v>
      </x:c>
      <x:c r="L583" s="47" t="n">
        <x:v>842.04</x:v>
      </x:c>
      <x:c r="M583" s="47" t="n">
        <x:v>595.32</x:v>
      </x:c>
      <x:c r="N583" s="28" t="str">
        <x:v>top-left</x:v>
      </x:c>
      <x:c r="O583" s="28" t="str">
        <x:v>PDF points</x:v>
      </x:c>
    </x:row>
    <x:row r="584" ht="22" customHeight="1">
      <x:c r="A584" s="28" t="str">
        <x:v>ANC-SLE-015-01-R15</x:v>
      </x:c>
      <x:c r="B584" s="28" t="str">
        <x:v>ANC-SLE-015-01</x:v>
      </x:c>
      <x:c r="C584" s="28" t="n">
        <x:v>15</x:v>
      </x:c>
      <x:c r="D584" s="47" t="n">
        <x:v>217.32</x:v>
      </x:c>
      <x:c r="E584" s="47" t="n">
        <x:v>132.547</x:v>
      </x:c>
      <x:c r="F584" s="47" t="n">
        <x:v>429.079</x:v>
      </x:c>
      <x:c r="G584" s="47" t="n">
        <x:v>142.155</x:v>
      </x:c>
      <x:c r="H584" s="50" t="n">
        <x:v>0.258088</x:v>
      </x:c>
      <x:c r="I584" s="50" t="n">
        <x:v>0.222649</x:v>
      </x:c>
      <x:c r="J584" s="50" t="n">
        <x:v>0.509571</x:v>
      </x:c>
      <x:c r="K584" s="50" t="n">
        <x:v>0.238788</x:v>
      </x:c>
      <x:c r="L584" s="47" t="n">
        <x:v>842.04</x:v>
      </x:c>
      <x:c r="M584" s="47" t="n">
        <x:v>595.32</x:v>
      </x:c>
      <x:c r="N584" s="28" t="str">
        <x:v>top-left</x:v>
      </x:c>
      <x:c r="O584" s="28" t="str">
        <x:v>PDF points</x:v>
      </x:c>
    </x:row>
    <x:row r="585" ht="22" customHeight="1">
      <x:c r="A585" s="28" t="str">
        <x:v>ANC-SLE-015-01-R16</x:v>
      </x:c>
      <x:c r="B585" s="28" t="str">
        <x:v>ANC-SLE-015-01</x:v>
      </x:c>
      <x:c r="C585" s="28" t="n">
        <x:v>15</x:v>
      </x:c>
      <x:c r="D585" s="47" t="n">
        <x:v>217.32</x:v>
      </x:c>
      <x:c r="E585" s="47" t="n">
        <x:v>141.307</x:v>
      </x:c>
      <x:c r="F585" s="47" t="n">
        <x:v>371.575</x:v>
      </x:c>
      <x:c r="G585" s="47" t="n">
        <x:v>150.915</x:v>
      </x:c>
      <x:c r="H585" s="50" t="n">
        <x:v>0.258088</x:v>
      </x:c>
      <x:c r="I585" s="50" t="n">
        <x:v>0.237364</x:v>
      </x:c>
      <x:c r="J585" s="50" t="n">
        <x:v>0.441279</x:v>
      </x:c>
      <x:c r="K585" s="50" t="n">
        <x:v>0.253503</x:v>
      </x:c>
      <x:c r="L585" s="47" t="n">
        <x:v>842.04</x:v>
      </x:c>
      <x:c r="M585" s="47" t="n">
        <x:v>595.32</x:v>
      </x:c>
      <x:c r="N585" s="28" t="str">
        <x:v>top-left</x:v>
      </x:c>
      <x:c r="O585" s="28" t="str">
        <x:v>PDF points</x:v>
      </x:c>
    </x:row>
    <x:row r="586" ht="22" customHeight="1">
      <x:c r="A586" s="28" t="str">
        <x:v>ANC-SLE-015-01-R17</x:v>
      </x:c>
      <x:c r="B586" s="28" t="str">
        <x:v>ANC-SLE-015-01</x:v>
      </x:c>
      <x:c r="C586" s="28" t="n">
        <x:v>15</x:v>
      </x:c>
      <x:c r="D586" s="47" t="n">
        <x:v>476.28</x:v>
      </x:c>
      <x:c r="E586" s="47" t="n">
        <x:v>145.627</x:v>
      </x:c>
      <x:c r="F586" s="47" t="n">
        <x:v>491.398</x:v>
      </x:c>
      <x:c r="G586" s="47" t="n">
        <x:v>155.235</x:v>
      </x:c>
      <x:c r="H586" s="50" t="n">
        <x:v>0.565626</x:v>
      </x:c>
      <x:c r="I586" s="50" t="n">
        <x:v>0.24462</x:v>
      </x:c>
      <x:c r="J586" s="50" t="n">
        <x:v>0.58358</x:v>
      </x:c>
      <x:c r="K586" s="50" t="n">
        <x:v>0.260759</x:v>
      </x:c>
      <x:c r="L586" s="47" t="n">
        <x:v>842.04</x:v>
      </x:c>
      <x:c r="M586" s="47" t="n">
        <x:v>595.32</x:v>
      </x:c>
      <x:c r="N586" s="28" t="str">
        <x:v>top-left</x:v>
      </x:c>
      <x:c r="O586" s="28" t="str">
        <x:v>PDF points</x:v>
      </x:c>
    </x:row>
    <x:row r="587" ht="22" customHeight="1">
      <x:c r="A587" s="28" t="str">
        <x:v>ANC-SLE-015-01-R18</x:v>
      </x:c>
      <x:c r="B587" s="28" t="str">
        <x:v>ANC-SLE-015-01</x:v>
      </x:c>
      <x:c r="C587" s="28" t="n">
        <x:v>15</x:v>
      </x:c>
      <x:c r="D587" s="47" t="n">
        <x:v>526.924</x:v>
      </x:c>
      <x:c r="E587" s="47" t="n">
        <x:v>145.627</x:v>
      </x:c>
      <x:c r="F587" s="47" t="n">
        <x:v>542.041</x:v>
      </x:c>
      <x:c r="G587" s="47" t="n">
        <x:v>155.235</x:v>
      </x:c>
      <x:c r="H587" s="50" t="n">
        <x:v>0.625771</x:v>
      </x:c>
      <x:c r="I587" s="50" t="n">
        <x:v>0.24462</x:v>
      </x:c>
      <x:c r="J587" s="50" t="n">
        <x:v>0.643723</x:v>
      </x:c>
      <x:c r="K587" s="50" t="n">
        <x:v>0.260759</x:v>
      </x:c>
      <x:c r="L587" s="47" t="n">
        <x:v>842.04</x:v>
      </x:c>
      <x:c r="M587" s="47" t="n">
        <x:v>595.32</x:v>
      </x:c>
      <x:c r="N587" s="28" t="str">
        <x:v>top-left</x:v>
      </x:c>
      <x:c r="O587" s="28" t="str">
        <x:v>PDF points</x:v>
      </x:c>
    </x:row>
    <x:row r="588" ht="22" customHeight="1">
      <x:c r="A588" s="28" t="str">
        <x:v>ANC-SLE-015-01-R19</x:v>
      </x:c>
      <x:c r="B588" s="28" t="str">
        <x:v>ANC-SLE-015-01</x:v>
      </x:c>
      <x:c r="C588" s="28" t="n">
        <x:v>15</x:v>
      </x:c>
      <x:c r="D588" s="47" t="n">
        <x:v>576.482</x:v>
      </x:c>
      <x:c r="E588" s="47" t="n">
        <x:v>145.627</x:v>
      </x:c>
      <x:c r="F588" s="47" t="n">
        <x:v>591.6</x:v>
      </x:c>
      <x:c r="G588" s="47" t="n">
        <x:v>155.235</x:v>
      </x:c>
      <x:c r="H588" s="50" t="n">
        <x:v>0.684626</x:v>
      </x:c>
      <x:c r="I588" s="50" t="n">
        <x:v>0.24462</x:v>
      </x:c>
      <x:c r="J588" s="50" t="n">
        <x:v>0.70258</x:v>
      </x:c>
      <x:c r="K588" s="50" t="n">
        <x:v>0.260759</x:v>
      </x:c>
      <x:c r="L588" s="47" t="n">
        <x:v>842.04</x:v>
      </x:c>
      <x:c r="M588" s="47" t="n">
        <x:v>595.32</x:v>
      </x:c>
      <x:c r="N588" s="28" t="str">
        <x:v>top-left</x:v>
      </x:c>
      <x:c r="O588" s="28" t="str">
        <x:v>PDF points</x:v>
      </x:c>
    </x:row>
    <x:row r="589" ht="22" customHeight="1">
      <x:c r="A589" s="28" t="str">
        <x:v>ANC-SLE-015-01-R20</x:v>
      </x:c>
      <x:c r="B589" s="28" t="str">
        <x:v>ANC-SLE-015-01</x:v>
      </x:c>
      <x:c r="C589" s="28" t="n">
        <x:v>15</x:v>
      </x:c>
      <x:c r="D589" s="47" t="n">
        <x:v>616.92</x:v>
      </x:c>
      <x:c r="E589" s="47" t="n">
        <x:v>145.627</x:v>
      </x:c>
      <x:c r="F589" s="47" t="n">
        <x:v>632.038</x:v>
      </x:c>
      <x:c r="G589" s="47" t="n">
        <x:v>155.235</x:v>
      </x:c>
      <x:c r="H589" s="50" t="n">
        <x:v>0.732649</x:v>
      </x:c>
      <x:c r="I589" s="50" t="n">
        <x:v>0.24462</x:v>
      </x:c>
      <x:c r="J589" s="50" t="n">
        <x:v>0.750603</x:v>
      </x:c>
      <x:c r="K589" s="50" t="n">
        <x:v>0.260759</x:v>
      </x:c>
      <x:c r="L589" s="47" t="n">
        <x:v>842.04</x:v>
      </x:c>
      <x:c r="M589" s="47" t="n">
        <x:v>595.32</x:v>
      </x:c>
      <x:c r="N589" s="28" t="str">
        <x:v>top-left</x:v>
      </x:c>
      <x:c r="O589" s="28" t="str">
        <x:v>PDF points</x:v>
      </x:c>
    </x:row>
    <x:row r="590" ht="22" customHeight="1">
      <x:c r="A590" s="28" t="str">
        <x:v>ANC-SLE-015-01-R21</x:v>
      </x:c>
      <x:c r="B590" s="28" t="str">
        <x:v>ANC-SLE-015-01</x:v>
      </x:c>
      <x:c r="C590" s="28" t="n">
        <x:v>15</x:v>
      </x:c>
      <x:c r="D590" s="47" t="n">
        <x:v>656.52</x:v>
      </x:c>
      <x:c r="E590" s="47" t="n">
        <x:v>145.627</x:v>
      </x:c>
      <x:c r="F590" s="47" t="n">
        <x:v>671.638</x:v>
      </x:c>
      <x:c r="G590" s="47" t="n">
        <x:v>155.235</x:v>
      </x:c>
      <x:c r="H590" s="50" t="n">
        <x:v>0.779678</x:v>
      </x:c>
      <x:c r="I590" s="50" t="n">
        <x:v>0.24462</x:v>
      </x:c>
      <x:c r="J590" s="50" t="n">
        <x:v>0.797632</x:v>
      </x:c>
      <x:c r="K590" s="50" t="n">
        <x:v>0.260759</x:v>
      </x:c>
      <x:c r="L590" s="47" t="n">
        <x:v>842.04</x:v>
      </x:c>
      <x:c r="M590" s="47" t="n">
        <x:v>595.32</x:v>
      </x:c>
      <x:c r="N590" s="28" t="str">
        <x:v>top-left</x:v>
      </x:c>
      <x:c r="O590" s="28" t="str">
        <x:v>PDF points</x:v>
      </x:c>
    </x:row>
    <x:row r="591" ht="22" customHeight="1">
      <x:c r="A591" s="28" t="str">
        <x:v>ANC-SLE-015-01-R22</x:v>
      </x:c>
      <x:c r="B591" s="28" t="str">
        <x:v>ANC-SLE-015-01</x:v>
      </x:c>
      <x:c r="C591" s="28" t="n">
        <x:v>15</x:v>
      </x:c>
      <x:c r="D591" s="47" t="n">
        <x:v>696</x:v>
      </x:c>
      <x:c r="E591" s="47" t="n">
        <x:v>145.627</x:v>
      </x:c>
      <x:c r="F591" s="47" t="n">
        <x:v>711.118</x:v>
      </x:c>
      <x:c r="G591" s="47" t="n">
        <x:v>155.235</x:v>
      </x:c>
      <x:c r="H591" s="50" t="n">
        <x:v>0.826564</x:v>
      </x:c>
      <x:c r="I591" s="50" t="n">
        <x:v>0.24462</x:v>
      </x:c>
      <x:c r="J591" s="50" t="n">
        <x:v>0.844518</x:v>
      </x:c>
      <x:c r="K591" s="50" t="n">
        <x:v>0.260759</x:v>
      </x:c>
      <x:c r="L591" s="47" t="n">
        <x:v>842.04</x:v>
      </x:c>
      <x:c r="M591" s="47" t="n">
        <x:v>595.32</x:v>
      </x:c>
      <x:c r="N591" s="28" t="str">
        <x:v>top-left</x:v>
      </x:c>
      <x:c r="O591" s="28" t="str">
        <x:v>PDF points</x:v>
      </x:c>
    </x:row>
    <x:row r="592" ht="22" customHeight="1">
      <x:c r="A592" s="28" t="str">
        <x:v>ANC-SLE-015-01-R23</x:v>
      </x:c>
      <x:c r="B592" s="28" t="str">
        <x:v>ANC-SLE-015-01</x:v>
      </x:c>
      <x:c r="C592" s="28" t="n">
        <x:v>15</x:v>
      </x:c>
      <x:c r="D592" s="47" t="n">
        <x:v>731.88</x:v>
      </x:c>
      <x:c r="E592" s="47" t="n">
        <x:v>145.627</x:v>
      </x:c>
      <x:c r="F592" s="47" t="n">
        <x:v>746.998</x:v>
      </x:c>
      <x:c r="G592" s="47" t="n">
        <x:v>155.235</x:v>
      </x:c>
      <x:c r="H592" s="50" t="n">
        <x:v>0.869175</x:v>
      </x:c>
      <x:c r="I592" s="50" t="n">
        <x:v>0.24462</x:v>
      </x:c>
      <x:c r="J592" s="50" t="n">
        <x:v>0.887129</x:v>
      </x:c>
      <x:c r="K592" s="50" t="n">
        <x:v>0.260759</x:v>
      </x:c>
      <x:c r="L592" s="47" t="n">
        <x:v>842.04</x:v>
      </x:c>
      <x:c r="M592" s="47" t="n">
        <x:v>595.32</x:v>
      </x:c>
      <x:c r="N592" s="28" t="str">
        <x:v>top-left</x:v>
      </x:c>
      <x:c r="O592" s="28" t="str">
        <x:v>PDF points</x:v>
      </x:c>
    </x:row>
    <x:row r="593" ht="22" customHeight="1">
      <x:c r="A593" s="28" t="str">
        <x:v>ANC-SLE-015-01-R24</x:v>
      </x:c>
      <x:c r="B593" s="28" t="str">
        <x:v>ANC-SLE-015-01</x:v>
      </x:c>
      <x:c r="C593" s="28" t="n">
        <x:v>15</x:v>
      </x:c>
      <x:c r="D593" s="47" t="n">
        <x:v>768.004</x:v>
      </x:c>
      <x:c r="E593" s="47" t="n">
        <x:v>145.627</x:v>
      </x:c>
      <x:c r="F593" s="47" t="n">
        <x:v>783.121</x:v>
      </x:c>
      <x:c r="G593" s="47" t="n">
        <x:v>155.235</x:v>
      </x:c>
      <x:c r="H593" s="50" t="n">
        <x:v>0.912075</x:v>
      </x:c>
      <x:c r="I593" s="50" t="n">
        <x:v>0.24462</x:v>
      </x:c>
      <x:c r="J593" s="50" t="n">
        <x:v>0.930029</x:v>
      </x:c>
      <x:c r="K593" s="50" t="n">
        <x:v>0.260759</x:v>
      </x:c>
      <x:c r="L593" s="47" t="n">
        <x:v>842.04</x:v>
      </x:c>
      <x:c r="M593" s="47" t="n">
        <x:v>595.32</x:v>
      </x:c>
      <x:c r="N593" s="28" t="str">
        <x:v>top-left</x:v>
      </x:c>
      <x:c r="O593" s="28" t="str">
        <x:v>PDF points</x:v>
      </x:c>
    </x:row>
    <x:row r="594" ht="22" customHeight="1">
      <x:c r="A594" s="28" t="str">
        <x:v>ANC-SLE-015-01-R25</x:v>
      </x:c>
      <x:c r="B594" s="28" t="str">
        <x:v>ANC-SLE-015-01</x:v>
      </x:c>
      <x:c r="C594" s="28" t="n">
        <x:v>15</x:v>
      </x:c>
      <x:c r="D594" s="47" t="n">
        <x:v>51.12</x:v>
      </x:c>
      <x:c r="E594" s="47" t="n">
        <x:v>182.707</x:v>
      </x:c>
      <x:c r="F594" s="47" t="n">
        <x:v>111.058</x:v>
      </x:c>
      <x:c r="G594" s="47" t="n">
        <x:v>191.953</x:v>
      </x:c>
      <x:c r="H594" s="50" t="n">
        <x:v>0.06071</x:v>
      </x:c>
      <x:c r="I594" s="50" t="n">
        <x:v>0.306906</x:v>
      </x:c>
      <x:c r="J594" s="50" t="n">
        <x:v>0.131892</x:v>
      </x:c>
      <x:c r="K594" s="50" t="n">
        <x:v>0.322437</x:v>
      </x:c>
      <x:c r="L594" s="47" t="n">
        <x:v>842.04</x:v>
      </x:c>
      <x:c r="M594" s="47" t="n">
        <x:v>595.32</x:v>
      </x:c>
      <x:c r="N594" s="28" t="str">
        <x:v>top-left</x:v>
      </x:c>
      <x:c r="O594" s="28" t="str">
        <x:v>PDF points</x:v>
      </x:c>
    </x:row>
    <x:row r="595" ht="22" customHeight="1">
      <x:c r="A595" s="28" t="str">
        <x:v>ANC-SLE-015-01-R26</x:v>
      </x:c>
      <x:c r="B595" s="28" t="str">
        <x:v>ANC-SLE-015-01</x:v>
      </x:c>
      <x:c r="C595" s="28" t="n">
        <x:v>15</x:v>
      </x:c>
      <x:c r="D595" s="47" t="n">
        <x:v>51.12</x:v>
      </x:c>
      <x:c r="E595" s="47" t="n">
        <x:v>191.347</x:v>
      </x:c>
      <x:c r="F595" s="47" t="n">
        <x:v>104.421</x:v>
      </x:c>
      <x:c r="G595" s="47" t="n">
        <x:v>200.593</x:v>
      </x:c>
      <x:c r="H595" s="50" t="n">
        <x:v>0.06071</x:v>
      </x:c>
      <x:c r="I595" s="50" t="n">
        <x:v>0.321419</x:v>
      </x:c>
      <x:c r="J595" s="50" t="n">
        <x:v>0.12401</x:v>
      </x:c>
      <x:c r="K595" s="50" t="n">
        <x:v>0.33695</x:v>
      </x:c>
      <x:c r="L595" s="47" t="n">
        <x:v>842.04</x:v>
      </x:c>
      <x:c r="M595" s="47" t="n">
        <x:v>595.32</x:v>
      </x:c>
      <x:c r="N595" s="28" t="str">
        <x:v>top-left</x:v>
      </x:c>
      <x:c r="O595" s="28" t="str">
        <x:v>PDF points</x:v>
      </x:c>
    </x:row>
    <x:row r="596" ht="22" customHeight="1">
      <x:c r="A596" s="28" t="str">
        <x:v>ANC-SLE-015-01-R27</x:v>
      </x:c>
      <x:c r="B596" s="28" t="str">
        <x:v>ANC-SLE-015-01</x:v>
      </x:c>
      <x:c r="C596" s="28" t="n">
        <x:v>15</x:v>
      </x:c>
      <x:c r="D596" s="47" t="n">
        <x:v>122.88</x:v>
      </x:c>
      <x:c r="E596" s="47" t="n">
        <x:v>182.707</x:v>
      </x:c>
      <x:c r="F596" s="47" t="n">
        <x:v>175.983</x:v>
      </x:c>
      <x:c r="G596" s="47" t="n">
        <x:v>192.315</x:v>
      </x:c>
      <x:c r="H596" s="50" t="n">
        <x:v>0.145931</x:v>
      </x:c>
      <x:c r="I596" s="50" t="n">
        <x:v>0.306906</x:v>
      </x:c>
      <x:c r="J596" s="50" t="n">
        <x:v>0.208996</x:v>
      </x:c>
      <x:c r="K596" s="50" t="n">
        <x:v>0.323045</x:v>
      </x:c>
      <x:c r="L596" s="47" t="n">
        <x:v>842.04</x:v>
      </x:c>
      <x:c r="M596" s="47" t="n">
        <x:v>595.32</x:v>
      </x:c>
      <x:c r="N596" s="28" t="str">
        <x:v>top-left</x:v>
      </x:c>
      <x:c r="O596" s="28" t="str">
        <x:v>PDF points</x:v>
      </x:c>
    </x:row>
    <x:row r="597" ht="22" customHeight="1">
      <x:c r="A597" s="28" t="str">
        <x:v>ANC-SLE-015-01-R28</x:v>
      </x:c>
      <x:c r="B597" s="28" t="str">
        <x:v>ANC-SLE-015-01</x:v>
      </x:c>
      <x:c r="C597" s="28" t="n">
        <x:v>15</x:v>
      </x:c>
      <x:c r="D597" s="47" t="n">
        <x:v>122.88</x:v>
      </x:c>
      <x:c r="E597" s="47" t="n">
        <x:v>191.347</x:v>
      </x:c>
      <x:c r="F597" s="47" t="n">
        <x:v>195.185</x:v>
      </x:c>
      <x:c r="G597" s="47" t="n">
        <x:v>200.955</x:v>
      </x:c>
      <x:c r="H597" s="50" t="n">
        <x:v>0.145931</x:v>
      </x:c>
      <x:c r="I597" s="50" t="n">
        <x:v>0.321419</x:v>
      </x:c>
      <x:c r="J597" s="50" t="n">
        <x:v>0.2318</x:v>
      </x:c>
      <x:c r="K597" s="50" t="n">
        <x:v>0.337558</x:v>
      </x:c>
      <x:c r="L597" s="47" t="n">
        <x:v>842.04</x:v>
      </x:c>
      <x:c r="M597" s="47" t="n">
        <x:v>595.32</x:v>
      </x:c>
      <x:c r="N597" s="28" t="str">
        <x:v>top-left</x:v>
      </x:c>
      <x:c r="O597" s="28" t="str">
        <x:v>PDF points</x:v>
      </x:c>
    </x:row>
    <x:row r="598" ht="22" customHeight="1">
      <x:c r="A598" s="28" t="str">
        <x:v>ANC-SLE-015-01-R29</x:v>
      </x:c>
      <x:c r="B598" s="28" t="str">
        <x:v>ANC-SLE-015-01</x:v>
      </x:c>
      <x:c r="C598" s="28" t="n">
        <x:v>15</x:v>
      </x:c>
      <x:c r="D598" s="47" t="n">
        <x:v>217.32</x:v>
      </x:c>
      <x:c r="E598" s="47" t="n">
        <x:v>182.707</x:v>
      </x:c>
      <x:c r="F598" s="47" t="n">
        <x:v>440.011</x:v>
      </x:c>
      <x:c r="G598" s="47" t="n">
        <x:v>192.315</x:v>
      </x:c>
      <x:c r="H598" s="50" t="n">
        <x:v>0.258088</x:v>
      </x:c>
      <x:c r="I598" s="50" t="n">
        <x:v>0.306906</x:v>
      </x:c>
      <x:c r="J598" s="50" t="n">
        <x:v>0.522554</x:v>
      </x:c>
      <x:c r="K598" s="50" t="n">
        <x:v>0.323045</x:v>
      </x:c>
      <x:c r="L598" s="47" t="n">
        <x:v>842.04</x:v>
      </x:c>
      <x:c r="M598" s="47" t="n">
        <x:v>595.32</x:v>
      </x:c>
      <x:c r="N598" s="28" t="str">
        <x:v>top-left</x:v>
      </x:c>
      <x:c r="O598" s="28" t="str">
        <x:v>PDF points</x:v>
      </x:c>
    </x:row>
    <x:row r="599" ht="22" customHeight="1">
      <x:c r="A599" s="28" t="str">
        <x:v>ANC-SLE-015-01-R30</x:v>
      </x:c>
      <x:c r="B599" s="28" t="str">
        <x:v>ANC-SLE-015-01</x:v>
      </x:c>
      <x:c r="C599" s="28" t="n">
        <x:v>15</x:v>
      </x:c>
      <x:c r="D599" s="47" t="n">
        <x:v>217.32</x:v>
      </x:c>
      <x:c r="E599" s="47" t="n">
        <x:v>191.347</x:v>
      </x:c>
      <x:c r="F599" s="47" t="n">
        <x:v>246.483</x:v>
      </x:c>
      <x:c r="G599" s="47" t="n">
        <x:v>200.955</x:v>
      </x:c>
      <x:c r="H599" s="50" t="n">
        <x:v>0.258088</x:v>
      </x:c>
      <x:c r="I599" s="50" t="n">
        <x:v>0.321419</x:v>
      </x:c>
      <x:c r="J599" s="50" t="n">
        <x:v>0.292721</x:v>
      </x:c>
      <x:c r="K599" s="50" t="n">
        <x:v>0.337558</x:v>
      </x:c>
      <x:c r="L599" s="47" t="n">
        <x:v>842.04</x:v>
      </x:c>
      <x:c r="M599" s="47" t="n">
        <x:v>595.32</x:v>
      </x:c>
      <x:c r="N599" s="28" t="str">
        <x:v>top-left</x:v>
      </x:c>
      <x:c r="O599" s="28" t="str">
        <x:v>PDF points</x:v>
      </x:c>
    </x:row>
    <x:row r="600" ht="22" customHeight="1">
      <x:c r="A600" s="28" t="str">
        <x:v>ANC-SLE-016-01-R01</x:v>
      </x:c>
      <x:c r="B600" s="28" t="str">
        <x:v>ANC-SLE-016-01</x:v>
      </x:c>
      <x:c r="C600" s="28" t="n">
        <x:v>15</x:v>
      </x:c>
      <x:c r="D600" s="47" t="n">
        <x:v>122.88</x:v>
      </x:c>
      <x:c r="E600" s="47" t="n">
        <x:v>141.307</x:v>
      </x:c>
      <x:c r="F600" s="47" t="n">
        <x:v>175.921</x:v>
      </x:c>
      <x:c r="G600" s="47" t="n">
        <x:v>150.915</x:v>
      </x:c>
      <x:c r="H600" s="50" t="n">
        <x:v>0.145931</x:v>
      </x:c>
      <x:c r="I600" s="50" t="n">
        <x:v>0.237364</x:v>
      </x:c>
      <x:c r="J600" s="50" t="n">
        <x:v>0.208923</x:v>
      </x:c>
      <x:c r="K600" s="50" t="n">
        <x:v>0.253503</x:v>
      </x:c>
      <x:c r="L600" s="47" t="n">
        <x:v>842.04</x:v>
      </x:c>
      <x:c r="M600" s="47" t="n">
        <x:v>595.32</x:v>
      </x:c>
      <x:c r="N600" s="28" t="str">
        <x:v>top-left</x:v>
      </x:c>
      <x:c r="O600" s="28" t="str">
        <x:v>PDF points</x:v>
      </x:c>
    </x:row>
    <x:row r="601" ht="22" customHeight="1">
      <x:c r="A601" s="28" t="str">
        <x:v>ANC-SLE-016-01-R02</x:v>
      </x:c>
      <x:c r="B601" s="28" t="str">
        <x:v>ANC-SLE-016-01</x:v>
      </x:c>
      <x:c r="C601" s="28" t="n">
        <x:v>15</x:v>
      </x:c>
      <x:c r="D601" s="47" t="n">
        <x:v>122.88</x:v>
      </x:c>
      <x:c r="E601" s="47" t="n">
        <x:v>149.95</x:v>
      </x:c>
      <x:c r="F601" s="47" t="n">
        <x:v>200.697</x:v>
      </x:c>
      <x:c r="G601" s="47" t="n">
        <x:v>159.558</x:v>
      </x:c>
      <x:c r="H601" s="50" t="n">
        <x:v>0.145931</x:v>
      </x:c>
      <x:c r="I601" s="50" t="n">
        <x:v>0.251882</x:v>
      </x:c>
      <x:c r="J601" s="50" t="n">
        <x:v>0.238346</x:v>
      </x:c>
      <x:c r="K601" s="50" t="n">
        <x:v>0.268021</x:v>
      </x:c>
      <x:c r="L601" s="47" t="n">
        <x:v>842.04</x:v>
      </x:c>
      <x:c r="M601" s="47" t="n">
        <x:v>595.32</x:v>
      </x:c>
      <x:c r="N601" s="28" t="str">
        <x:v>top-left</x:v>
      </x:c>
      <x:c r="O601" s="28" t="str">
        <x:v>PDF points</x:v>
      </x:c>
    </x:row>
    <x:row r="602" ht="22" customHeight="1">
      <x:c r="A602" s="28" t="str">
        <x:v>ANC-SLE-016-01-R03</x:v>
      </x:c>
      <x:c r="B602" s="28" t="str">
        <x:v>ANC-SLE-016-01</x:v>
      </x:c>
      <x:c r="C602" s="28" t="n">
        <x:v>15</x:v>
      </x:c>
      <x:c r="D602" s="47" t="n">
        <x:v>122.88</x:v>
      </x:c>
      <x:c r="E602" s="47" t="n">
        <x:v>158.707</x:v>
      </x:c>
      <x:c r="F602" s="47" t="n">
        <x:v>150.242</x:v>
      </x:c>
      <x:c r="G602" s="47" t="n">
        <x:v>168.315</x:v>
      </x:c>
      <x:c r="H602" s="50" t="n">
        <x:v>0.145931</x:v>
      </x:c>
      <x:c r="I602" s="50" t="n">
        <x:v>0.266592</x:v>
      </x:c>
      <x:c r="J602" s="50" t="n">
        <x:v>0.178426</x:v>
      </x:c>
      <x:c r="K602" s="50" t="n">
        <x:v>0.282731</x:v>
      </x:c>
      <x:c r="L602" s="47" t="n">
        <x:v>842.04</x:v>
      </x:c>
      <x:c r="M602" s="47" t="n">
        <x:v>595.32</x:v>
      </x:c>
      <x:c r="N602" s="28" t="str">
        <x:v>top-left</x:v>
      </x:c>
      <x:c r="O602" s="28" t="str">
        <x:v>PDF points</x:v>
      </x:c>
    </x:row>
    <x:row r="603" ht="22" customHeight="1">
      <x:c r="A603" s="28" t="str">
        <x:v>ANC-SLE-017-01-R01</x:v>
      </x:c>
      <x:c r="B603" s="28" t="str">
        <x:v>ANC-SLE-017-01</x:v>
      </x:c>
      <x:c r="C603" s="28" t="n">
        <x:v>15</x:v>
      </x:c>
      <x:c r="D603" s="47" t="n">
        <x:v>217.32</x:v>
      </x:c>
      <x:c r="E603" s="47" t="n">
        <x:v>240.787</x:v>
      </x:c>
      <x:c r="F603" s="47" t="n">
        <x:v>444.125</x:v>
      </x:c>
      <x:c r="G603" s="47" t="n">
        <x:v>250.395</x:v>
      </x:c>
      <x:c r="H603" s="50" t="n">
        <x:v>0.258088</x:v>
      </x:c>
      <x:c r="I603" s="50" t="n">
        <x:v>0.404467</x:v>
      </x:c>
      <x:c r="J603" s="50" t="n">
        <x:v>0.527439</x:v>
      </x:c>
      <x:c r="K603" s="50" t="n">
        <x:v>0.420606</x:v>
      </x:c>
      <x:c r="L603" s="47" t="n">
        <x:v>842.04</x:v>
      </x:c>
      <x:c r="M603" s="47" t="n">
        <x:v>595.32</x:v>
      </x:c>
      <x:c r="N603" s="28" t="str">
        <x:v>top-left</x:v>
      </x:c>
      <x:c r="O603" s="28" t="str">
        <x:v>PDF points</x:v>
      </x:c>
    </x:row>
    <x:row r="604" ht="22" customHeight="1">
      <x:c r="A604" s="28" t="str">
        <x:v>ANC-SLE-017-01-R02</x:v>
      </x:c>
      <x:c r="B604" s="28" t="str">
        <x:v>ANC-SLE-017-01</x:v>
      </x:c>
      <x:c r="C604" s="28" t="n">
        <x:v>15</x:v>
      </x:c>
      <x:c r="D604" s="47" t="n">
        <x:v>217.32</x:v>
      </x:c>
      <x:c r="E604" s="47" t="n">
        <x:v>249.427</x:v>
      </x:c>
      <x:c r="F604" s="47" t="n">
        <x:v>247.925</x:v>
      </x:c>
      <x:c r="G604" s="47" t="n">
        <x:v>259.035</x:v>
      </x:c>
      <x:c r="H604" s="50" t="n">
        <x:v>0.258088</x:v>
      </x:c>
      <x:c r="I604" s="50" t="n">
        <x:v>0.41898</x:v>
      </x:c>
      <x:c r="J604" s="50" t="n">
        <x:v>0.294434</x:v>
      </x:c>
      <x:c r="K604" s="50" t="n">
        <x:v>0.435119</x:v>
      </x:c>
      <x:c r="L604" s="47" t="n">
        <x:v>842.04</x:v>
      </x:c>
      <x:c r="M604" s="47" t="n">
        <x:v>595.32</x:v>
      </x:c>
      <x:c r="N604" s="28" t="str">
        <x:v>top-left</x:v>
      </x:c>
      <x:c r="O604" s="28" t="str">
        <x:v>PDF points</x:v>
      </x:c>
    </x:row>
    <x:row r="605" ht="22" customHeight="1">
      <x:c r="A605" s="28" t="str">
        <x:v>ANC-SLE-017-01-R03</x:v>
      </x:c>
      <x:c r="B605" s="28" t="str">
        <x:v>ANC-SLE-017-01</x:v>
      </x:c>
      <x:c r="C605" s="28" t="n">
        <x:v>15</x:v>
      </x:c>
      <x:c r="D605" s="47" t="n">
        <x:v>476.28</x:v>
      </x:c>
      <x:c r="E605" s="47" t="n">
        <x:v>247.627</x:v>
      </x:c>
      <x:c r="F605" s="47" t="n">
        <x:v>491.398</x:v>
      </x:c>
      <x:c r="G605" s="47" t="n">
        <x:v>257.235</x:v>
      </x:c>
      <x:c r="H605" s="50" t="n">
        <x:v>0.565626</x:v>
      </x:c>
      <x:c r="I605" s="50" t="n">
        <x:v>0.415957</x:v>
      </x:c>
      <x:c r="J605" s="50" t="n">
        <x:v>0.58358</x:v>
      </x:c>
      <x:c r="K605" s="50" t="n">
        <x:v>0.432096</x:v>
      </x:c>
      <x:c r="L605" s="47" t="n">
        <x:v>842.04</x:v>
      </x:c>
      <x:c r="M605" s="47" t="n">
        <x:v>595.32</x:v>
      </x:c>
      <x:c r="N605" s="28" t="str">
        <x:v>top-left</x:v>
      </x:c>
      <x:c r="O605" s="28" t="str">
        <x:v>PDF points</x:v>
      </x:c>
    </x:row>
    <x:row r="606" ht="22" customHeight="1">
      <x:c r="A606" s="28" t="str">
        <x:v>ANC-SLE-017-01-R04</x:v>
      </x:c>
      <x:c r="B606" s="28" t="str">
        <x:v>ANC-SLE-017-01</x:v>
      </x:c>
      <x:c r="C606" s="28" t="n">
        <x:v>15</x:v>
      </x:c>
      <x:c r="D606" s="47" t="n">
        <x:v>526.924</x:v>
      </x:c>
      <x:c r="E606" s="47" t="n">
        <x:v>247.627</x:v>
      </x:c>
      <x:c r="F606" s="47" t="n">
        <x:v>542.042</x:v>
      </x:c>
      <x:c r="G606" s="47" t="n">
        <x:v>257.235</x:v>
      </x:c>
      <x:c r="H606" s="50" t="n">
        <x:v>0.625771</x:v>
      </x:c>
      <x:c r="I606" s="50" t="n">
        <x:v>0.415957</x:v>
      </x:c>
      <x:c r="J606" s="50" t="n">
        <x:v>0.643724</x:v>
      </x:c>
      <x:c r="K606" s="50" t="n">
        <x:v>0.432096</x:v>
      </x:c>
      <x:c r="L606" s="47" t="n">
        <x:v>842.04</x:v>
      </x:c>
      <x:c r="M606" s="47" t="n">
        <x:v>595.32</x:v>
      </x:c>
      <x:c r="N606" s="28" t="str">
        <x:v>top-left</x:v>
      </x:c>
      <x:c r="O606" s="28" t="str">
        <x:v>PDF points</x:v>
      </x:c>
    </x:row>
    <x:row r="607" ht="22" customHeight="1">
      <x:c r="A607" s="28" t="str">
        <x:v>ANC-SLE-017-01-R05</x:v>
      </x:c>
      <x:c r="B607" s="28" t="str">
        <x:v>ANC-SLE-017-01</x:v>
      </x:c>
      <x:c r="C607" s="28" t="n">
        <x:v>15</x:v>
      </x:c>
      <x:c r="D607" s="47" t="n">
        <x:v>576.482</x:v>
      </x:c>
      <x:c r="E607" s="47" t="n">
        <x:v>247.627</x:v>
      </x:c>
      <x:c r="F607" s="47" t="n">
        <x:v>591.6</x:v>
      </x:c>
      <x:c r="G607" s="47" t="n">
        <x:v>257.235</x:v>
      </x:c>
      <x:c r="H607" s="50" t="n">
        <x:v>0.684626</x:v>
      </x:c>
      <x:c r="I607" s="50" t="n">
        <x:v>0.415957</x:v>
      </x:c>
      <x:c r="J607" s="50" t="n">
        <x:v>0.70258</x:v>
      </x:c>
      <x:c r="K607" s="50" t="n">
        <x:v>0.432096</x:v>
      </x:c>
      <x:c r="L607" s="47" t="n">
        <x:v>842.04</x:v>
      </x:c>
      <x:c r="M607" s="47" t="n">
        <x:v>595.32</x:v>
      </x:c>
      <x:c r="N607" s="28" t="str">
        <x:v>top-left</x:v>
      </x:c>
      <x:c r="O607" s="28" t="str">
        <x:v>PDF points</x:v>
      </x:c>
    </x:row>
    <x:row r="608" ht="22" customHeight="1">
      <x:c r="A608" s="28" t="str">
        <x:v>ANC-SLE-017-01-R06</x:v>
      </x:c>
      <x:c r="B608" s="28" t="str">
        <x:v>ANC-SLE-017-01</x:v>
      </x:c>
      <x:c r="C608" s="28" t="n">
        <x:v>15</x:v>
      </x:c>
      <x:c r="D608" s="47" t="n">
        <x:v>616.92</x:v>
      </x:c>
      <x:c r="E608" s="47" t="n">
        <x:v>247.627</x:v>
      </x:c>
      <x:c r="F608" s="47" t="n">
        <x:v>632.038</x:v>
      </x:c>
      <x:c r="G608" s="47" t="n">
        <x:v>257.235</x:v>
      </x:c>
      <x:c r="H608" s="50" t="n">
        <x:v>0.732649</x:v>
      </x:c>
      <x:c r="I608" s="50" t="n">
        <x:v>0.415957</x:v>
      </x:c>
      <x:c r="J608" s="50" t="n">
        <x:v>0.750603</x:v>
      </x:c>
      <x:c r="K608" s="50" t="n">
        <x:v>0.432096</x:v>
      </x:c>
      <x:c r="L608" s="47" t="n">
        <x:v>842.04</x:v>
      </x:c>
      <x:c r="M608" s="47" t="n">
        <x:v>595.32</x:v>
      </x:c>
      <x:c r="N608" s="28" t="str">
        <x:v>top-left</x:v>
      </x:c>
      <x:c r="O608" s="28" t="str">
        <x:v>PDF points</x:v>
      </x:c>
    </x:row>
    <x:row r="609" ht="22" customHeight="1">
      <x:c r="A609" s="28" t="str">
        <x:v>ANC-SLE-017-01-R07</x:v>
      </x:c>
      <x:c r="B609" s="28" t="str">
        <x:v>ANC-SLE-017-01</x:v>
      </x:c>
      <x:c r="C609" s="28" t="n">
        <x:v>15</x:v>
      </x:c>
      <x:c r="D609" s="47" t="n">
        <x:v>656.52</x:v>
      </x:c>
      <x:c r="E609" s="47" t="n">
        <x:v>247.627</x:v>
      </x:c>
      <x:c r="F609" s="47" t="n">
        <x:v>671.638</x:v>
      </x:c>
      <x:c r="G609" s="47" t="n">
        <x:v>257.235</x:v>
      </x:c>
      <x:c r="H609" s="50" t="n">
        <x:v>0.779678</x:v>
      </x:c>
      <x:c r="I609" s="50" t="n">
        <x:v>0.415957</x:v>
      </x:c>
      <x:c r="J609" s="50" t="n">
        <x:v>0.797632</x:v>
      </x:c>
      <x:c r="K609" s="50" t="n">
        <x:v>0.432096</x:v>
      </x:c>
      <x:c r="L609" s="47" t="n">
        <x:v>842.04</x:v>
      </x:c>
      <x:c r="M609" s="47" t="n">
        <x:v>595.32</x:v>
      </x:c>
      <x:c r="N609" s="28" t="str">
        <x:v>top-left</x:v>
      </x:c>
      <x:c r="O609" s="28" t="str">
        <x:v>PDF points</x:v>
      </x:c>
    </x:row>
    <x:row r="610" ht="22" customHeight="1">
      <x:c r="A610" s="28" t="str">
        <x:v>ANC-SLE-017-01-R08</x:v>
      </x:c>
      <x:c r="B610" s="28" t="str">
        <x:v>ANC-SLE-017-01</x:v>
      </x:c>
      <x:c r="C610" s="28" t="n">
        <x:v>15</x:v>
      </x:c>
      <x:c r="D610" s="47" t="n">
        <x:v>696</x:v>
      </x:c>
      <x:c r="E610" s="47" t="n">
        <x:v>247.627</x:v>
      </x:c>
      <x:c r="F610" s="47" t="n">
        <x:v>711.118</x:v>
      </x:c>
      <x:c r="G610" s="47" t="n">
        <x:v>257.235</x:v>
      </x:c>
      <x:c r="H610" s="50" t="n">
        <x:v>0.826564</x:v>
      </x:c>
      <x:c r="I610" s="50" t="n">
        <x:v>0.415957</x:v>
      </x:c>
      <x:c r="J610" s="50" t="n">
        <x:v>0.844518</x:v>
      </x:c>
      <x:c r="K610" s="50" t="n">
        <x:v>0.432096</x:v>
      </x:c>
      <x:c r="L610" s="47" t="n">
        <x:v>842.04</x:v>
      </x:c>
      <x:c r="M610" s="47" t="n">
        <x:v>595.32</x:v>
      </x:c>
      <x:c r="N610" s="28" t="str">
        <x:v>top-left</x:v>
      </x:c>
      <x:c r="O610" s="28" t="str">
        <x:v>PDF points</x:v>
      </x:c>
    </x:row>
    <x:row r="611" ht="22" customHeight="1">
      <x:c r="A611" s="28" t="str">
        <x:v>ANC-SLE-017-01-R09</x:v>
      </x:c>
      <x:c r="B611" s="28" t="str">
        <x:v>ANC-SLE-017-01</x:v>
      </x:c>
      <x:c r="C611" s="28" t="n">
        <x:v>15</x:v>
      </x:c>
      <x:c r="D611" s="47" t="n">
        <x:v>731.88</x:v>
      </x:c>
      <x:c r="E611" s="47" t="n">
        <x:v>247.627</x:v>
      </x:c>
      <x:c r="F611" s="47" t="n">
        <x:v>746.998</x:v>
      </x:c>
      <x:c r="G611" s="47" t="n">
        <x:v>257.235</x:v>
      </x:c>
      <x:c r="H611" s="50" t="n">
        <x:v>0.869175</x:v>
      </x:c>
      <x:c r="I611" s="50" t="n">
        <x:v>0.415957</x:v>
      </x:c>
      <x:c r="J611" s="50" t="n">
        <x:v>0.887129</x:v>
      </x:c>
      <x:c r="K611" s="50" t="n">
        <x:v>0.432096</x:v>
      </x:c>
      <x:c r="L611" s="47" t="n">
        <x:v>842.04</x:v>
      </x:c>
      <x:c r="M611" s="47" t="n">
        <x:v>595.32</x:v>
      </x:c>
      <x:c r="N611" s="28" t="str">
        <x:v>top-left</x:v>
      </x:c>
      <x:c r="O611" s="28" t="str">
        <x:v>PDF points</x:v>
      </x:c>
    </x:row>
    <x:row r="612" ht="22" customHeight="1">
      <x:c r="A612" s="28" t="str">
        <x:v>ANC-SLE-017-01-R10</x:v>
      </x:c>
      <x:c r="B612" s="28" t="str">
        <x:v>ANC-SLE-017-01</x:v>
      </x:c>
      <x:c r="C612" s="28" t="n">
        <x:v>15</x:v>
      </x:c>
      <x:c r="D612" s="47" t="n">
        <x:v>768</x:v>
      </x:c>
      <x:c r="E612" s="47" t="n">
        <x:v>247.627</x:v>
      </x:c>
      <x:c r="F612" s="47" t="n">
        <x:v>783.118</x:v>
      </x:c>
      <x:c r="G612" s="47" t="n">
        <x:v>257.235</x:v>
      </x:c>
      <x:c r="H612" s="50" t="n">
        <x:v>0.912071</x:v>
      </x:c>
      <x:c r="I612" s="50" t="n">
        <x:v>0.415957</x:v>
      </x:c>
      <x:c r="J612" s="50" t="n">
        <x:v>0.930024</x:v>
      </x:c>
      <x:c r="K612" s="50" t="n">
        <x:v>0.432096</x:v>
      </x:c>
      <x:c r="L612" s="47" t="n">
        <x:v>842.04</x:v>
      </x:c>
      <x:c r="M612" s="47" t="n">
        <x:v>595.32</x:v>
      </x:c>
      <x:c r="N612" s="28" t="str">
        <x:v>top-left</x:v>
      </x:c>
      <x:c r="O612" s="28" t="str">
        <x:v>PDF points</x:v>
      </x:c>
    </x:row>
    <x:row r="613" ht="22" customHeight="1">
      <x:c r="A613" s="28" t="str">
        <x:v>ANC-SLE-017-01-R11</x:v>
      </x:c>
      <x:c r="B613" s="28" t="str">
        <x:v>ANC-SLE-017-01</x:v>
      </x:c>
      <x:c r="C613" s="28" t="n">
        <x:v>15</x:v>
      </x:c>
      <x:c r="D613" s="47" t="n">
        <x:v>217.32</x:v>
      </x:c>
      <x:c r="E613" s="47" t="n">
        <x:v>263.707</x:v>
      </x:c>
      <x:c r="F613" s="47" t="n">
        <x:v>441.654</x:v>
      </x:c>
      <x:c r="G613" s="47" t="n">
        <x:v>273.315</x:v>
      </x:c>
      <x:c r="H613" s="50" t="n">
        <x:v>0.258088</x:v>
      </x:c>
      <x:c r="I613" s="50" t="n">
        <x:v>0.442967</x:v>
      </x:c>
      <x:c r="J613" s="50" t="n">
        <x:v>0.524504</x:v>
      </x:c>
      <x:c r="K613" s="50" t="n">
        <x:v>0.459106</x:v>
      </x:c>
      <x:c r="L613" s="47" t="n">
        <x:v>842.04</x:v>
      </x:c>
      <x:c r="M613" s="47" t="n">
        <x:v>595.32</x:v>
      </x:c>
      <x:c r="N613" s="28" t="str">
        <x:v>top-left</x:v>
      </x:c>
      <x:c r="O613" s="28" t="str">
        <x:v>PDF points</x:v>
      </x:c>
    </x:row>
    <x:row r="614" ht="22" customHeight="1">
      <x:c r="A614" s="28" t="str">
        <x:v>ANC-SLE-017-01-R12</x:v>
      </x:c>
      <x:c r="B614" s="28" t="str">
        <x:v>ANC-SLE-017-01</x:v>
      </x:c>
      <x:c r="C614" s="28" t="n">
        <x:v>15</x:v>
      </x:c>
      <x:c r="D614" s="47" t="n">
        <x:v>217.32</x:v>
      </x:c>
      <x:c r="E614" s="47" t="n">
        <x:v>272.467</x:v>
      </x:c>
      <x:c r="F614" s="47" t="n">
        <x:v>359.973</x:v>
      </x:c>
      <x:c r="G614" s="47" t="n">
        <x:v>282.075</x:v>
      </x:c>
      <x:c r="H614" s="50" t="n">
        <x:v>0.258088</x:v>
      </x:c>
      <x:c r="I614" s="50" t="n">
        <x:v>0.457682</x:v>
      </x:c>
      <x:c r="J614" s="50" t="n">
        <x:v>0.427501</x:v>
      </x:c>
      <x:c r="K614" s="50" t="n">
        <x:v>0.473821</x:v>
      </x:c>
      <x:c r="L614" s="47" t="n">
        <x:v>842.04</x:v>
      </x:c>
      <x:c r="M614" s="47" t="n">
        <x:v>595.32</x:v>
      </x:c>
      <x:c r="N614" s="28" t="str">
        <x:v>top-left</x:v>
      </x:c>
      <x:c r="O614" s="28" t="str">
        <x:v>PDF points</x:v>
      </x:c>
    </x:row>
    <x:row r="615" ht="22" customHeight="1">
      <x:c r="A615" s="28" t="str">
        <x:v>ANC-SLE-018-01-R01</x:v>
      </x:c>
      <x:c r="B615" s="28" t="str">
        <x:v>ANC-SLE-018-01</x:v>
      </x:c>
      <x:c r="C615" s="28" t="n">
        <x:v>15</x:v>
      </x:c>
      <x:c r="D615" s="47" t="n">
        <x:v>217.32</x:v>
      </x:c>
      <x:c r="E615" s="47" t="n">
        <x:v>313.147</x:v>
      </x:c>
      <x:c r="F615" s="47" t="n">
        <x:v>443.068</x:v>
      </x:c>
      <x:c r="G615" s="47" t="n">
        <x:v>322.755</x:v>
      </x:c>
      <x:c r="H615" s="50" t="n">
        <x:v>0.258088</x:v>
      </x:c>
      <x:c r="I615" s="50" t="n">
        <x:v>0.526015</x:v>
      </x:c>
      <x:c r="J615" s="50" t="n">
        <x:v>0.526184</x:v>
      </x:c>
      <x:c r="K615" s="50" t="n">
        <x:v>0.542154</x:v>
      </x:c>
      <x:c r="L615" s="47" t="n">
        <x:v>842.04</x:v>
      </x:c>
      <x:c r="M615" s="47" t="n">
        <x:v>595.32</x:v>
      </x:c>
      <x:c r="N615" s="28" t="str">
        <x:v>top-left</x:v>
      </x:c>
      <x:c r="O615" s="28" t="str">
        <x:v>PDF points</x:v>
      </x:c>
    </x:row>
    <x:row r="616" ht="22" customHeight="1">
      <x:c r="A616" s="28" t="str">
        <x:v>ANC-SLE-018-01-R02</x:v>
      </x:c>
      <x:c r="B616" s="28" t="str">
        <x:v>ANC-SLE-018-01</x:v>
      </x:c>
      <x:c r="C616" s="28" t="n">
        <x:v>15</x:v>
      </x:c>
      <x:c r="D616" s="47" t="n">
        <x:v>217.32</x:v>
      </x:c>
      <x:c r="E616" s="47" t="n">
        <x:v>321.787</x:v>
      </x:c>
      <x:c r="F616" s="47" t="n">
        <x:v>279.262</x:v>
      </x:c>
      <x:c r="G616" s="47" t="n">
        <x:v>331.395</x:v>
      </x:c>
      <x:c r="H616" s="50" t="n">
        <x:v>0.258088</x:v>
      </x:c>
      <x:c r="I616" s="50" t="n">
        <x:v>0.540528</x:v>
      </x:c>
      <x:c r="J616" s="50" t="n">
        <x:v>0.331649</x:v>
      </x:c>
      <x:c r="K616" s="50" t="n">
        <x:v>0.556667</x:v>
      </x:c>
      <x:c r="L616" s="47" t="n">
        <x:v>842.04</x:v>
      </x:c>
      <x:c r="M616" s="47" t="n">
        <x:v>595.32</x:v>
      </x:c>
      <x:c r="N616" s="28" t="str">
        <x:v>top-left</x:v>
      </x:c>
      <x:c r="O616" s="28" t="str">
        <x:v>PDF points</x:v>
      </x:c>
    </x:row>
    <x:row r="617" ht="22" customHeight="1">
      <x:c r="A617" s="28" t="str">
        <x:v>ANC-SLE-019-01-R01</x:v>
      </x:c>
      <x:c r="B617" s="28" t="str">
        <x:v>ANC-SLE-019-01</x:v>
      </x:c>
      <x:c r="C617" s="28" t="n">
        <x:v>15</x:v>
      </x:c>
      <x:c r="D617" s="47" t="n">
        <x:v>217.32</x:v>
      </x:c>
      <x:c r="E617" s="47" t="n">
        <x:v>424.507</x:v>
      </x:c>
      <x:c r="F617" s="47" t="n">
        <x:v>424.925</x:v>
      </x:c>
      <x:c r="G617" s="47" t="n">
        <x:v>434.115</x:v>
      </x:c>
      <x:c r="H617" s="50" t="n">
        <x:v>0.258088</x:v>
      </x:c>
      <x:c r="I617" s="50" t="n">
        <x:v>0.713074</x:v>
      </x:c>
      <x:c r="J617" s="50" t="n">
        <x:v>0.504638</x:v>
      </x:c>
      <x:c r="K617" s="50" t="n">
        <x:v>0.729213</x:v>
      </x:c>
      <x:c r="L617" s="47" t="n">
        <x:v>842.04</x:v>
      </x:c>
      <x:c r="M617" s="47" t="n">
        <x:v>595.32</x:v>
      </x:c>
      <x:c r="N617" s="28" t="str">
        <x:v>top-left</x:v>
      </x:c>
      <x:c r="O617" s="28" t="str">
        <x:v>PDF points</x:v>
      </x:c>
    </x:row>
    <x:row r="618" ht="22" customHeight="1">
      <x:c r="A618" s="28" t="str">
        <x:v>ANC-SLE-019-01-R02</x:v>
      </x:c>
      <x:c r="B618" s="28" t="str">
        <x:v>ANC-SLE-019-01</x:v>
      </x:c>
      <x:c r="C618" s="28" t="n">
        <x:v>15</x:v>
      </x:c>
      <x:c r="D618" s="47" t="n">
        <x:v>217.32</x:v>
      </x:c>
      <x:c r="E618" s="47" t="n">
        <x:v>433.147</x:v>
      </x:c>
      <x:c r="F618" s="47" t="n">
        <x:v>252.277</x:v>
      </x:c>
      <x:c r="G618" s="47" t="n">
        <x:v>442.755</x:v>
      </x:c>
      <x:c r="H618" s="50" t="n">
        <x:v>0.258088</x:v>
      </x:c>
      <x:c r="I618" s="50" t="n">
        <x:v>0.727587</x:v>
      </x:c>
      <x:c r="J618" s="50" t="n">
        <x:v>0.299602</x:v>
      </x:c>
      <x:c r="K618" s="50" t="n">
        <x:v>0.743726</x:v>
      </x:c>
      <x:c r="L618" s="47" t="n">
        <x:v>842.04</x:v>
      </x:c>
      <x:c r="M618" s="47" t="n">
        <x:v>595.32</x:v>
      </x:c>
      <x:c r="N618" s="28" t="str">
        <x:v>top-left</x:v>
      </x:c>
      <x:c r="O618" s="28" t="str">
        <x:v>PDF points</x:v>
      </x:c>
    </x:row>
    <x:row r="619" ht="22" customHeight="1">
      <x:c r="A619" s="28" t="str">
        <x:v>ANC-SLE-020-01-R01</x:v>
      </x:c>
      <x:c r="B619" s="28" t="str">
        <x:v>ANC-SLE-020-01</x:v>
      </x:c>
      <x:c r="C619" s="28" t="n">
        <x:v>15</x:v>
      </x:c>
      <x:c r="D619" s="47" t="n">
        <x:v>217.32</x:v>
      </x:c>
      <x:c r="E619" s="47" t="n">
        <x:v>444.547</x:v>
      </x:c>
      <x:c r="F619" s="47" t="n">
        <x:v>451.708</x:v>
      </x:c>
      <x:c r="G619" s="47" t="n">
        <x:v>454.155</x:v>
      </x:c>
      <x:c r="H619" s="50" t="n">
        <x:v>0.258088</x:v>
      </x:c>
      <x:c r="I619" s="50" t="n">
        <x:v>0.746737</x:v>
      </x:c>
      <x:c r="J619" s="50" t="n">
        <x:v>0.536444</x:v>
      </x:c>
      <x:c r="K619" s="50" t="n">
        <x:v>0.762876</x:v>
      </x:c>
      <x:c r="L619" s="47" t="n">
        <x:v>842.04</x:v>
      </x:c>
      <x:c r="M619" s="47" t="n">
        <x:v>595.32</x:v>
      </x:c>
      <x:c r="N619" s="28" t="str">
        <x:v>top-left</x:v>
      </x:c>
      <x:c r="O619" s="28" t="str">
        <x:v>PDF points</x:v>
      </x:c>
    </x:row>
    <x:row r="620" ht="22" customHeight="1">
      <x:c r="A620" s="28" t="str">
        <x:v>ANC-SLE-020-01-R02</x:v>
      </x:c>
      <x:c r="B620" s="28" t="str">
        <x:v>ANC-SLE-020-01</x:v>
      </x:c>
      <x:c r="C620" s="28" t="n">
        <x:v>15</x:v>
      </x:c>
      <x:c r="D620" s="47" t="n">
        <x:v>217.32</x:v>
      </x:c>
      <x:c r="E620" s="47" t="n">
        <x:v>453.187</x:v>
      </x:c>
      <x:c r="F620" s="47" t="n">
        <x:v>341.921</x:v>
      </x:c>
      <x:c r="G620" s="47" t="n">
        <x:v>462.795</x:v>
      </x:c>
      <x:c r="H620" s="50" t="n">
        <x:v>0.258088</x:v>
      </x:c>
      <x:c r="I620" s="50" t="n">
        <x:v>0.76125</x:v>
      </x:c>
      <x:c r="J620" s="50" t="n">
        <x:v>0.406063</x:v>
      </x:c>
      <x:c r="K620" s="50" t="n">
        <x:v>0.777389</x:v>
      </x:c>
      <x:c r="L620" s="47" t="n">
        <x:v>842.04</x:v>
      </x:c>
      <x:c r="M620" s="47" t="n">
        <x:v>595.32</x:v>
      </x:c>
      <x:c r="N620" s="28" t="str">
        <x:v>top-left</x:v>
      </x:c>
      <x:c r="O620" s="28" t="str">
        <x:v>PDF points</x:v>
      </x:c>
    </x:row>
    <x:row r="621" ht="22" customHeight="1">
      <x:c r="A621" s="28" t="str">
        <x:v>ANC-SLE-021-01-R01</x:v>
      </x:c>
      <x:c r="B621" s="28" t="str">
        <x:v>ANC-SLE-021-01</x:v>
      </x:c>
      <x:c r="C621" s="28" t="n">
        <x:v>15</x:v>
      </x:c>
      <x:c r="D621" s="47" t="n">
        <x:v>217.32</x:v>
      </x:c>
      <x:c r="E621" s="47" t="n">
        <x:v>380.107</x:v>
      </x:c>
      <x:c r="F621" s="47" t="n">
        <x:v>426.895</x:v>
      </x:c>
      <x:c r="G621" s="47" t="n">
        <x:v>389.715</x:v>
      </x:c>
      <x:c r="H621" s="50" t="n">
        <x:v>0.258088</x:v>
      </x:c>
      <x:c r="I621" s="50" t="n">
        <x:v>0.638492</x:v>
      </x:c>
      <x:c r="J621" s="50" t="n">
        <x:v>0.506977</x:v>
      </x:c>
      <x:c r="K621" s="50" t="n">
        <x:v>0.654631</x:v>
      </x:c>
      <x:c r="L621" s="47" t="n">
        <x:v>842.04</x:v>
      </x:c>
      <x:c r="M621" s="47" t="n">
        <x:v>595.32</x:v>
      </x:c>
      <x:c r="N621" s="28" t="str">
        <x:v>top-left</x:v>
      </x:c>
      <x:c r="O621" s="28" t="str">
        <x:v>PDF points</x:v>
      </x:c>
    </x:row>
    <x:row r="622" ht="22" customHeight="1">
      <x:c r="A622" s="28" t="str">
        <x:v>ANC-SLE-021-01-R02</x:v>
      </x:c>
      <x:c r="B622" s="28" t="str">
        <x:v>ANC-SLE-021-01</x:v>
      </x:c>
      <x:c r="C622" s="28" t="n">
        <x:v>15</x:v>
      </x:c>
      <x:c r="D622" s="47" t="n">
        <x:v>768</x:v>
      </x:c>
      <x:c r="E622" s="47" t="n">
        <x:v>371.707</x:v>
      </x:c>
      <x:c r="F622" s="47" t="n">
        <x:v>783.118</x:v>
      </x:c>
      <x:c r="G622" s="47" t="n">
        <x:v>381.315</x:v>
      </x:c>
      <x:c r="H622" s="50" t="n">
        <x:v>0.912071</x:v>
      </x:c>
      <x:c r="I622" s="50" t="n">
        <x:v>0.624382</x:v>
      </x:c>
      <x:c r="J622" s="50" t="n">
        <x:v>0.930024</x:v>
      </x:c>
      <x:c r="K622" s="50" t="n">
        <x:v>0.640521</x:v>
      </x:c>
      <x:c r="L622" s="47" t="n">
        <x:v>842.04</x:v>
      </x:c>
      <x:c r="M622" s="47" t="n">
        <x:v>595.32</x:v>
      </x:c>
      <x:c r="N622" s="28" t="str">
        <x:v>top-left</x:v>
      </x:c>
      <x:c r="O622" s="28" t="str">
        <x:v>PDF points</x:v>
      </x:c>
    </x:row>
    <x:row r="623" ht="22" customHeight="1">
      <x:c r="A623" s="28" t="str">
        <x:v>ANC-SLE-021-01-R03</x:v>
      </x:c>
      <x:c r="B623" s="28" t="str">
        <x:v>ANC-SLE-021-01</x:v>
      </x:c>
      <x:c r="C623" s="28" t="n">
        <x:v>15</x:v>
      </x:c>
      <x:c r="D623" s="47" t="n">
        <x:v>51.12</x:v>
      </x:c>
      <x:c r="E623" s="47" t="n">
        <x:v>389.947</x:v>
      </x:c>
      <x:c r="F623" s="47" t="n">
        <x:v>107.177</x:v>
      </x:c>
      <x:c r="G623" s="47" t="n">
        <x:v>399.193</x:v>
      </x:c>
      <x:c r="H623" s="50" t="n">
        <x:v>0.06071</x:v>
      </x:c>
      <x:c r="I623" s="50" t="n">
        <x:v>0.655021</x:v>
      </x:c>
      <x:c r="J623" s="50" t="n">
        <x:v>0.127283</x:v>
      </x:c>
      <x:c r="K623" s="50" t="n">
        <x:v>0.670553</x:v>
      </x:c>
      <x:c r="L623" s="47" t="n">
        <x:v>842.04</x:v>
      </x:c>
      <x:c r="M623" s="47" t="n">
        <x:v>595.32</x:v>
      </x:c>
      <x:c r="N623" s="28" t="str">
        <x:v>top-left</x:v>
      </x:c>
      <x:c r="O623" s="28" t="str">
        <x:v>PDF points</x:v>
      </x:c>
    </x:row>
    <x:row r="624" ht="22" customHeight="1">
      <x:c r="A624" s="28" t="str">
        <x:v>ANC-SLE-021-01-R04</x:v>
      </x:c>
      <x:c r="B624" s="28" t="str">
        <x:v>ANC-SLE-021-01</x:v>
      </x:c>
      <x:c r="C624" s="28" t="n">
        <x:v>15</x:v>
      </x:c>
      <x:c r="D624" s="47" t="n">
        <x:v>51.12</x:v>
      </x:c>
      <x:c r="E624" s="47" t="n">
        <x:v>398.707</x:v>
      </x:c>
      <x:c r="F624" s="47" t="n">
        <x:v>106.682</x:v>
      </x:c>
      <x:c r="G624" s="47" t="n">
        <x:v>407.953</x:v>
      </x:c>
      <x:c r="H624" s="50" t="n">
        <x:v>0.06071</x:v>
      </x:c>
      <x:c r="I624" s="50" t="n">
        <x:v>0.669736</x:v>
      </x:c>
      <x:c r="J624" s="50" t="n">
        <x:v>0.126695</x:v>
      </x:c>
      <x:c r="K624" s="50" t="n">
        <x:v>0.685267</x:v>
      </x:c>
      <x:c r="L624" s="47" t="n">
        <x:v>842.04</x:v>
      </x:c>
      <x:c r="M624" s="47" t="n">
        <x:v>595.32</x:v>
      </x:c>
      <x:c r="N624" s="28" t="str">
        <x:v>top-left</x:v>
      </x:c>
      <x:c r="O624" s="28" t="str">
        <x:v>PDF points</x:v>
      </x:c>
    </x:row>
    <x:row r="625" ht="22" customHeight="1">
      <x:c r="A625" s="28" t="str">
        <x:v>ANC-SLE-021-01-R05</x:v>
      </x:c>
      <x:c r="B625" s="28" t="str">
        <x:v>ANC-SLE-021-01</x:v>
      </x:c>
      <x:c r="C625" s="28" t="n">
        <x:v>15</x:v>
      </x:c>
      <x:c r="D625" s="47" t="n">
        <x:v>51.12</x:v>
      </x:c>
      <x:c r="E625" s="47" t="n">
        <x:v>424.507</x:v>
      </x:c>
      <x:c r="F625" s="47" t="n">
        <x:v>105.683</x:v>
      </x:c>
      <x:c r="G625" s="47" t="n">
        <x:v>433.753</x:v>
      </x:c>
      <x:c r="H625" s="50" t="n">
        <x:v>0.06071</x:v>
      </x:c>
      <x:c r="I625" s="50" t="n">
        <x:v>0.713074</x:v>
      </x:c>
      <x:c r="J625" s="50" t="n">
        <x:v>0.125508</x:v>
      </x:c>
      <x:c r="K625" s="50" t="n">
        <x:v>0.728605</x:v>
      </x:c>
      <x:c r="L625" s="47" t="n">
        <x:v>842.04</x:v>
      </x:c>
      <x:c r="M625" s="47" t="n">
        <x:v>595.32</x:v>
      </x:c>
      <x:c r="N625" s="28" t="str">
        <x:v>top-left</x:v>
      </x:c>
      <x:c r="O625" s="28" t="str">
        <x:v>PDF points</x:v>
      </x:c>
    </x:row>
    <x:row r="626" ht="22" customHeight="1">
      <x:c r="A626" s="28" t="str">
        <x:v>ANC-SLE-021-01-R06</x:v>
      </x:c>
      <x:c r="B626" s="28" t="str">
        <x:v>ANC-SLE-021-01</x:v>
      </x:c>
      <x:c r="C626" s="28" t="n">
        <x:v>15</x:v>
      </x:c>
      <x:c r="D626" s="47" t="n">
        <x:v>51.12</x:v>
      </x:c>
      <x:c r="E626" s="47" t="n">
        <x:v>433.147</x:v>
      </x:c>
      <x:c r="F626" s="47" t="n">
        <x:v>94.858</x:v>
      </x:c>
      <x:c r="G626" s="47" t="n">
        <x:v>442.393</x:v>
      </x:c>
      <x:c r="H626" s="50" t="n">
        <x:v>0.06071</x:v>
      </x:c>
      <x:c r="I626" s="50" t="n">
        <x:v>0.727587</x:v>
      </x:c>
      <x:c r="J626" s="50" t="n">
        <x:v>0.112652</x:v>
      </x:c>
      <x:c r="K626" s="50" t="n">
        <x:v>0.743119</x:v>
      </x:c>
      <x:c r="L626" s="47" t="n">
        <x:v>842.04</x:v>
      </x:c>
      <x:c r="M626" s="47" t="n">
        <x:v>595.32</x:v>
      </x:c>
      <x:c r="N626" s="28" t="str">
        <x:v>top-left</x:v>
      </x:c>
      <x:c r="O626" s="28" t="str">
        <x:v>PDF points</x:v>
      </x:c>
    </x:row>
    <x:row r="627" ht="22" customHeight="1">
      <x:c r="A627" s="28" t="str">
        <x:v>ANC-SLE-021-01-R07</x:v>
      </x:c>
      <x:c r="B627" s="28" t="str">
        <x:v>ANC-SLE-021-01</x:v>
      </x:c>
      <x:c r="C627" s="28" t="n">
        <x:v>15</x:v>
      </x:c>
      <x:c r="D627" s="47" t="n">
        <x:v>122.88</x:v>
      </x:c>
      <x:c r="E627" s="47" t="n">
        <x:v>424.507</x:v>
      </x:c>
      <x:c r="F627" s="47" t="n">
        <x:v>169.15</x:v>
      </x:c>
      <x:c r="G627" s="47" t="n">
        <x:v>434.115</x:v>
      </x:c>
      <x:c r="H627" s="50" t="n">
        <x:v>0.145931</x:v>
      </x:c>
      <x:c r="I627" s="50" t="n">
        <x:v>0.713074</x:v>
      </x:c>
      <x:c r="J627" s="50" t="n">
        <x:v>0.200881</x:v>
      </x:c>
      <x:c r="K627" s="50" t="n">
        <x:v>0.729213</x:v>
      </x:c>
      <x:c r="L627" s="47" t="n">
        <x:v>842.04</x:v>
      </x:c>
      <x:c r="M627" s="47" t="n">
        <x:v>595.32</x:v>
      </x:c>
      <x:c r="N627" s="28" t="str">
        <x:v>top-left</x:v>
      </x:c>
      <x:c r="O627" s="28" t="str">
        <x:v>PDF points</x:v>
      </x:c>
    </x:row>
    <x:row r="628" ht="22" customHeight="1">
      <x:c r="A628" s="28" t="str">
        <x:v>ANC-SLE-021-01-R08</x:v>
      </x:c>
      <x:c r="B628" s="28" t="str">
        <x:v>ANC-SLE-021-01</x:v>
      </x:c>
      <x:c r="C628" s="28" t="n">
        <x:v>15</x:v>
      </x:c>
      <x:c r="D628" s="47" t="n">
        <x:v>122.88</x:v>
      </x:c>
      <x:c r="E628" s="47" t="n">
        <x:v>433.147</x:v>
      </x:c>
      <x:c r="F628" s="47" t="n">
        <x:v>206.411</x:v>
      </x:c>
      <x:c r="G628" s="47" t="n">
        <x:v>442.755</x:v>
      </x:c>
      <x:c r="H628" s="50" t="n">
        <x:v>0.145931</x:v>
      </x:c>
      <x:c r="I628" s="50" t="n">
        <x:v>0.727587</x:v>
      </x:c>
      <x:c r="J628" s="50" t="n">
        <x:v>0.245132</x:v>
      </x:c>
      <x:c r="K628" s="50" t="n">
        <x:v>0.743726</x:v>
      </x:c>
      <x:c r="L628" s="47" t="n">
        <x:v>842.04</x:v>
      </x:c>
      <x:c r="M628" s="47" t="n">
        <x:v>595.32</x:v>
      </x:c>
      <x:c r="N628" s="28" t="str">
        <x:v>top-left</x:v>
      </x:c>
      <x:c r="O628" s="28" t="str">
        <x:v>PDF points</x:v>
      </x:c>
    </x:row>
    <x:row r="629" ht="22" customHeight="1">
      <x:c r="A629" s="28" t="str">
        <x:v>ANC-SLE-021-01-R09</x:v>
      </x:c>
      <x:c r="B629" s="28" t="str">
        <x:v>ANC-SLE-021-01</x:v>
      </x:c>
      <x:c r="C629" s="28" t="n">
        <x:v>15</x:v>
      </x:c>
      <x:c r="D629" s="47" t="n">
        <x:v>122.88</x:v>
      </x:c>
      <x:c r="E629" s="47" t="n">
        <x:v>441.911</x:v>
      </x:c>
      <x:c r="F629" s="47" t="n">
        <x:v>187.883</x:v>
      </x:c>
      <x:c r="G629" s="47" t="n">
        <x:v>451.519</x:v>
      </x:c>
      <x:c r="H629" s="50" t="n">
        <x:v>0.145931</x:v>
      </x:c>
      <x:c r="I629" s="50" t="n">
        <x:v>0.742308</x:v>
      </x:c>
      <x:c r="J629" s="50" t="n">
        <x:v>0.223128</x:v>
      </x:c>
      <x:c r="K629" s="50" t="n">
        <x:v>0.758447</x:v>
      </x:c>
      <x:c r="L629" s="47" t="n">
        <x:v>842.04</x:v>
      </x:c>
      <x:c r="M629" s="47" t="n">
        <x:v>595.32</x:v>
      </x:c>
      <x:c r="N629" s="28" t="str">
        <x:v>top-left</x:v>
      </x:c>
      <x:c r="O629" s="28" t="str">
        <x:v>PDF points</x:v>
      </x:c>
    </x:row>
    <x:row r="630" ht="22" customHeight="1">
      <x:c r="A630" s="28" t="str">
        <x:v>ANC-SLE-021-01-R10</x:v>
      </x:c>
      <x:c r="B630" s="28" t="str">
        <x:v>ANC-SLE-021-01</x:v>
      </x:c>
      <x:c r="C630" s="28" t="n">
        <x:v>15</x:v>
      </x:c>
      <x:c r="D630" s="47" t="n">
        <x:v>217.32</x:v>
      </x:c>
      <x:c r="E630" s="47" t="n">
        <x:v>424.507</x:v>
      </x:c>
      <x:c r="F630" s="47" t="n">
        <x:v>424.925</x:v>
      </x:c>
      <x:c r="G630" s="47" t="n">
        <x:v>434.115</x:v>
      </x:c>
      <x:c r="H630" s="50" t="n">
        <x:v>0.258088</x:v>
      </x:c>
      <x:c r="I630" s="50" t="n">
        <x:v>0.713074</x:v>
      </x:c>
      <x:c r="J630" s="50" t="n">
        <x:v>0.504638</x:v>
      </x:c>
      <x:c r="K630" s="50" t="n">
        <x:v>0.729213</x:v>
      </x:c>
      <x:c r="L630" s="47" t="n">
        <x:v>842.04</x:v>
      </x:c>
      <x:c r="M630" s="47" t="n">
        <x:v>595.32</x:v>
      </x:c>
      <x:c r="N630" s="28" t="str">
        <x:v>top-left</x:v>
      </x:c>
      <x:c r="O630" s="28" t="str">
        <x:v>PDF points</x:v>
      </x:c>
    </x:row>
    <x:row r="631" ht="22" customHeight="1">
      <x:c r="A631" s="28" t="str">
        <x:v>ANC-SLE-021-01-R11</x:v>
      </x:c>
      <x:c r="B631" s="28" t="str">
        <x:v>ANC-SLE-021-01</x:v>
      </x:c>
      <x:c r="C631" s="28" t="n">
        <x:v>15</x:v>
      </x:c>
      <x:c r="D631" s="47" t="n">
        <x:v>217.32</x:v>
      </x:c>
      <x:c r="E631" s="47" t="n">
        <x:v>433.147</x:v>
      </x:c>
      <x:c r="F631" s="47" t="n">
        <x:v>252.277</x:v>
      </x:c>
      <x:c r="G631" s="47" t="n">
        <x:v>442.755</x:v>
      </x:c>
      <x:c r="H631" s="50" t="n">
        <x:v>0.258088</x:v>
      </x:c>
      <x:c r="I631" s="50" t="n">
        <x:v>0.727587</x:v>
      </x:c>
      <x:c r="J631" s="50" t="n">
        <x:v>0.299602</x:v>
      </x:c>
      <x:c r="K631" s="50" t="n">
        <x:v>0.743726</x:v>
      </x:c>
      <x:c r="L631" s="47" t="n">
        <x:v>842.04</x:v>
      </x:c>
      <x:c r="M631" s="47" t="n">
        <x:v>595.32</x:v>
      </x:c>
      <x:c r="N631" s="28" t="str">
        <x:v>top-left</x:v>
      </x:c>
      <x:c r="O631" s="28" t="str">
        <x:v>PDF points</x:v>
      </x:c>
    </x:row>
    <x:row r="632" ht="22" customHeight="1">
      <x:c r="A632" s="28" t="str">
        <x:v>ANC-SLE-021-01-R12</x:v>
      </x:c>
      <x:c r="B632" s="28" t="str">
        <x:v>ANC-SLE-021-01</x:v>
      </x:c>
      <x:c r="C632" s="28" t="n">
        <x:v>15</x:v>
      </x:c>
      <x:c r="D632" s="47" t="n">
        <x:v>476.28</x:v>
      </x:c>
      <x:c r="E632" s="47" t="n">
        <x:v>429.907</x:v>
      </x:c>
      <x:c r="F632" s="47" t="n">
        <x:v>491.398</x:v>
      </x:c>
      <x:c r="G632" s="47" t="n">
        <x:v>439.515</x:v>
      </x:c>
      <x:c r="H632" s="50" t="n">
        <x:v>0.565626</x:v>
      </x:c>
      <x:c r="I632" s="50" t="n">
        <x:v>0.722145</x:v>
      </x:c>
      <x:c r="J632" s="50" t="n">
        <x:v>0.58358</x:v>
      </x:c>
      <x:c r="K632" s="50" t="n">
        <x:v>0.738284</x:v>
      </x:c>
      <x:c r="L632" s="47" t="n">
        <x:v>842.04</x:v>
      </x:c>
      <x:c r="M632" s="47" t="n">
        <x:v>595.32</x:v>
      </x:c>
      <x:c r="N632" s="28" t="str">
        <x:v>top-left</x:v>
      </x:c>
      <x:c r="O632" s="28" t="str">
        <x:v>PDF points</x:v>
      </x:c>
    </x:row>
    <x:row r="633" ht="22" customHeight="1">
      <x:c r="A633" s="28" t="str">
        <x:v>ANC-SLE-021-01-R13</x:v>
      </x:c>
      <x:c r="B633" s="28" t="str">
        <x:v>ANC-SLE-021-01</x:v>
      </x:c>
      <x:c r="C633" s="28" t="n">
        <x:v>15</x:v>
      </x:c>
      <x:c r="D633" s="47" t="n">
        <x:v>526.924</x:v>
      </x:c>
      <x:c r="E633" s="47" t="n">
        <x:v>429.907</x:v>
      </x:c>
      <x:c r="F633" s="47" t="n">
        <x:v>542.042</x:v>
      </x:c>
      <x:c r="G633" s="47" t="n">
        <x:v>439.515</x:v>
      </x:c>
      <x:c r="H633" s="50" t="n">
        <x:v>0.625771</x:v>
      </x:c>
      <x:c r="I633" s="50" t="n">
        <x:v>0.722145</x:v>
      </x:c>
      <x:c r="J633" s="50" t="n">
        <x:v>0.643724</x:v>
      </x:c>
      <x:c r="K633" s="50" t="n">
        <x:v>0.738284</x:v>
      </x:c>
      <x:c r="L633" s="47" t="n">
        <x:v>842.04</x:v>
      </x:c>
      <x:c r="M633" s="47" t="n">
        <x:v>595.32</x:v>
      </x:c>
      <x:c r="N633" s="28" t="str">
        <x:v>top-left</x:v>
      </x:c>
      <x:c r="O633" s="28" t="str">
        <x:v>PDF points</x:v>
      </x:c>
    </x:row>
    <x:row r="634" ht="22" customHeight="1">
      <x:c r="A634" s="28" t="str">
        <x:v>ANC-SLE-021-01-R14</x:v>
      </x:c>
      <x:c r="B634" s="28" t="str">
        <x:v>ANC-SLE-021-01</x:v>
      </x:c>
      <x:c r="C634" s="28" t="n">
        <x:v>15</x:v>
      </x:c>
      <x:c r="D634" s="47" t="n">
        <x:v>576.482</x:v>
      </x:c>
      <x:c r="E634" s="47" t="n">
        <x:v>429.907</x:v>
      </x:c>
      <x:c r="F634" s="47" t="n">
        <x:v>591.6</x:v>
      </x:c>
      <x:c r="G634" s="47" t="n">
        <x:v>439.515</x:v>
      </x:c>
      <x:c r="H634" s="50" t="n">
        <x:v>0.684626</x:v>
      </x:c>
      <x:c r="I634" s="50" t="n">
        <x:v>0.722145</x:v>
      </x:c>
      <x:c r="J634" s="50" t="n">
        <x:v>0.70258</x:v>
      </x:c>
      <x:c r="K634" s="50" t="n">
        <x:v>0.738284</x:v>
      </x:c>
      <x:c r="L634" s="47" t="n">
        <x:v>842.04</x:v>
      </x:c>
      <x:c r="M634" s="47" t="n">
        <x:v>595.32</x:v>
      </x:c>
      <x:c r="N634" s="28" t="str">
        <x:v>top-left</x:v>
      </x:c>
      <x:c r="O634" s="28" t="str">
        <x:v>PDF points</x:v>
      </x:c>
    </x:row>
    <x:row r="635" ht="22" customHeight="1">
      <x:c r="A635" s="28" t="str">
        <x:v>ANC-SLE-021-01-R15</x:v>
      </x:c>
      <x:c r="B635" s="28" t="str">
        <x:v>ANC-SLE-021-01</x:v>
      </x:c>
      <x:c r="C635" s="28" t="n">
        <x:v>15</x:v>
      </x:c>
      <x:c r="D635" s="47" t="n">
        <x:v>616.92</x:v>
      </x:c>
      <x:c r="E635" s="47" t="n">
        <x:v>429.907</x:v>
      </x:c>
      <x:c r="F635" s="47" t="n">
        <x:v>632.038</x:v>
      </x:c>
      <x:c r="G635" s="47" t="n">
        <x:v>439.515</x:v>
      </x:c>
      <x:c r="H635" s="50" t="n">
        <x:v>0.732649</x:v>
      </x:c>
      <x:c r="I635" s="50" t="n">
        <x:v>0.722145</x:v>
      </x:c>
      <x:c r="J635" s="50" t="n">
        <x:v>0.750603</x:v>
      </x:c>
      <x:c r="K635" s="50" t="n">
        <x:v>0.738284</x:v>
      </x:c>
      <x:c r="L635" s="47" t="n">
        <x:v>842.04</x:v>
      </x:c>
      <x:c r="M635" s="47" t="n">
        <x:v>595.32</x:v>
      </x:c>
      <x:c r="N635" s="28" t="str">
        <x:v>top-left</x:v>
      </x:c>
      <x:c r="O635" s="28" t="str">
        <x:v>PDF points</x:v>
      </x:c>
    </x:row>
    <x:row r="636" ht="22" customHeight="1">
      <x:c r="A636" s="28" t="str">
        <x:v>ANC-SLE-021-01-R16</x:v>
      </x:c>
      <x:c r="B636" s="28" t="str">
        <x:v>ANC-SLE-021-01</x:v>
      </x:c>
      <x:c r="C636" s="28" t="n">
        <x:v>15</x:v>
      </x:c>
      <x:c r="D636" s="47" t="n">
        <x:v>656.52</x:v>
      </x:c>
      <x:c r="E636" s="47" t="n">
        <x:v>429.907</x:v>
      </x:c>
      <x:c r="F636" s="47" t="n">
        <x:v>671.638</x:v>
      </x:c>
      <x:c r="G636" s="47" t="n">
        <x:v>439.515</x:v>
      </x:c>
      <x:c r="H636" s="50" t="n">
        <x:v>0.779678</x:v>
      </x:c>
      <x:c r="I636" s="50" t="n">
        <x:v>0.722145</x:v>
      </x:c>
      <x:c r="J636" s="50" t="n">
        <x:v>0.797632</x:v>
      </x:c>
      <x:c r="K636" s="50" t="n">
        <x:v>0.738284</x:v>
      </x:c>
      <x:c r="L636" s="47" t="n">
        <x:v>842.04</x:v>
      </x:c>
      <x:c r="M636" s="47" t="n">
        <x:v>595.32</x:v>
      </x:c>
      <x:c r="N636" s="28" t="str">
        <x:v>top-left</x:v>
      </x:c>
      <x:c r="O636" s="28" t="str">
        <x:v>PDF points</x:v>
      </x:c>
    </x:row>
    <x:row r="637" ht="22" customHeight="1">
      <x:c r="A637" s="28" t="str">
        <x:v>ANC-SLE-021-01-R17</x:v>
      </x:c>
      <x:c r="B637" s="28" t="str">
        <x:v>ANC-SLE-021-01</x:v>
      </x:c>
      <x:c r="C637" s="28" t="n">
        <x:v>15</x:v>
      </x:c>
      <x:c r="D637" s="47" t="n">
        <x:v>696.004</x:v>
      </x:c>
      <x:c r="E637" s="47" t="n">
        <x:v>429.907</x:v>
      </x:c>
      <x:c r="F637" s="47" t="n">
        <x:v>711.122</x:v>
      </x:c>
      <x:c r="G637" s="47" t="n">
        <x:v>439.515</x:v>
      </x:c>
      <x:c r="H637" s="50" t="n">
        <x:v>0.826569</x:v>
      </x:c>
      <x:c r="I637" s="50" t="n">
        <x:v>0.722145</x:v>
      </x:c>
      <x:c r="J637" s="50" t="n">
        <x:v>0.844523</x:v>
      </x:c>
      <x:c r="K637" s="50" t="n">
        <x:v>0.738284</x:v>
      </x:c>
      <x:c r="L637" s="47" t="n">
        <x:v>842.04</x:v>
      </x:c>
      <x:c r="M637" s="47" t="n">
        <x:v>595.32</x:v>
      </x:c>
      <x:c r="N637" s="28" t="str">
        <x:v>top-left</x:v>
      </x:c>
      <x:c r="O637" s="28" t="str">
        <x:v>PDF points</x:v>
      </x:c>
    </x:row>
    <x:row r="638" ht="22" customHeight="1">
      <x:c r="A638" s="28" t="str">
        <x:v>ANC-SLE-021-01-R18</x:v>
      </x:c>
      <x:c r="B638" s="28" t="str">
        <x:v>ANC-SLE-021-01</x:v>
      </x:c>
      <x:c r="C638" s="28" t="n">
        <x:v>15</x:v>
      </x:c>
      <x:c r="D638" s="47" t="n">
        <x:v>731.887</x:v>
      </x:c>
      <x:c r="E638" s="47" t="n">
        <x:v>429.907</x:v>
      </x:c>
      <x:c r="F638" s="47" t="n">
        <x:v>747.005</x:v>
      </x:c>
      <x:c r="G638" s="47" t="n">
        <x:v>439.515</x:v>
      </x:c>
      <x:c r="H638" s="50" t="n">
        <x:v>0.869183</x:v>
      </x:c>
      <x:c r="I638" s="50" t="n">
        <x:v>0.722145</x:v>
      </x:c>
      <x:c r="J638" s="50" t="n">
        <x:v>0.887137</x:v>
      </x:c>
      <x:c r="K638" s="50" t="n">
        <x:v>0.738284</x:v>
      </x:c>
      <x:c r="L638" s="47" t="n">
        <x:v>842.04</x:v>
      </x:c>
      <x:c r="M638" s="47" t="n">
        <x:v>595.32</x:v>
      </x:c>
      <x:c r="N638" s="28" t="str">
        <x:v>top-left</x:v>
      </x:c>
      <x:c r="O638" s="28" t="str">
        <x:v>PDF points</x:v>
      </x:c>
    </x:row>
    <x:row r="639" ht="22" customHeight="1">
      <x:c r="A639" s="28" t="str">
        <x:v>ANC-SLE-021-01-R19</x:v>
      </x:c>
      <x:c r="B639" s="28" t="str">
        <x:v>ANC-SLE-021-01</x:v>
      </x:c>
      <x:c r="C639" s="28" t="n">
        <x:v>15</x:v>
      </x:c>
      <x:c r="D639" s="47" t="n">
        <x:v>768.011</x:v>
      </x:c>
      <x:c r="E639" s="47" t="n">
        <x:v>429.907</x:v>
      </x:c>
      <x:c r="F639" s="47" t="n">
        <x:v>783.128</x:v>
      </x:c>
      <x:c r="G639" s="47" t="n">
        <x:v>439.515</x:v>
      </x:c>
      <x:c r="H639" s="50" t="n">
        <x:v>0.912083</x:v>
      </x:c>
      <x:c r="I639" s="50" t="n">
        <x:v>0.722145</x:v>
      </x:c>
      <x:c r="J639" s="50" t="n">
        <x:v>0.930037</x:v>
      </x:c>
      <x:c r="K639" s="50" t="n">
        <x:v>0.738284</x:v>
      </x:c>
      <x:c r="L639" s="47" t="n">
        <x:v>842.04</x:v>
      </x:c>
      <x:c r="M639" s="47" t="n">
        <x:v>595.32</x:v>
      </x:c>
      <x:c r="N639" s="28" t="str">
        <x:v>top-left</x:v>
      </x:c>
      <x:c r="O639" s="28" t="str">
        <x:v>PDF points</x:v>
      </x:c>
    </x:row>
    <x:row r="640" ht="22" customHeight="1">
      <x:c r="A640" s="28" t="str">
        <x:v>ANC-SLE-021-01-R20</x:v>
      </x:c>
      <x:c r="B640" s="28" t="str">
        <x:v>ANC-SLE-021-01</x:v>
      </x:c>
      <x:c r="C640" s="28" t="n">
        <x:v>15</x:v>
      </x:c>
      <x:c r="D640" s="47" t="n">
        <x:v>217.32</x:v>
      </x:c>
      <x:c r="E640" s="47" t="n">
        <x:v>444.547</x:v>
      </x:c>
      <x:c r="F640" s="47" t="n">
        <x:v>451.708</x:v>
      </x:c>
      <x:c r="G640" s="47" t="n">
        <x:v>454.155</x:v>
      </x:c>
      <x:c r="H640" s="50" t="n">
        <x:v>0.258088</x:v>
      </x:c>
      <x:c r="I640" s="50" t="n">
        <x:v>0.746737</x:v>
      </x:c>
      <x:c r="J640" s="50" t="n">
        <x:v>0.536444</x:v>
      </x:c>
      <x:c r="K640" s="50" t="n">
        <x:v>0.762876</x:v>
      </x:c>
      <x:c r="L640" s="47" t="n">
        <x:v>842.04</x:v>
      </x:c>
      <x:c r="M640" s="47" t="n">
        <x:v>595.32</x:v>
      </x:c>
      <x:c r="N640" s="28" t="str">
        <x:v>top-left</x:v>
      </x:c>
      <x:c r="O640" s="28" t="str">
        <x:v>PDF points</x:v>
      </x:c>
    </x:row>
    <x:row r="641" ht="22" customHeight="1">
      <x:c r="A641" s="28" t="str">
        <x:v>ANC-SLE-021-01-R21</x:v>
      </x:c>
      <x:c r="B641" s="28" t="str">
        <x:v>ANC-SLE-021-01</x:v>
      </x:c>
      <x:c r="C641" s="28" t="n">
        <x:v>15</x:v>
      </x:c>
      <x:c r="D641" s="47" t="n">
        <x:v>217.32</x:v>
      </x:c>
      <x:c r="E641" s="47" t="n">
        <x:v>453.187</x:v>
      </x:c>
      <x:c r="F641" s="47" t="n">
        <x:v>341.921</x:v>
      </x:c>
      <x:c r="G641" s="47" t="n">
        <x:v>462.795</x:v>
      </x:c>
      <x:c r="H641" s="50" t="n">
        <x:v>0.258088</x:v>
      </x:c>
      <x:c r="I641" s="50" t="n">
        <x:v>0.76125</x:v>
      </x:c>
      <x:c r="J641" s="50" t="n">
        <x:v>0.406063</x:v>
      </x:c>
      <x:c r="K641" s="50" t="n">
        <x:v>0.777389</x:v>
      </x:c>
      <x:c r="L641" s="47" t="n">
        <x:v>842.04</x:v>
      </x:c>
      <x:c r="M641" s="47" t="n">
        <x:v>595.32</x:v>
      </x:c>
      <x:c r="N641" s="28" t="str">
        <x:v>top-left</x:v>
      </x:c>
      <x:c r="O641" s="28" t="str">
        <x:v>PDF points</x:v>
      </x:c>
    </x:row>
    <x:row r="642" ht="22" customHeight="1">
      <x:c r="A642" s="28" t="str">
        <x:v>ANC-SLE-021-01-R22</x:v>
      </x:c>
      <x:c r="B642" s="28" t="str">
        <x:v>ANC-SLE-021-01</x:v>
      </x:c>
      <x:c r="C642" s="28" t="n">
        <x:v>15</x:v>
      </x:c>
      <x:c r="D642" s="47" t="n">
        <x:v>476.28</x:v>
      </x:c>
      <x:c r="E642" s="47" t="n">
        <x:v>451.267</x:v>
      </x:c>
      <x:c r="F642" s="47" t="n">
        <x:v>491.398</x:v>
      </x:c>
      <x:c r="G642" s="47" t="n">
        <x:v>460.875</x:v>
      </x:c>
      <x:c r="H642" s="50" t="n">
        <x:v>0.565626</x:v>
      </x:c>
      <x:c r="I642" s="50" t="n">
        <x:v>0.758025</x:v>
      </x:c>
      <x:c r="J642" s="50" t="n">
        <x:v>0.58358</x:v>
      </x:c>
      <x:c r="K642" s="50" t="n">
        <x:v>0.774164</x:v>
      </x:c>
      <x:c r="L642" s="47" t="n">
        <x:v>842.04</x:v>
      </x:c>
      <x:c r="M642" s="47" t="n">
        <x:v>595.32</x:v>
      </x:c>
      <x:c r="N642" s="28" t="str">
        <x:v>top-left</x:v>
      </x:c>
      <x:c r="O642" s="28" t="str">
        <x:v>PDF points</x:v>
      </x:c>
    </x:row>
    <x:row r="643" ht="22" customHeight="1">
      <x:c r="A643" s="28" t="str">
        <x:v>ANC-SLE-021-01-R23</x:v>
      </x:c>
      <x:c r="B643" s="28" t="str">
        <x:v>ANC-SLE-021-01</x:v>
      </x:c>
      <x:c r="C643" s="28" t="n">
        <x:v>15</x:v>
      </x:c>
      <x:c r="D643" s="47" t="n">
        <x:v>526.924</x:v>
      </x:c>
      <x:c r="E643" s="47" t="n">
        <x:v>451.267</x:v>
      </x:c>
      <x:c r="F643" s="47" t="n">
        <x:v>542.042</x:v>
      </x:c>
      <x:c r="G643" s="47" t="n">
        <x:v>460.875</x:v>
      </x:c>
      <x:c r="H643" s="50" t="n">
        <x:v>0.625771</x:v>
      </x:c>
      <x:c r="I643" s="50" t="n">
        <x:v>0.758025</x:v>
      </x:c>
      <x:c r="J643" s="50" t="n">
        <x:v>0.643724</x:v>
      </x:c>
      <x:c r="K643" s="50" t="n">
        <x:v>0.774164</x:v>
      </x:c>
      <x:c r="L643" s="47" t="n">
        <x:v>842.04</x:v>
      </x:c>
      <x:c r="M643" s="47" t="n">
        <x:v>595.32</x:v>
      </x:c>
      <x:c r="N643" s="28" t="str">
        <x:v>top-left</x:v>
      </x:c>
      <x:c r="O643" s="28" t="str">
        <x:v>PDF points</x:v>
      </x:c>
    </x:row>
    <x:row r="644" ht="22" customHeight="1">
      <x:c r="A644" s="28" t="str">
        <x:v>ANC-SLE-021-01-R24</x:v>
      </x:c>
      <x:c r="B644" s="28" t="str">
        <x:v>ANC-SLE-021-01</x:v>
      </x:c>
      <x:c r="C644" s="28" t="n">
        <x:v>15</x:v>
      </x:c>
      <x:c r="D644" s="47" t="n">
        <x:v>576.482</x:v>
      </x:c>
      <x:c r="E644" s="47" t="n">
        <x:v>451.267</x:v>
      </x:c>
      <x:c r="F644" s="47" t="n">
        <x:v>591.6</x:v>
      </x:c>
      <x:c r="G644" s="47" t="n">
        <x:v>460.875</x:v>
      </x:c>
      <x:c r="H644" s="50" t="n">
        <x:v>0.684626</x:v>
      </x:c>
      <x:c r="I644" s="50" t="n">
        <x:v>0.758025</x:v>
      </x:c>
      <x:c r="J644" s="50" t="n">
        <x:v>0.70258</x:v>
      </x:c>
      <x:c r="K644" s="50" t="n">
        <x:v>0.774164</x:v>
      </x:c>
      <x:c r="L644" s="47" t="n">
        <x:v>842.04</x:v>
      </x:c>
      <x:c r="M644" s="47" t="n">
        <x:v>595.32</x:v>
      </x:c>
      <x:c r="N644" s="28" t="str">
        <x:v>top-left</x:v>
      </x:c>
      <x:c r="O644" s="28" t="str">
        <x:v>PDF points</x:v>
      </x:c>
    </x:row>
    <x:row r="645" ht="22" customHeight="1">
      <x:c r="A645" s="28" t="str">
        <x:v>ANC-SLE-021-01-R25</x:v>
      </x:c>
      <x:c r="B645" s="28" t="str">
        <x:v>ANC-SLE-021-01</x:v>
      </x:c>
      <x:c r="C645" s="28" t="n">
        <x:v>15</x:v>
      </x:c>
      <x:c r="D645" s="47" t="n">
        <x:v>616.92</x:v>
      </x:c>
      <x:c r="E645" s="47" t="n">
        <x:v>451.267</x:v>
      </x:c>
      <x:c r="F645" s="47" t="n">
        <x:v>632.038</x:v>
      </x:c>
      <x:c r="G645" s="47" t="n">
        <x:v>460.875</x:v>
      </x:c>
      <x:c r="H645" s="50" t="n">
        <x:v>0.732649</x:v>
      </x:c>
      <x:c r="I645" s="50" t="n">
        <x:v>0.758025</x:v>
      </x:c>
      <x:c r="J645" s="50" t="n">
        <x:v>0.750603</x:v>
      </x:c>
      <x:c r="K645" s="50" t="n">
        <x:v>0.774164</x:v>
      </x:c>
      <x:c r="L645" s="47" t="n">
        <x:v>842.04</x:v>
      </x:c>
      <x:c r="M645" s="47" t="n">
        <x:v>595.32</x:v>
      </x:c>
      <x:c r="N645" s="28" t="str">
        <x:v>top-left</x:v>
      </x:c>
      <x:c r="O645" s="28" t="str">
        <x:v>PDF points</x:v>
      </x:c>
    </x:row>
    <x:row r="646" ht="22" customHeight="1">
      <x:c r="A646" s="28" t="str">
        <x:v>ANC-SLE-021-01-R26</x:v>
      </x:c>
      <x:c r="B646" s="28" t="str">
        <x:v>ANC-SLE-021-01</x:v>
      </x:c>
      <x:c r="C646" s="28" t="n">
        <x:v>15</x:v>
      </x:c>
      <x:c r="D646" s="47" t="n">
        <x:v>656.52</x:v>
      </x:c>
      <x:c r="E646" s="47" t="n">
        <x:v>451.267</x:v>
      </x:c>
      <x:c r="F646" s="47" t="n">
        <x:v>671.638</x:v>
      </x:c>
      <x:c r="G646" s="47" t="n">
        <x:v>460.875</x:v>
      </x:c>
      <x:c r="H646" s="50" t="n">
        <x:v>0.779678</x:v>
      </x:c>
      <x:c r="I646" s="50" t="n">
        <x:v>0.758025</x:v>
      </x:c>
      <x:c r="J646" s="50" t="n">
        <x:v>0.797632</x:v>
      </x:c>
      <x:c r="K646" s="50" t="n">
        <x:v>0.774164</x:v>
      </x:c>
      <x:c r="L646" s="47" t="n">
        <x:v>842.04</x:v>
      </x:c>
      <x:c r="M646" s="47" t="n">
        <x:v>595.32</x:v>
      </x:c>
      <x:c r="N646" s="28" t="str">
        <x:v>top-left</x:v>
      </x:c>
      <x:c r="O646" s="28" t="str">
        <x:v>PDF points</x:v>
      </x:c>
    </x:row>
    <x:row r="647" ht="22" customHeight="1">
      <x:c r="A647" s="28" t="str">
        <x:v>ANC-SLE-021-01-R27</x:v>
      </x:c>
      <x:c r="B647" s="28" t="str">
        <x:v>ANC-SLE-021-01</x:v>
      </x:c>
      <x:c r="C647" s="28" t="n">
        <x:v>15</x:v>
      </x:c>
      <x:c r="D647" s="47" t="n">
        <x:v>696.004</x:v>
      </x:c>
      <x:c r="E647" s="47" t="n">
        <x:v>451.267</x:v>
      </x:c>
      <x:c r="F647" s="47" t="n">
        <x:v>711.122</x:v>
      </x:c>
      <x:c r="G647" s="47" t="n">
        <x:v>460.875</x:v>
      </x:c>
      <x:c r="H647" s="50" t="n">
        <x:v>0.826569</x:v>
      </x:c>
      <x:c r="I647" s="50" t="n">
        <x:v>0.758025</x:v>
      </x:c>
      <x:c r="J647" s="50" t="n">
        <x:v>0.844523</x:v>
      </x:c>
      <x:c r="K647" s="50" t="n">
        <x:v>0.774164</x:v>
      </x:c>
      <x:c r="L647" s="47" t="n">
        <x:v>842.04</x:v>
      </x:c>
      <x:c r="M647" s="47" t="n">
        <x:v>595.32</x:v>
      </x:c>
      <x:c r="N647" s="28" t="str">
        <x:v>top-left</x:v>
      </x:c>
      <x:c r="O647" s="28" t="str">
        <x:v>PDF points</x:v>
      </x:c>
    </x:row>
    <x:row r="648" ht="22" customHeight="1">
      <x:c r="A648" s="28" t="str">
        <x:v>ANC-SLE-021-01-R28</x:v>
      </x:c>
      <x:c r="B648" s="28" t="str">
        <x:v>ANC-SLE-021-01</x:v>
      </x:c>
      <x:c r="C648" s="28" t="n">
        <x:v>15</x:v>
      </x:c>
      <x:c r="D648" s="47" t="n">
        <x:v>731.887</x:v>
      </x:c>
      <x:c r="E648" s="47" t="n">
        <x:v>451.267</x:v>
      </x:c>
      <x:c r="F648" s="47" t="n">
        <x:v>747.005</x:v>
      </x:c>
      <x:c r="G648" s="47" t="n">
        <x:v>460.875</x:v>
      </x:c>
      <x:c r="H648" s="50" t="n">
        <x:v>0.869183</x:v>
      </x:c>
      <x:c r="I648" s="50" t="n">
        <x:v>0.758025</x:v>
      </x:c>
      <x:c r="J648" s="50" t="n">
        <x:v>0.887137</x:v>
      </x:c>
      <x:c r="K648" s="50" t="n">
        <x:v>0.774164</x:v>
      </x:c>
      <x:c r="L648" s="47" t="n">
        <x:v>842.04</x:v>
      </x:c>
      <x:c r="M648" s="47" t="n">
        <x:v>595.32</x:v>
      </x:c>
      <x:c r="N648" s="28" t="str">
        <x:v>top-left</x:v>
      </x:c>
      <x:c r="O648" s="28" t="str">
        <x:v>PDF points</x:v>
      </x:c>
    </x:row>
    <x:row r="649" ht="22" customHeight="1">
      <x:c r="A649" s="28" t="str">
        <x:v>ANC-SLE-021-01-R29</x:v>
      </x:c>
      <x:c r="B649" s="28" t="str">
        <x:v>ANC-SLE-021-01</x:v>
      </x:c>
      <x:c r="C649" s="28" t="n">
        <x:v>15</x:v>
      </x:c>
      <x:c r="D649" s="47" t="n">
        <x:v>768.011</x:v>
      </x:c>
      <x:c r="E649" s="47" t="n">
        <x:v>451.267</x:v>
      </x:c>
      <x:c r="F649" s="47" t="n">
        <x:v>783.128</x:v>
      </x:c>
      <x:c r="G649" s="47" t="n">
        <x:v>460.875</x:v>
      </x:c>
      <x:c r="H649" s="50" t="n">
        <x:v>0.912083</x:v>
      </x:c>
      <x:c r="I649" s="50" t="n">
        <x:v>0.758025</x:v>
      </x:c>
      <x:c r="J649" s="50" t="n">
        <x:v>0.930037</x:v>
      </x:c>
      <x:c r="K649" s="50" t="n">
        <x:v>0.774164</x:v>
      </x:c>
      <x:c r="L649" s="47" t="n">
        <x:v>842.04</x:v>
      </x:c>
      <x:c r="M649" s="47" t="n">
        <x:v>595.32</x:v>
      </x:c>
      <x:c r="N649" s="28" t="str">
        <x:v>top-left</x:v>
      </x:c>
      <x:c r="O649" s="28" t="str">
        <x:v>PDF points</x:v>
      </x:c>
    </x:row>
    <x:row r="650" ht="22" customHeight="1">
      <x:c r="A650" s="28" t="str">
        <x:v>ANC-SLE-021-01-R30</x:v>
      </x:c>
      <x:c r="B650" s="28" t="str">
        <x:v>ANC-SLE-021-01</x:v>
      </x:c>
      <x:c r="C650" s="28" t="n">
        <x:v>15</x:v>
      </x:c>
      <x:c r="D650" s="47" t="n">
        <x:v>217.32</x:v>
      </x:c>
      <x:c r="E650" s="47" t="n">
        <x:v>467.227</x:v>
      </x:c>
      <x:c r="F650" s="47" t="n">
        <x:v>341.191</x:v>
      </x:c>
      <x:c r="G650" s="47" t="n">
        <x:v>476.835</x:v>
      </x:c>
      <x:c r="H650" s="50" t="n">
        <x:v>0.258088</x:v>
      </x:c>
      <x:c r="I650" s="50" t="n">
        <x:v>0.784834</x:v>
      </x:c>
      <x:c r="J650" s="50" t="n">
        <x:v>0.405195</x:v>
      </x:c>
      <x:c r="K650" s="50" t="n">
        <x:v>0.800973</x:v>
      </x:c>
      <x:c r="L650" s="47" t="n">
        <x:v>842.04</x:v>
      </x:c>
      <x:c r="M650" s="47" t="n">
        <x:v>595.32</x:v>
      </x:c>
      <x:c r="N650" s="28" t="str">
        <x:v>top-left</x:v>
      </x:c>
      <x:c r="O650" s="28" t="str">
        <x:v>PDF points</x:v>
      </x:c>
    </x:row>
    <x:row r="651" ht="22" customHeight="1">
      <x:c r="A651" s="28" t="str">
        <x:v>ANC-SLE-022-01-R01</x:v>
      </x:c>
      <x:c r="B651" s="28" t="str">
        <x:v>ANC-SLE-022-01</x:v>
      </x:c>
      <x:c r="C651" s="28" t="n">
        <x:v>15</x:v>
      </x:c>
      <x:c r="D651" s="47" t="n">
        <x:v>72.247</x:v>
      </x:c>
      <x:c r="E651" s="47" t="n">
        <x:v>424.507</x:v>
      </x:c>
      <x:c r="F651" s="47" t="n">
        <x:v>105.683</x:v>
      </x:c>
      <x:c r="G651" s="47" t="n">
        <x:v>433.753</x:v>
      </x:c>
      <x:c r="H651" s="50" t="n">
        <x:v>0.0858</x:v>
      </x:c>
      <x:c r="I651" s="50" t="n">
        <x:v>0.713074</x:v>
      </x:c>
      <x:c r="J651" s="50" t="n">
        <x:v>0.125508</x:v>
      </x:c>
      <x:c r="K651" s="50" t="n">
        <x:v>0.728605</x:v>
      </x:c>
      <x:c r="L651" s="47" t="n">
        <x:v>842.04</x:v>
      </x:c>
      <x:c r="M651" s="47" t="n">
        <x:v>595.32</x:v>
      </x:c>
      <x:c r="N651" s="28" t="str">
        <x:v>top-left</x:v>
      </x:c>
      <x:c r="O651" s="28" t="str">
        <x:v>PDF points</x:v>
      </x:c>
    </x:row>
    <x:row r="652" ht="22" customHeight="1">
      <x:c r="A652" s="28" t="str">
        <x:v>ANC-SLE-022-01-R02</x:v>
      </x:c>
      <x:c r="B652" s="28" t="str">
        <x:v>ANC-SLE-022-01</x:v>
      </x:c>
      <x:c r="C652" s="28" t="n">
        <x:v>15</x:v>
      </x:c>
      <x:c r="D652" s="47" t="n">
        <x:v>51.12</x:v>
      </x:c>
      <x:c r="E652" s="47" t="n">
        <x:v>433.147</x:v>
      </x:c>
      <x:c r="F652" s="47" t="n">
        <x:v>94.858</x:v>
      </x:c>
      <x:c r="G652" s="47" t="n">
        <x:v>442.393</x:v>
      </x:c>
      <x:c r="H652" s="50" t="n">
        <x:v>0.06071</x:v>
      </x:c>
      <x:c r="I652" s="50" t="n">
        <x:v>0.727587</x:v>
      </x:c>
      <x:c r="J652" s="50" t="n">
        <x:v>0.112652</x:v>
      </x:c>
      <x:c r="K652" s="50" t="n">
        <x:v>0.743119</x:v>
      </x:c>
      <x:c r="L652" s="47" t="n">
        <x:v>842.04</x:v>
      </x:c>
      <x:c r="M652" s="47" t="n">
        <x:v>595.32</x:v>
      </x:c>
      <x:c r="N652" s="28" t="str">
        <x:v>top-left</x:v>
      </x:c>
      <x:c r="O652" s="28" t="str">
        <x:v>PDF points</x:v>
      </x:c>
    </x:row>
    <x:row r="653" ht="22" customHeight="1">
      <x:c r="A653" s="28" t="str">
        <x:v>ANC-SLE-022-01-R03</x:v>
      </x:c>
      <x:c r="B653" s="28" t="str">
        <x:v>ANC-SLE-022-01</x:v>
      </x:c>
      <x:c r="C653" s="28" t="n">
        <x:v>15</x:v>
      </x:c>
      <x:c r="D653" s="47" t="n">
        <x:v>122.88</x:v>
      </x:c>
      <x:c r="E653" s="47" t="n">
        <x:v>424.507</x:v>
      </x:c>
      <x:c r="F653" s="47" t="n">
        <x:v>169.15</x:v>
      </x:c>
      <x:c r="G653" s="47" t="n">
        <x:v>434.115</x:v>
      </x:c>
      <x:c r="H653" s="50" t="n">
        <x:v>0.145931</x:v>
      </x:c>
      <x:c r="I653" s="50" t="n">
        <x:v>0.713074</x:v>
      </x:c>
      <x:c r="J653" s="50" t="n">
        <x:v>0.200881</x:v>
      </x:c>
      <x:c r="K653" s="50" t="n">
        <x:v>0.729213</x:v>
      </x:c>
      <x:c r="L653" s="47" t="n">
        <x:v>842.04</x:v>
      </x:c>
      <x:c r="M653" s="47" t="n">
        <x:v>595.32</x:v>
      </x:c>
      <x:c r="N653" s="28" t="str">
        <x:v>top-left</x:v>
      </x:c>
      <x:c r="O653" s="28" t="str">
        <x:v>PDF points</x:v>
      </x:c>
    </x:row>
    <x:row r="654" ht="22" customHeight="1">
      <x:c r="A654" s="28" t="str">
        <x:v>ANC-SLE-022-01-R04</x:v>
      </x:c>
      <x:c r="B654" s="28" t="str">
        <x:v>ANC-SLE-022-01</x:v>
      </x:c>
      <x:c r="C654" s="28" t="n">
        <x:v>15</x:v>
      </x:c>
      <x:c r="D654" s="47" t="n">
        <x:v>122.88</x:v>
      </x:c>
      <x:c r="E654" s="47" t="n">
        <x:v>433.147</x:v>
      </x:c>
      <x:c r="F654" s="47" t="n">
        <x:v>206.411</x:v>
      </x:c>
      <x:c r="G654" s="47" t="n">
        <x:v>442.755</x:v>
      </x:c>
      <x:c r="H654" s="50" t="n">
        <x:v>0.145931</x:v>
      </x:c>
      <x:c r="I654" s="50" t="n">
        <x:v>0.727587</x:v>
      </x:c>
      <x:c r="J654" s="50" t="n">
        <x:v>0.245132</x:v>
      </x:c>
      <x:c r="K654" s="50" t="n">
        <x:v>0.743726</x:v>
      </x:c>
      <x:c r="L654" s="47" t="n">
        <x:v>842.04</x:v>
      </x:c>
      <x:c r="M654" s="47" t="n">
        <x:v>595.32</x:v>
      </x:c>
      <x:c r="N654" s="28" t="str">
        <x:v>top-left</x:v>
      </x:c>
      <x:c r="O654" s="28" t="str">
        <x:v>PDF points</x:v>
      </x:c>
    </x:row>
    <x:row r="655" ht="22" customHeight="1">
      <x:c r="A655" s="28" t="str">
        <x:v>ANC-SLE-022-01-R05</x:v>
      </x:c>
      <x:c r="B655" s="28" t="str">
        <x:v>ANC-SLE-022-01</x:v>
      </x:c>
      <x:c r="C655" s="28" t="n">
        <x:v>15</x:v>
      </x:c>
      <x:c r="D655" s="47" t="n">
        <x:v>122.88</x:v>
      </x:c>
      <x:c r="E655" s="47" t="n">
        <x:v>441.911</x:v>
      </x:c>
      <x:c r="F655" s="47" t="n">
        <x:v>187.883</x:v>
      </x:c>
      <x:c r="G655" s="47" t="n">
        <x:v>451.519</x:v>
      </x:c>
      <x:c r="H655" s="50" t="n">
        <x:v>0.145931</x:v>
      </x:c>
      <x:c r="I655" s="50" t="n">
        <x:v>0.742308</x:v>
      </x:c>
      <x:c r="J655" s="50" t="n">
        <x:v>0.223128</x:v>
      </x:c>
      <x:c r="K655" s="50" t="n">
        <x:v>0.758447</x:v>
      </x:c>
      <x:c r="L655" s="47" t="n">
        <x:v>842.04</x:v>
      </x:c>
      <x:c r="M655" s="47" t="n">
        <x:v>595.32</x:v>
      </x:c>
      <x:c r="N655" s="28" t="str">
        <x:v>top-left</x:v>
      </x:c>
      <x:c r="O655" s="28" t="str">
        <x:v>PDF points</x:v>
      </x:c>
    </x:row>
    <x:row r="656" ht="22" customHeight="1">
      <x:c r="A656" s="28" t="str">
        <x:v>ANC-SLE-022-01-R06</x:v>
      </x:c>
      <x:c r="B656" s="28" t="str">
        <x:v>ANC-SLE-022-01</x:v>
      </x:c>
      <x:c r="C656" s="28" t="n">
        <x:v>15</x:v>
      </x:c>
      <x:c r="D656" s="47" t="n">
        <x:v>217.32</x:v>
      </x:c>
      <x:c r="E656" s="47" t="n">
        <x:v>424.507</x:v>
      </x:c>
      <x:c r="F656" s="47" t="n">
        <x:v>424.925</x:v>
      </x:c>
      <x:c r="G656" s="47" t="n">
        <x:v>434.115</x:v>
      </x:c>
      <x:c r="H656" s="50" t="n">
        <x:v>0.258088</x:v>
      </x:c>
      <x:c r="I656" s="50" t="n">
        <x:v>0.713074</x:v>
      </x:c>
      <x:c r="J656" s="50" t="n">
        <x:v>0.504638</x:v>
      </x:c>
      <x:c r="K656" s="50" t="n">
        <x:v>0.729213</x:v>
      </x:c>
      <x:c r="L656" s="47" t="n">
        <x:v>842.04</x:v>
      </x:c>
      <x:c r="M656" s="47" t="n">
        <x:v>595.32</x:v>
      </x:c>
      <x:c r="N656" s="28" t="str">
        <x:v>top-left</x:v>
      </x:c>
      <x:c r="O656" s="28" t="str">
        <x:v>PDF points</x:v>
      </x:c>
    </x:row>
    <x:row r="657" ht="22" customHeight="1">
      <x:c r="A657" s="28" t="str">
        <x:v>ANC-SLE-022-01-R07</x:v>
      </x:c>
      <x:c r="B657" s="28" t="str">
        <x:v>ANC-SLE-022-01</x:v>
      </x:c>
      <x:c r="C657" s="28" t="n">
        <x:v>15</x:v>
      </x:c>
      <x:c r="D657" s="47" t="n">
        <x:v>217.32</x:v>
      </x:c>
      <x:c r="E657" s="47" t="n">
        <x:v>433.147</x:v>
      </x:c>
      <x:c r="F657" s="47" t="n">
        <x:v>252.277</x:v>
      </x:c>
      <x:c r="G657" s="47" t="n">
        <x:v>442.755</x:v>
      </x:c>
      <x:c r="H657" s="50" t="n">
        <x:v>0.258088</x:v>
      </x:c>
      <x:c r="I657" s="50" t="n">
        <x:v>0.727587</x:v>
      </x:c>
      <x:c r="J657" s="50" t="n">
        <x:v>0.299602</x:v>
      </x:c>
      <x:c r="K657" s="50" t="n">
        <x:v>0.743726</x:v>
      </x:c>
      <x:c r="L657" s="47" t="n">
        <x:v>842.04</x:v>
      </x:c>
      <x:c r="M657" s="47" t="n">
        <x:v>595.32</x:v>
      </x:c>
      <x:c r="N657" s="28" t="str">
        <x:v>top-left</x:v>
      </x:c>
      <x:c r="O657" s="28" t="str">
        <x:v>PDF points</x:v>
      </x:c>
    </x:row>
    <x:row r="658" ht="22" customHeight="1">
      <x:c r="A658" s="28" t="str">
        <x:v>ANC-SLE-022-01-R08</x:v>
      </x:c>
      <x:c r="B658" s="28" t="str">
        <x:v>ANC-SLE-022-01</x:v>
      </x:c>
      <x:c r="C658" s="28" t="n">
        <x:v>15</x:v>
      </x:c>
      <x:c r="D658" s="47" t="n">
        <x:v>476.28</x:v>
      </x:c>
      <x:c r="E658" s="47" t="n">
        <x:v>429.907</x:v>
      </x:c>
      <x:c r="F658" s="47" t="n">
        <x:v>491.398</x:v>
      </x:c>
      <x:c r="G658" s="47" t="n">
        <x:v>439.515</x:v>
      </x:c>
      <x:c r="H658" s="50" t="n">
        <x:v>0.565626</x:v>
      </x:c>
      <x:c r="I658" s="50" t="n">
        <x:v>0.722145</x:v>
      </x:c>
      <x:c r="J658" s="50" t="n">
        <x:v>0.58358</x:v>
      </x:c>
      <x:c r="K658" s="50" t="n">
        <x:v>0.738284</x:v>
      </x:c>
      <x:c r="L658" s="47" t="n">
        <x:v>842.04</x:v>
      </x:c>
      <x:c r="M658" s="47" t="n">
        <x:v>595.32</x:v>
      </x:c>
      <x:c r="N658" s="28" t="str">
        <x:v>top-left</x:v>
      </x:c>
      <x:c r="O658" s="28" t="str">
        <x:v>PDF points</x:v>
      </x:c>
    </x:row>
    <x:row r="659" ht="22" customHeight="1">
      <x:c r="A659" s="28" t="str">
        <x:v>ANC-SLE-022-01-R09</x:v>
      </x:c>
      <x:c r="B659" s="28" t="str">
        <x:v>ANC-SLE-022-01</x:v>
      </x:c>
      <x:c r="C659" s="28" t="n">
        <x:v>15</x:v>
      </x:c>
      <x:c r="D659" s="47" t="n">
        <x:v>526.924</x:v>
      </x:c>
      <x:c r="E659" s="47" t="n">
        <x:v>429.907</x:v>
      </x:c>
      <x:c r="F659" s="47" t="n">
        <x:v>542.042</x:v>
      </x:c>
      <x:c r="G659" s="47" t="n">
        <x:v>439.515</x:v>
      </x:c>
      <x:c r="H659" s="50" t="n">
        <x:v>0.625771</x:v>
      </x:c>
      <x:c r="I659" s="50" t="n">
        <x:v>0.722145</x:v>
      </x:c>
      <x:c r="J659" s="50" t="n">
        <x:v>0.643724</x:v>
      </x:c>
      <x:c r="K659" s="50" t="n">
        <x:v>0.738284</x:v>
      </x:c>
      <x:c r="L659" s="47" t="n">
        <x:v>842.04</x:v>
      </x:c>
      <x:c r="M659" s="47" t="n">
        <x:v>595.32</x:v>
      </x:c>
      <x:c r="N659" s="28" t="str">
        <x:v>top-left</x:v>
      </x:c>
      <x:c r="O659" s="28" t="str">
        <x:v>PDF points</x:v>
      </x:c>
    </x:row>
    <x:row r="660" ht="22" customHeight="1">
      <x:c r="A660" s="28" t="str">
        <x:v>ANC-SLE-022-01-R10</x:v>
      </x:c>
      <x:c r="B660" s="28" t="str">
        <x:v>ANC-SLE-022-01</x:v>
      </x:c>
      <x:c r="C660" s="28" t="n">
        <x:v>15</x:v>
      </x:c>
      <x:c r="D660" s="47" t="n">
        <x:v>576.482</x:v>
      </x:c>
      <x:c r="E660" s="47" t="n">
        <x:v>429.907</x:v>
      </x:c>
      <x:c r="F660" s="47" t="n">
        <x:v>591.6</x:v>
      </x:c>
      <x:c r="G660" s="47" t="n">
        <x:v>439.515</x:v>
      </x:c>
      <x:c r="H660" s="50" t="n">
        <x:v>0.684626</x:v>
      </x:c>
      <x:c r="I660" s="50" t="n">
        <x:v>0.722145</x:v>
      </x:c>
      <x:c r="J660" s="50" t="n">
        <x:v>0.70258</x:v>
      </x:c>
      <x:c r="K660" s="50" t="n">
        <x:v>0.738284</x:v>
      </x:c>
      <x:c r="L660" s="47" t="n">
        <x:v>842.04</x:v>
      </x:c>
      <x:c r="M660" s="47" t="n">
        <x:v>595.32</x:v>
      </x:c>
      <x:c r="N660" s="28" t="str">
        <x:v>top-left</x:v>
      </x:c>
      <x:c r="O660" s="28" t="str">
        <x:v>PDF points</x:v>
      </x:c>
    </x:row>
    <x:row r="661" ht="22" customHeight="1">
      <x:c r="A661" s="28" t="str">
        <x:v>ANC-SLE-022-01-R11</x:v>
      </x:c>
      <x:c r="B661" s="28" t="str">
        <x:v>ANC-SLE-022-01</x:v>
      </x:c>
      <x:c r="C661" s="28" t="n">
        <x:v>15</x:v>
      </x:c>
      <x:c r="D661" s="47" t="n">
        <x:v>616.92</x:v>
      </x:c>
      <x:c r="E661" s="47" t="n">
        <x:v>429.907</x:v>
      </x:c>
      <x:c r="F661" s="47" t="n">
        <x:v>632.038</x:v>
      </x:c>
      <x:c r="G661" s="47" t="n">
        <x:v>439.515</x:v>
      </x:c>
      <x:c r="H661" s="50" t="n">
        <x:v>0.732649</x:v>
      </x:c>
      <x:c r="I661" s="50" t="n">
        <x:v>0.722145</x:v>
      </x:c>
      <x:c r="J661" s="50" t="n">
        <x:v>0.750603</x:v>
      </x:c>
      <x:c r="K661" s="50" t="n">
        <x:v>0.738284</x:v>
      </x:c>
      <x:c r="L661" s="47" t="n">
        <x:v>842.04</x:v>
      </x:c>
      <x:c r="M661" s="47" t="n">
        <x:v>595.32</x:v>
      </x:c>
      <x:c r="N661" s="28" t="str">
        <x:v>top-left</x:v>
      </x:c>
      <x:c r="O661" s="28" t="str">
        <x:v>PDF points</x:v>
      </x:c>
    </x:row>
    <x:row r="662" ht="22" customHeight="1">
      <x:c r="A662" s="28" t="str">
        <x:v>ANC-SLE-022-01-R12</x:v>
      </x:c>
      <x:c r="B662" s="28" t="str">
        <x:v>ANC-SLE-022-01</x:v>
      </x:c>
      <x:c r="C662" s="28" t="n">
        <x:v>15</x:v>
      </x:c>
      <x:c r="D662" s="47" t="n">
        <x:v>656.52</x:v>
      </x:c>
      <x:c r="E662" s="47" t="n">
        <x:v>429.907</x:v>
      </x:c>
      <x:c r="F662" s="47" t="n">
        <x:v>671.638</x:v>
      </x:c>
      <x:c r="G662" s="47" t="n">
        <x:v>439.515</x:v>
      </x:c>
      <x:c r="H662" s="50" t="n">
        <x:v>0.779678</x:v>
      </x:c>
      <x:c r="I662" s="50" t="n">
        <x:v>0.722145</x:v>
      </x:c>
      <x:c r="J662" s="50" t="n">
        <x:v>0.797632</x:v>
      </x:c>
      <x:c r="K662" s="50" t="n">
        <x:v>0.738284</x:v>
      </x:c>
      <x:c r="L662" s="47" t="n">
        <x:v>842.04</x:v>
      </x:c>
      <x:c r="M662" s="47" t="n">
        <x:v>595.32</x:v>
      </x:c>
      <x:c r="N662" s="28" t="str">
        <x:v>top-left</x:v>
      </x:c>
      <x:c r="O662" s="28" t="str">
        <x:v>PDF points</x:v>
      </x:c>
    </x:row>
    <x:row r="663" ht="22" customHeight="1">
      <x:c r="A663" s="28" t="str">
        <x:v>ANC-SLE-022-01-R13</x:v>
      </x:c>
      <x:c r="B663" s="28" t="str">
        <x:v>ANC-SLE-022-01</x:v>
      </x:c>
      <x:c r="C663" s="28" t="n">
        <x:v>15</x:v>
      </x:c>
      <x:c r="D663" s="47" t="n">
        <x:v>696.004</x:v>
      </x:c>
      <x:c r="E663" s="47" t="n">
        <x:v>429.907</x:v>
      </x:c>
      <x:c r="F663" s="47" t="n">
        <x:v>711.122</x:v>
      </x:c>
      <x:c r="G663" s="47" t="n">
        <x:v>439.515</x:v>
      </x:c>
      <x:c r="H663" s="50" t="n">
        <x:v>0.826569</x:v>
      </x:c>
      <x:c r="I663" s="50" t="n">
        <x:v>0.722145</x:v>
      </x:c>
      <x:c r="J663" s="50" t="n">
        <x:v>0.844523</x:v>
      </x:c>
      <x:c r="K663" s="50" t="n">
        <x:v>0.738284</x:v>
      </x:c>
      <x:c r="L663" s="47" t="n">
        <x:v>842.04</x:v>
      </x:c>
      <x:c r="M663" s="47" t="n">
        <x:v>595.32</x:v>
      </x:c>
      <x:c r="N663" s="28" t="str">
        <x:v>top-left</x:v>
      </x:c>
      <x:c r="O663" s="28" t="str">
        <x:v>PDF points</x:v>
      </x:c>
    </x:row>
    <x:row r="664" ht="22" customHeight="1">
      <x:c r="A664" s="28" t="str">
        <x:v>ANC-SLE-022-01-R14</x:v>
      </x:c>
      <x:c r="B664" s="28" t="str">
        <x:v>ANC-SLE-022-01</x:v>
      </x:c>
      <x:c r="C664" s="28" t="n">
        <x:v>15</x:v>
      </x:c>
      <x:c r="D664" s="47" t="n">
        <x:v>731.887</x:v>
      </x:c>
      <x:c r="E664" s="47" t="n">
        <x:v>429.907</x:v>
      </x:c>
      <x:c r="F664" s="47" t="n">
        <x:v>747.005</x:v>
      </x:c>
      <x:c r="G664" s="47" t="n">
        <x:v>439.515</x:v>
      </x:c>
      <x:c r="H664" s="50" t="n">
        <x:v>0.869183</x:v>
      </x:c>
      <x:c r="I664" s="50" t="n">
        <x:v>0.722145</x:v>
      </x:c>
      <x:c r="J664" s="50" t="n">
        <x:v>0.887137</x:v>
      </x:c>
      <x:c r="K664" s="50" t="n">
        <x:v>0.738284</x:v>
      </x:c>
      <x:c r="L664" s="47" t="n">
        <x:v>842.04</x:v>
      </x:c>
      <x:c r="M664" s="47" t="n">
        <x:v>595.32</x:v>
      </x:c>
      <x:c r="N664" s="28" t="str">
        <x:v>top-left</x:v>
      </x:c>
      <x:c r="O664" s="28" t="str">
        <x:v>PDF points</x:v>
      </x:c>
    </x:row>
    <x:row r="665" ht="22" customHeight="1">
      <x:c r="A665" s="28" t="str">
        <x:v>ANC-SLE-022-01-R15</x:v>
      </x:c>
      <x:c r="B665" s="28" t="str">
        <x:v>ANC-SLE-022-01</x:v>
      </x:c>
      <x:c r="C665" s="28" t="n">
        <x:v>15</x:v>
      </x:c>
      <x:c r="D665" s="47" t="n">
        <x:v>768.011</x:v>
      </x:c>
      <x:c r="E665" s="47" t="n">
        <x:v>429.907</x:v>
      </x:c>
      <x:c r="F665" s="47" t="n">
        <x:v>783.128</x:v>
      </x:c>
      <x:c r="G665" s="47" t="n">
        <x:v>439.515</x:v>
      </x:c>
      <x:c r="H665" s="50" t="n">
        <x:v>0.912083</x:v>
      </x:c>
      <x:c r="I665" s="50" t="n">
        <x:v>0.722145</x:v>
      </x:c>
      <x:c r="J665" s="50" t="n">
        <x:v>0.930037</x:v>
      </x:c>
      <x:c r="K665" s="50" t="n">
        <x:v>0.738284</x:v>
      </x:c>
      <x:c r="L665" s="47" t="n">
        <x:v>842.04</x:v>
      </x:c>
      <x:c r="M665" s="47" t="n">
        <x:v>595.32</x:v>
      </x:c>
      <x:c r="N665" s="28" t="str">
        <x:v>top-left</x:v>
      </x:c>
      <x:c r="O665" s="28" t="str">
        <x:v>PDF points</x:v>
      </x:c>
    </x:row>
    <x:row r="666" ht="22" customHeight="1">
      <x:c r="A666" s="28" t="str">
        <x:v>ANC-SLE-022-01-R16</x:v>
      </x:c>
      <x:c r="B666" s="28" t="str">
        <x:v>ANC-SLE-022-01</x:v>
      </x:c>
      <x:c r="C666" s="28" t="n">
        <x:v>15</x:v>
      </x:c>
      <x:c r="D666" s="47" t="n">
        <x:v>217.32</x:v>
      </x:c>
      <x:c r="E666" s="47" t="n">
        <x:v>444.547</x:v>
      </x:c>
      <x:c r="F666" s="47" t="n">
        <x:v>451.708</x:v>
      </x:c>
      <x:c r="G666" s="47" t="n">
        <x:v>454.155</x:v>
      </x:c>
      <x:c r="H666" s="50" t="n">
        <x:v>0.258088</x:v>
      </x:c>
      <x:c r="I666" s="50" t="n">
        <x:v>0.746737</x:v>
      </x:c>
      <x:c r="J666" s="50" t="n">
        <x:v>0.536444</x:v>
      </x:c>
      <x:c r="K666" s="50" t="n">
        <x:v>0.762876</x:v>
      </x:c>
      <x:c r="L666" s="47" t="n">
        <x:v>842.04</x:v>
      </x:c>
      <x:c r="M666" s="47" t="n">
        <x:v>595.32</x:v>
      </x:c>
      <x:c r="N666" s="28" t="str">
        <x:v>top-left</x:v>
      </x:c>
      <x:c r="O666" s="28" t="str">
        <x:v>PDF points</x:v>
      </x:c>
    </x:row>
    <x:row r="667" ht="22" customHeight="1">
      <x:c r="A667" s="28" t="str">
        <x:v>ANC-SLE-022-01-R17</x:v>
      </x:c>
      <x:c r="B667" s="28" t="str">
        <x:v>ANC-SLE-022-01</x:v>
      </x:c>
      <x:c r="C667" s="28" t="n">
        <x:v>15</x:v>
      </x:c>
      <x:c r="D667" s="47" t="n">
        <x:v>217.32</x:v>
      </x:c>
      <x:c r="E667" s="47" t="n">
        <x:v>453.187</x:v>
      </x:c>
      <x:c r="F667" s="47" t="n">
        <x:v>341.921</x:v>
      </x:c>
      <x:c r="G667" s="47" t="n">
        <x:v>462.795</x:v>
      </x:c>
      <x:c r="H667" s="50" t="n">
        <x:v>0.258088</x:v>
      </x:c>
      <x:c r="I667" s="50" t="n">
        <x:v>0.76125</x:v>
      </x:c>
      <x:c r="J667" s="50" t="n">
        <x:v>0.406063</x:v>
      </x:c>
      <x:c r="K667" s="50" t="n">
        <x:v>0.777389</x:v>
      </x:c>
      <x:c r="L667" s="47" t="n">
        <x:v>842.04</x:v>
      </x:c>
      <x:c r="M667" s="47" t="n">
        <x:v>595.32</x:v>
      </x:c>
      <x:c r="N667" s="28" t="str">
        <x:v>top-left</x:v>
      </x:c>
      <x:c r="O667" s="28" t="str">
        <x:v>PDF points</x:v>
      </x:c>
    </x:row>
    <x:row r="668" ht="22" customHeight="1">
      <x:c r="A668" s="28" t="str">
        <x:v>ANC-SLE-022-01-R18</x:v>
      </x:c>
      <x:c r="B668" s="28" t="str">
        <x:v>ANC-SLE-022-01</x:v>
      </x:c>
      <x:c r="C668" s="28" t="n">
        <x:v>15</x:v>
      </x:c>
      <x:c r="D668" s="47" t="n">
        <x:v>476.28</x:v>
      </x:c>
      <x:c r="E668" s="47" t="n">
        <x:v>451.267</x:v>
      </x:c>
      <x:c r="F668" s="47" t="n">
        <x:v>491.398</x:v>
      </x:c>
      <x:c r="G668" s="47" t="n">
        <x:v>460.875</x:v>
      </x:c>
      <x:c r="H668" s="50" t="n">
        <x:v>0.565626</x:v>
      </x:c>
      <x:c r="I668" s="50" t="n">
        <x:v>0.758025</x:v>
      </x:c>
      <x:c r="J668" s="50" t="n">
        <x:v>0.58358</x:v>
      </x:c>
      <x:c r="K668" s="50" t="n">
        <x:v>0.774164</x:v>
      </x:c>
      <x:c r="L668" s="47" t="n">
        <x:v>842.04</x:v>
      </x:c>
      <x:c r="M668" s="47" t="n">
        <x:v>595.32</x:v>
      </x:c>
      <x:c r="N668" s="28" t="str">
        <x:v>top-left</x:v>
      </x:c>
      <x:c r="O668" s="28" t="str">
        <x:v>PDF points</x:v>
      </x:c>
    </x:row>
    <x:row r="669" ht="22" customHeight="1">
      <x:c r="A669" s="28" t="str">
        <x:v>ANC-SLE-022-01-R19</x:v>
      </x:c>
      <x:c r="B669" s="28" t="str">
        <x:v>ANC-SLE-022-01</x:v>
      </x:c>
      <x:c r="C669" s="28" t="n">
        <x:v>15</x:v>
      </x:c>
      <x:c r="D669" s="47" t="n">
        <x:v>526.924</x:v>
      </x:c>
      <x:c r="E669" s="47" t="n">
        <x:v>451.267</x:v>
      </x:c>
      <x:c r="F669" s="47" t="n">
        <x:v>542.042</x:v>
      </x:c>
      <x:c r="G669" s="47" t="n">
        <x:v>460.875</x:v>
      </x:c>
      <x:c r="H669" s="50" t="n">
        <x:v>0.625771</x:v>
      </x:c>
      <x:c r="I669" s="50" t="n">
        <x:v>0.758025</x:v>
      </x:c>
      <x:c r="J669" s="50" t="n">
        <x:v>0.643724</x:v>
      </x:c>
      <x:c r="K669" s="50" t="n">
        <x:v>0.774164</x:v>
      </x:c>
      <x:c r="L669" s="47" t="n">
        <x:v>842.04</x:v>
      </x:c>
      <x:c r="M669" s="47" t="n">
        <x:v>595.32</x:v>
      </x:c>
      <x:c r="N669" s="28" t="str">
        <x:v>top-left</x:v>
      </x:c>
      <x:c r="O669" s="28" t="str">
        <x:v>PDF points</x:v>
      </x:c>
    </x:row>
    <x:row r="670" ht="22" customHeight="1">
      <x:c r="A670" s="28" t="str">
        <x:v>ANC-SLE-022-01-R20</x:v>
      </x:c>
      <x:c r="B670" s="28" t="str">
        <x:v>ANC-SLE-022-01</x:v>
      </x:c>
      <x:c r="C670" s="28" t="n">
        <x:v>15</x:v>
      </x:c>
      <x:c r="D670" s="47" t="n">
        <x:v>576.482</x:v>
      </x:c>
      <x:c r="E670" s="47" t="n">
        <x:v>451.267</x:v>
      </x:c>
      <x:c r="F670" s="47" t="n">
        <x:v>591.6</x:v>
      </x:c>
      <x:c r="G670" s="47" t="n">
        <x:v>460.875</x:v>
      </x:c>
      <x:c r="H670" s="50" t="n">
        <x:v>0.684626</x:v>
      </x:c>
      <x:c r="I670" s="50" t="n">
        <x:v>0.758025</x:v>
      </x:c>
      <x:c r="J670" s="50" t="n">
        <x:v>0.70258</x:v>
      </x:c>
      <x:c r="K670" s="50" t="n">
        <x:v>0.774164</x:v>
      </x:c>
      <x:c r="L670" s="47" t="n">
        <x:v>842.04</x:v>
      </x:c>
      <x:c r="M670" s="47" t="n">
        <x:v>595.32</x:v>
      </x:c>
      <x:c r="N670" s="28" t="str">
        <x:v>top-left</x:v>
      </x:c>
      <x:c r="O670" s="28" t="str">
        <x:v>PDF points</x:v>
      </x:c>
    </x:row>
    <x:row r="671" ht="22" customHeight="1">
      <x:c r="A671" s="28" t="str">
        <x:v>ANC-SLE-022-01-R21</x:v>
      </x:c>
      <x:c r="B671" s="28" t="str">
        <x:v>ANC-SLE-022-01</x:v>
      </x:c>
      <x:c r="C671" s="28" t="n">
        <x:v>15</x:v>
      </x:c>
      <x:c r="D671" s="47" t="n">
        <x:v>616.92</x:v>
      </x:c>
      <x:c r="E671" s="47" t="n">
        <x:v>451.267</x:v>
      </x:c>
      <x:c r="F671" s="47" t="n">
        <x:v>632.038</x:v>
      </x:c>
      <x:c r="G671" s="47" t="n">
        <x:v>460.875</x:v>
      </x:c>
      <x:c r="H671" s="50" t="n">
        <x:v>0.732649</x:v>
      </x:c>
      <x:c r="I671" s="50" t="n">
        <x:v>0.758025</x:v>
      </x:c>
      <x:c r="J671" s="50" t="n">
        <x:v>0.750603</x:v>
      </x:c>
      <x:c r="K671" s="50" t="n">
        <x:v>0.774164</x:v>
      </x:c>
      <x:c r="L671" s="47" t="n">
        <x:v>842.04</x:v>
      </x:c>
      <x:c r="M671" s="47" t="n">
        <x:v>595.32</x:v>
      </x:c>
      <x:c r="N671" s="28" t="str">
        <x:v>top-left</x:v>
      </x:c>
      <x:c r="O671" s="28" t="str">
        <x:v>PDF points</x:v>
      </x:c>
    </x:row>
    <x:row r="672" ht="22" customHeight="1">
      <x:c r="A672" s="28" t="str">
        <x:v>ANC-SLE-022-01-R22</x:v>
      </x:c>
      <x:c r="B672" s="28" t="str">
        <x:v>ANC-SLE-022-01</x:v>
      </x:c>
      <x:c r="C672" s="28" t="n">
        <x:v>15</x:v>
      </x:c>
      <x:c r="D672" s="47" t="n">
        <x:v>656.52</x:v>
      </x:c>
      <x:c r="E672" s="47" t="n">
        <x:v>451.267</x:v>
      </x:c>
      <x:c r="F672" s="47" t="n">
        <x:v>671.638</x:v>
      </x:c>
      <x:c r="G672" s="47" t="n">
        <x:v>460.875</x:v>
      </x:c>
      <x:c r="H672" s="50" t="n">
        <x:v>0.779678</x:v>
      </x:c>
      <x:c r="I672" s="50" t="n">
        <x:v>0.758025</x:v>
      </x:c>
      <x:c r="J672" s="50" t="n">
        <x:v>0.797632</x:v>
      </x:c>
      <x:c r="K672" s="50" t="n">
        <x:v>0.774164</x:v>
      </x:c>
      <x:c r="L672" s="47" t="n">
        <x:v>842.04</x:v>
      </x:c>
      <x:c r="M672" s="47" t="n">
        <x:v>595.32</x:v>
      </x:c>
      <x:c r="N672" s="28" t="str">
        <x:v>top-left</x:v>
      </x:c>
      <x:c r="O672" s="28" t="str">
        <x:v>PDF points</x:v>
      </x:c>
    </x:row>
    <x:row r="673" ht="22" customHeight="1">
      <x:c r="A673" s="28" t="str">
        <x:v>ANC-SLE-022-01-R23</x:v>
      </x:c>
      <x:c r="B673" s="28" t="str">
        <x:v>ANC-SLE-022-01</x:v>
      </x:c>
      <x:c r="C673" s="28" t="n">
        <x:v>15</x:v>
      </x:c>
      <x:c r="D673" s="47" t="n">
        <x:v>696.004</x:v>
      </x:c>
      <x:c r="E673" s="47" t="n">
        <x:v>451.267</x:v>
      </x:c>
      <x:c r="F673" s="47" t="n">
        <x:v>711.122</x:v>
      </x:c>
      <x:c r="G673" s="47" t="n">
        <x:v>460.875</x:v>
      </x:c>
      <x:c r="H673" s="50" t="n">
        <x:v>0.826569</x:v>
      </x:c>
      <x:c r="I673" s="50" t="n">
        <x:v>0.758025</x:v>
      </x:c>
      <x:c r="J673" s="50" t="n">
        <x:v>0.844523</x:v>
      </x:c>
      <x:c r="K673" s="50" t="n">
        <x:v>0.774164</x:v>
      </x:c>
      <x:c r="L673" s="47" t="n">
        <x:v>842.04</x:v>
      </x:c>
      <x:c r="M673" s="47" t="n">
        <x:v>595.32</x:v>
      </x:c>
      <x:c r="N673" s="28" t="str">
        <x:v>top-left</x:v>
      </x:c>
      <x:c r="O673" s="28" t="str">
        <x:v>PDF points</x:v>
      </x:c>
    </x:row>
    <x:row r="674" ht="22" customHeight="1">
      <x:c r="A674" s="28" t="str">
        <x:v>ANC-SLE-022-01-R24</x:v>
      </x:c>
      <x:c r="B674" s="28" t="str">
        <x:v>ANC-SLE-022-01</x:v>
      </x:c>
      <x:c r="C674" s="28" t="n">
        <x:v>15</x:v>
      </x:c>
      <x:c r="D674" s="47" t="n">
        <x:v>731.887</x:v>
      </x:c>
      <x:c r="E674" s="47" t="n">
        <x:v>451.267</x:v>
      </x:c>
      <x:c r="F674" s="47" t="n">
        <x:v>747.005</x:v>
      </x:c>
      <x:c r="G674" s="47" t="n">
        <x:v>460.875</x:v>
      </x:c>
      <x:c r="H674" s="50" t="n">
        <x:v>0.869183</x:v>
      </x:c>
      <x:c r="I674" s="50" t="n">
        <x:v>0.758025</x:v>
      </x:c>
      <x:c r="J674" s="50" t="n">
        <x:v>0.887137</x:v>
      </x:c>
      <x:c r="K674" s="50" t="n">
        <x:v>0.774164</x:v>
      </x:c>
      <x:c r="L674" s="47" t="n">
        <x:v>842.04</x:v>
      </x:c>
      <x:c r="M674" s="47" t="n">
        <x:v>595.32</x:v>
      </x:c>
      <x:c r="N674" s="28" t="str">
        <x:v>top-left</x:v>
      </x:c>
      <x:c r="O674" s="28" t="str">
        <x:v>PDF points</x:v>
      </x:c>
    </x:row>
    <x:row r="675" ht="22" customHeight="1">
      <x:c r="A675" s="28" t="str">
        <x:v>ANC-SLE-022-01-R25</x:v>
      </x:c>
      <x:c r="B675" s="28" t="str">
        <x:v>ANC-SLE-022-01</x:v>
      </x:c>
      <x:c r="C675" s="28" t="n">
        <x:v>15</x:v>
      </x:c>
      <x:c r="D675" s="47" t="n">
        <x:v>768.011</x:v>
      </x:c>
      <x:c r="E675" s="47" t="n">
        <x:v>451.267</x:v>
      </x:c>
      <x:c r="F675" s="47" t="n">
        <x:v>783.128</x:v>
      </x:c>
      <x:c r="G675" s="47" t="n">
        <x:v>460.875</x:v>
      </x:c>
      <x:c r="H675" s="50" t="n">
        <x:v>0.912083</x:v>
      </x:c>
      <x:c r="I675" s="50" t="n">
        <x:v>0.758025</x:v>
      </x:c>
      <x:c r="J675" s="50" t="n">
        <x:v>0.930037</x:v>
      </x:c>
      <x:c r="K675" s="50" t="n">
        <x:v>0.774164</x:v>
      </x:c>
      <x:c r="L675" s="47" t="n">
        <x:v>842.04</x:v>
      </x:c>
      <x:c r="M675" s="47" t="n">
        <x:v>595.32</x:v>
      </x:c>
      <x:c r="N675" s="28" t="str">
        <x:v>top-left</x:v>
      </x:c>
      <x:c r="O675" s="28" t="str">
        <x:v>PDF points</x:v>
      </x:c>
    </x:row>
    <x:row r="676" ht="22" customHeight="1">
      <x:c r="A676" s="28" t="str">
        <x:v>ANC-SLE-022-01-R26</x:v>
      </x:c>
      <x:c r="B676" s="28" t="str">
        <x:v>ANC-SLE-022-01</x:v>
      </x:c>
      <x:c r="C676" s="28" t="n">
        <x:v>15</x:v>
      </x:c>
      <x:c r="D676" s="47" t="n">
        <x:v>217.32</x:v>
      </x:c>
      <x:c r="E676" s="47" t="n">
        <x:v>467.227</x:v>
      </x:c>
      <x:c r="F676" s="47" t="n">
        <x:v>341.191</x:v>
      </x:c>
      <x:c r="G676" s="47" t="n">
        <x:v>476.835</x:v>
      </x:c>
      <x:c r="H676" s="50" t="n">
        <x:v>0.258088</x:v>
      </x:c>
      <x:c r="I676" s="50" t="n">
        <x:v>0.784834</x:v>
      </x:c>
      <x:c r="J676" s="50" t="n">
        <x:v>0.405195</x:v>
      </x:c>
      <x:c r="K676" s="50" t="n">
        <x:v>0.800973</x:v>
      </x:c>
      <x:c r="L676" s="47" t="n">
        <x:v>842.04</x:v>
      </x:c>
      <x:c r="M676" s="47" t="n">
        <x:v>595.32</x:v>
      </x:c>
      <x:c r="N676" s="28" t="str">
        <x:v>top-left</x:v>
      </x:c>
      <x:c r="O676" s="28" t="str">
        <x:v>PDF points</x:v>
      </x:c>
    </x:row>
    <x:row r="677" ht="22" customHeight="1">
      <x:c r="A677" s="28" t="str">
        <x:v>ANC-SLE-022-01-R27</x:v>
      </x:c>
      <x:c r="B677" s="28" t="str">
        <x:v>ANC-SLE-022-01</x:v>
      </x:c>
      <x:c r="C677" s="28" t="n">
        <x:v>15</x:v>
      </x:c>
      <x:c r="D677" s="47" t="n">
        <x:v>476.28</x:v>
      </x:c>
      <x:c r="E677" s="47" t="n">
        <x:v>469.267</x:v>
      </x:c>
      <x:c r="F677" s="47" t="n">
        <x:v>491.398</x:v>
      </x:c>
      <x:c r="G677" s="47" t="n">
        <x:v>478.875</x:v>
      </x:c>
      <x:c r="H677" s="50" t="n">
        <x:v>0.565626</x:v>
      </x:c>
      <x:c r="I677" s="50" t="n">
        <x:v>0.788261</x:v>
      </x:c>
      <x:c r="J677" s="50" t="n">
        <x:v>0.58358</x:v>
      </x:c>
      <x:c r="K677" s="50" t="n">
        <x:v>0.8044</x:v>
      </x:c>
      <x:c r="L677" s="47" t="n">
        <x:v>842.04</x:v>
      </x:c>
      <x:c r="M677" s="47" t="n">
        <x:v>595.32</x:v>
      </x:c>
      <x:c r="N677" s="28" t="str">
        <x:v>top-left</x:v>
      </x:c>
      <x:c r="O677" s="28" t="str">
        <x:v>PDF points</x:v>
      </x:c>
    </x:row>
    <x:row r="678" ht="22" customHeight="1">
      <x:c r="A678" s="28" t="str">
        <x:v>ANC-SLE-022-01-R28</x:v>
      </x:c>
      <x:c r="B678" s="28" t="str">
        <x:v>ANC-SLE-022-01</x:v>
      </x:c>
      <x:c r="C678" s="28" t="n">
        <x:v>15</x:v>
      </x:c>
      <x:c r="D678" s="47" t="n">
        <x:v>526.92</x:v>
      </x:c>
      <x:c r="E678" s="47" t="n">
        <x:v>469.267</x:v>
      </x:c>
      <x:c r="F678" s="47" t="n">
        <x:v>542.038</x:v>
      </x:c>
      <x:c r="G678" s="47" t="n">
        <x:v>478.875</x:v>
      </x:c>
      <x:c r="H678" s="50" t="n">
        <x:v>0.625766</x:v>
      </x:c>
      <x:c r="I678" s="50" t="n">
        <x:v>0.788261</x:v>
      </x:c>
      <x:c r="J678" s="50" t="n">
        <x:v>0.64372</x:v>
      </x:c>
      <x:c r="K678" s="50" t="n">
        <x:v>0.8044</x:v>
      </x:c>
      <x:c r="L678" s="47" t="n">
        <x:v>842.04</x:v>
      </x:c>
      <x:c r="M678" s="47" t="n">
        <x:v>595.32</x:v>
      </x:c>
      <x:c r="N678" s="28" t="str">
        <x:v>top-left</x:v>
      </x:c>
      <x:c r="O678" s="28" t="str">
        <x:v>PDF points</x:v>
      </x:c>
    </x:row>
    <x:row r="679" ht="22" customHeight="1">
      <x:c r="A679" s="28" t="str">
        <x:v>ANC-SLE-022-01-R29</x:v>
      </x:c>
      <x:c r="B679" s="28" t="str">
        <x:v>ANC-SLE-022-01</x:v>
      </x:c>
      <x:c r="C679" s="28" t="n">
        <x:v>15</x:v>
      </x:c>
      <x:c r="D679" s="47" t="n">
        <x:v>576.487</x:v>
      </x:c>
      <x:c r="E679" s="47" t="n">
        <x:v>469.267</x:v>
      </x:c>
      <x:c r="F679" s="47" t="n">
        <x:v>591.604</x:v>
      </x:c>
      <x:c r="G679" s="47" t="n">
        <x:v>478.875</x:v>
      </x:c>
      <x:c r="H679" s="50" t="n">
        <x:v>0.684631</x:v>
      </x:c>
      <x:c r="I679" s="50" t="n">
        <x:v>0.788261</x:v>
      </x:c>
      <x:c r="J679" s="50" t="n">
        <x:v>0.702585</x:v>
      </x:c>
      <x:c r="K679" s="50" t="n">
        <x:v>0.8044</x:v>
      </x:c>
      <x:c r="L679" s="47" t="n">
        <x:v>842.04</x:v>
      </x:c>
      <x:c r="M679" s="47" t="n">
        <x:v>595.32</x:v>
      </x:c>
      <x:c r="N679" s="28" t="str">
        <x:v>top-left</x:v>
      </x:c>
      <x:c r="O679" s="28" t="str">
        <x:v>PDF points</x:v>
      </x:c>
    </x:row>
    <x:row r="680" ht="22" customHeight="1">
      <x:c r="A680" s="28" t="str">
        <x:v>ANC-SLE-022-01-R30</x:v>
      </x:c>
      <x:c r="B680" s="28" t="str">
        <x:v>ANC-SLE-022-01</x:v>
      </x:c>
      <x:c r="C680" s="28" t="n">
        <x:v>15</x:v>
      </x:c>
      <x:c r="D680" s="47" t="n">
        <x:v>616.92</x:v>
      </x:c>
      <x:c r="E680" s="47" t="n">
        <x:v>469.267</x:v>
      </x:c>
      <x:c r="F680" s="47" t="n">
        <x:v>632.038</x:v>
      </x:c>
      <x:c r="G680" s="47" t="n">
        <x:v>478.875</x:v>
      </x:c>
      <x:c r="H680" s="50" t="n">
        <x:v>0.732649</x:v>
      </x:c>
      <x:c r="I680" s="50" t="n">
        <x:v>0.788261</x:v>
      </x:c>
      <x:c r="J680" s="50" t="n">
        <x:v>0.750603</x:v>
      </x:c>
      <x:c r="K680" s="50" t="n">
        <x:v>0.8044</x:v>
      </x:c>
      <x:c r="L680" s="47" t="n">
        <x:v>842.04</x:v>
      </x:c>
      <x:c r="M680" s="47" t="n">
        <x:v>595.32</x:v>
      </x:c>
      <x:c r="N680" s="28" t="str">
        <x:v>top-left</x:v>
      </x:c>
      <x:c r="O680" s="28" t="str">
        <x:v>PDF points</x:v>
      </x:c>
    </x:row>
    <x:row r="681" ht="22" customHeight="1">
      <x:c r="A681" s="28" t="str">
        <x:v>ANC-SLE-022-01-R31</x:v>
      </x:c>
      <x:c r="B681" s="28" t="str">
        <x:v>ANC-SLE-022-01</x:v>
      </x:c>
      <x:c r="C681" s="28" t="n">
        <x:v>15</x:v>
      </x:c>
      <x:c r="D681" s="47" t="n">
        <x:v>656.52</x:v>
      </x:c>
      <x:c r="E681" s="47" t="n">
        <x:v>469.267</x:v>
      </x:c>
      <x:c r="F681" s="47" t="n">
        <x:v>671.638</x:v>
      </x:c>
      <x:c r="G681" s="47" t="n">
        <x:v>478.875</x:v>
      </x:c>
      <x:c r="H681" s="50" t="n">
        <x:v>0.779678</x:v>
      </x:c>
      <x:c r="I681" s="50" t="n">
        <x:v>0.788261</x:v>
      </x:c>
      <x:c r="J681" s="50" t="n">
        <x:v>0.797632</x:v>
      </x:c>
      <x:c r="K681" s="50" t="n">
        <x:v>0.8044</x:v>
      </x:c>
      <x:c r="L681" s="47" t="n">
        <x:v>842.04</x:v>
      </x:c>
      <x:c r="M681" s="47" t="n">
        <x:v>595.32</x:v>
      </x:c>
      <x:c r="N681" s="28" t="str">
        <x:v>top-left</x:v>
      </x:c>
      <x:c r="O681" s="28" t="str">
        <x:v>PDF points</x:v>
      </x:c>
    </x:row>
    <x:row r="682" ht="22" customHeight="1">
      <x:c r="A682" s="28" t="str">
        <x:v>ANC-SLE-022-01-R32</x:v>
      </x:c>
      <x:c r="B682" s="28" t="str">
        <x:v>ANC-SLE-022-01</x:v>
      </x:c>
      <x:c r="C682" s="28" t="n">
        <x:v>15</x:v>
      </x:c>
      <x:c r="D682" s="47" t="n">
        <x:v>696.004</x:v>
      </x:c>
      <x:c r="E682" s="47" t="n">
        <x:v>469.267</x:v>
      </x:c>
      <x:c r="F682" s="47" t="n">
        <x:v>711.122</x:v>
      </x:c>
      <x:c r="G682" s="47" t="n">
        <x:v>478.875</x:v>
      </x:c>
      <x:c r="H682" s="50" t="n">
        <x:v>0.826569</x:v>
      </x:c>
      <x:c r="I682" s="50" t="n">
        <x:v>0.788261</x:v>
      </x:c>
      <x:c r="J682" s="50" t="n">
        <x:v>0.844523</x:v>
      </x:c>
      <x:c r="K682" s="50" t="n">
        <x:v>0.8044</x:v>
      </x:c>
      <x:c r="L682" s="47" t="n">
        <x:v>842.04</x:v>
      </x:c>
      <x:c r="M682" s="47" t="n">
        <x:v>595.32</x:v>
      </x:c>
      <x:c r="N682" s="28" t="str">
        <x:v>top-left</x:v>
      </x:c>
      <x:c r="O682" s="28" t="str">
        <x:v>PDF points</x:v>
      </x:c>
    </x:row>
    <x:row r="683" ht="22" customHeight="1">
      <x:c r="A683" s="28" t="str">
        <x:v>ANC-SLE-022-01-R33</x:v>
      </x:c>
      <x:c r="B683" s="28" t="str">
        <x:v>ANC-SLE-022-01</x:v>
      </x:c>
      <x:c r="C683" s="28" t="n">
        <x:v>15</x:v>
      </x:c>
      <x:c r="D683" s="47" t="n">
        <x:v>731.887</x:v>
      </x:c>
      <x:c r="E683" s="47" t="n">
        <x:v>469.267</x:v>
      </x:c>
      <x:c r="F683" s="47" t="n">
        <x:v>747.005</x:v>
      </x:c>
      <x:c r="G683" s="47" t="n">
        <x:v>478.875</x:v>
      </x:c>
      <x:c r="H683" s="50" t="n">
        <x:v>0.869183</x:v>
      </x:c>
      <x:c r="I683" s="50" t="n">
        <x:v>0.788261</x:v>
      </x:c>
      <x:c r="J683" s="50" t="n">
        <x:v>0.887137</x:v>
      </x:c>
      <x:c r="K683" s="50" t="n">
        <x:v>0.8044</x:v>
      </x:c>
      <x:c r="L683" s="47" t="n">
        <x:v>842.04</x:v>
      </x:c>
      <x:c r="M683" s="47" t="n">
        <x:v>595.32</x:v>
      </x:c>
      <x:c r="N683" s="28" t="str">
        <x:v>top-left</x:v>
      </x:c>
      <x:c r="O683" s="28" t="str">
        <x:v>PDF points</x:v>
      </x:c>
    </x:row>
    <x:row r="684" ht="22" customHeight="1">
      <x:c r="A684" s="28" t="str">
        <x:v>ANC-SLE-022-01-R34</x:v>
      </x:c>
      <x:c r="B684" s="28" t="str">
        <x:v>ANC-SLE-022-01</x:v>
      </x:c>
      <x:c r="C684" s="28" t="n">
        <x:v>15</x:v>
      </x:c>
      <x:c r="D684" s="47" t="n">
        <x:v>768.011</x:v>
      </x:c>
      <x:c r="E684" s="47" t="n">
        <x:v>469.267</x:v>
      </x:c>
      <x:c r="F684" s="47" t="n">
        <x:v>783.128</x:v>
      </x:c>
      <x:c r="G684" s="47" t="n">
        <x:v>478.875</x:v>
      </x:c>
      <x:c r="H684" s="50" t="n">
        <x:v>0.912083</x:v>
      </x:c>
      <x:c r="I684" s="50" t="n">
        <x:v>0.788261</x:v>
      </x:c>
      <x:c r="J684" s="50" t="n">
        <x:v>0.930037</x:v>
      </x:c>
      <x:c r="K684" s="50" t="n">
        <x:v>0.8044</x:v>
      </x:c>
      <x:c r="L684" s="47" t="n">
        <x:v>842.04</x:v>
      </x:c>
      <x:c r="M684" s="47" t="n">
        <x:v>595.32</x:v>
      </x:c>
      <x:c r="N684" s="28" t="str">
        <x:v>top-left</x:v>
      </x:c>
      <x:c r="O684" s="28" t="str">
        <x:v>PDF points</x:v>
      </x:c>
    </x:row>
    <x:row r="685" ht="22" customHeight="1">
      <x:c r="A685" s="28" t="str">
        <x:v>ANC-SLE-022-01-R35</x:v>
      </x:c>
      <x:c r="B685" s="28" t="str">
        <x:v>ANC-SLE-022-01</x:v>
      </x:c>
      <x:c r="C685" s="28" t="n">
        <x:v>15</x:v>
      </x:c>
      <x:c r="D685" s="47" t="n">
        <x:v>217.32</x:v>
      </x:c>
      <x:c r="E685" s="47" t="n">
        <x:v>480.547</x:v>
      </x:c>
      <x:c r="F685" s="47" t="n">
        <x:v>341.208</x:v>
      </x:c>
      <x:c r="G685" s="47" t="n">
        <x:v>490.155</x:v>
      </x:c>
      <x:c r="H685" s="50" t="n">
        <x:v>0.258088</x:v>
      </x:c>
      <x:c r="I685" s="50" t="n">
        <x:v>0.807208</x:v>
      </x:c>
      <x:c r="J685" s="50" t="n">
        <x:v>0.405216</x:v>
      </x:c>
      <x:c r="K685" s="50" t="n">
        <x:v>0.823347</x:v>
      </x:c>
      <x:c r="L685" s="47" t="n">
        <x:v>842.04</x:v>
      </x:c>
      <x:c r="M685" s="47" t="n">
        <x:v>595.32</x:v>
      </x:c>
      <x:c r="N685" s="28" t="str">
        <x:v>top-left</x:v>
      </x:c>
      <x:c r="O685" s="28" t="str">
        <x:v>PDF points</x:v>
      </x:c>
    </x:row>
    <x:row r="686" ht="22" customHeight="1">
      <x:c r="A686" s="28" t="str">
        <x:v>ANC-SLE-023-01-R01</x:v>
      </x:c>
      <x:c r="B686" s="28" t="str">
        <x:v>ANC-SLE-023-01</x:v>
      </x:c>
      <x:c r="C686" s="28" t="n">
        <x:v>15</x:v>
      </x:c>
      <x:c r="D686" s="47" t="n">
        <x:v>169.684</x:v>
      </x:c>
      <x:c r="E686" s="47" t="n">
        <x:v>441.911</x:v>
      </x:c>
      <x:c r="F686" s="47" t="n">
        <x:v>187.883</x:v>
      </x:c>
      <x:c r="G686" s="47" t="n">
        <x:v>451.519</x:v>
      </x:c>
      <x:c r="H686" s="50" t="n">
        <x:v>0.201515</x:v>
      </x:c>
      <x:c r="I686" s="50" t="n">
        <x:v>0.742308</x:v>
      </x:c>
      <x:c r="J686" s="50" t="n">
        <x:v>0.223128</x:v>
      </x:c>
      <x:c r="K686" s="50" t="n">
        <x:v>0.758447</x:v>
      </x:c>
      <x:c r="L686" s="47" t="n">
        <x:v>842.04</x:v>
      </x:c>
      <x:c r="M686" s="47" t="n">
        <x:v>595.32</x:v>
      </x:c>
      <x:c r="N686" s="28" t="str">
        <x:v>top-left</x:v>
      </x:c>
      <x:c r="O686" s="28" t="str">
        <x:v>PDF points</x:v>
      </x:c>
    </x:row>
    <x:row r="687" ht="22" customHeight="1">
      <x:c r="A687" s="28" t="str">
        <x:v>ANC-SLE-023-01-R02</x:v>
      </x:c>
      <x:c r="B687" s="28" t="str">
        <x:v>ANC-SLE-023-01</x:v>
      </x:c>
      <x:c r="C687" s="28" t="n">
        <x:v>15</x:v>
      </x:c>
      <x:c r="D687" s="47" t="n">
        <x:v>217.32</x:v>
      </x:c>
      <x:c r="E687" s="47" t="n">
        <x:v>444.547</x:v>
      </x:c>
      <x:c r="F687" s="47" t="n">
        <x:v>451.708</x:v>
      </x:c>
      <x:c r="G687" s="47" t="n">
        <x:v>454.155</x:v>
      </x:c>
      <x:c r="H687" s="50" t="n">
        <x:v>0.258088</x:v>
      </x:c>
      <x:c r="I687" s="50" t="n">
        <x:v>0.746737</x:v>
      </x:c>
      <x:c r="J687" s="50" t="n">
        <x:v>0.536444</x:v>
      </x:c>
      <x:c r="K687" s="50" t="n">
        <x:v>0.762876</x:v>
      </x:c>
      <x:c r="L687" s="47" t="n">
        <x:v>842.04</x:v>
      </x:c>
      <x:c r="M687" s="47" t="n">
        <x:v>595.32</x:v>
      </x:c>
      <x:c r="N687" s="28" t="str">
        <x:v>top-left</x:v>
      </x:c>
      <x:c r="O687" s="28" t="str">
        <x:v>PDF points</x:v>
      </x:c>
    </x:row>
    <x:row r="688" ht="22" customHeight="1">
      <x:c r="A688" s="28" t="str">
        <x:v>ANC-SLE-023-01-R03</x:v>
      </x:c>
      <x:c r="B688" s="28" t="str">
        <x:v>ANC-SLE-023-01</x:v>
      </x:c>
      <x:c r="C688" s="28" t="n">
        <x:v>15</x:v>
      </x:c>
      <x:c r="D688" s="47" t="n">
        <x:v>217.32</x:v>
      </x:c>
      <x:c r="E688" s="47" t="n">
        <x:v>453.187</x:v>
      </x:c>
      <x:c r="F688" s="47" t="n">
        <x:v>341.921</x:v>
      </x:c>
      <x:c r="G688" s="47" t="n">
        <x:v>462.795</x:v>
      </x:c>
      <x:c r="H688" s="50" t="n">
        <x:v>0.258088</x:v>
      </x:c>
      <x:c r="I688" s="50" t="n">
        <x:v>0.76125</x:v>
      </x:c>
      <x:c r="J688" s="50" t="n">
        <x:v>0.406063</x:v>
      </x:c>
      <x:c r="K688" s="50" t="n">
        <x:v>0.777389</x:v>
      </x:c>
      <x:c r="L688" s="47" t="n">
        <x:v>842.04</x:v>
      </x:c>
      <x:c r="M688" s="47" t="n">
        <x:v>595.32</x:v>
      </x:c>
      <x:c r="N688" s="28" t="str">
        <x:v>top-left</x:v>
      </x:c>
      <x:c r="O688" s="28" t="str">
        <x:v>PDF points</x:v>
      </x:c>
    </x:row>
    <x:row r="689" ht="22" customHeight="1">
      <x:c r="A689" s="28" t="str">
        <x:v>ANC-SLE-023-01-R04</x:v>
      </x:c>
      <x:c r="B689" s="28" t="str">
        <x:v>ANC-SLE-023-01</x:v>
      </x:c>
      <x:c r="C689" s="28" t="n">
        <x:v>15</x:v>
      </x:c>
      <x:c r="D689" s="47" t="n">
        <x:v>476.28</x:v>
      </x:c>
      <x:c r="E689" s="47" t="n">
        <x:v>451.267</x:v>
      </x:c>
      <x:c r="F689" s="47" t="n">
        <x:v>491.398</x:v>
      </x:c>
      <x:c r="G689" s="47" t="n">
        <x:v>460.875</x:v>
      </x:c>
      <x:c r="H689" s="50" t="n">
        <x:v>0.565626</x:v>
      </x:c>
      <x:c r="I689" s="50" t="n">
        <x:v>0.758025</x:v>
      </x:c>
      <x:c r="J689" s="50" t="n">
        <x:v>0.58358</x:v>
      </x:c>
      <x:c r="K689" s="50" t="n">
        <x:v>0.774164</x:v>
      </x:c>
      <x:c r="L689" s="47" t="n">
        <x:v>842.04</x:v>
      </x:c>
      <x:c r="M689" s="47" t="n">
        <x:v>595.32</x:v>
      </x:c>
      <x:c r="N689" s="28" t="str">
        <x:v>top-left</x:v>
      </x:c>
      <x:c r="O689" s="28" t="str">
        <x:v>PDF points</x:v>
      </x:c>
    </x:row>
    <x:row r="690" ht="22" customHeight="1">
      <x:c r="A690" s="28" t="str">
        <x:v>ANC-SLE-023-01-R05</x:v>
      </x:c>
      <x:c r="B690" s="28" t="str">
        <x:v>ANC-SLE-023-01</x:v>
      </x:c>
      <x:c r="C690" s="28" t="n">
        <x:v>15</x:v>
      </x:c>
      <x:c r="D690" s="47" t="n">
        <x:v>526.924</x:v>
      </x:c>
      <x:c r="E690" s="47" t="n">
        <x:v>451.267</x:v>
      </x:c>
      <x:c r="F690" s="47" t="n">
        <x:v>542.042</x:v>
      </x:c>
      <x:c r="G690" s="47" t="n">
        <x:v>460.875</x:v>
      </x:c>
      <x:c r="H690" s="50" t="n">
        <x:v>0.625771</x:v>
      </x:c>
      <x:c r="I690" s="50" t="n">
        <x:v>0.758025</x:v>
      </x:c>
      <x:c r="J690" s="50" t="n">
        <x:v>0.643724</x:v>
      </x:c>
      <x:c r="K690" s="50" t="n">
        <x:v>0.774164</x:v>
      </x:c>
      <x:c r="L690" s="47" t="n">
        <x:v>842.04</x:v>
      </x:c>
      <x:c r="M690" s="47" t="n">
        <x:v>595.32</x:v>
      </x:c>
      <x:c r="N690" s="28" t="str">
        <x:v>top-left</x:v>
      </x:c>
      <x:c r="O690" s="28" t="str">
        <x:v>PDF points</x:v>
      </x:c>
    </x:row>
    <x:row r="691" ht="22" customHeight="1">
      <x:c r="A691" s="28" t="str">
        <x:v>ANC-SLE-023-01-R06</x:v>
      </x:c>
      <x:c r="B691" s="28" t="str">
        <x:v>ANC-SLE-023-01</x:v>
      </x:c>
      <x:c r="C691" s="28" t="n">
        <x:v>15</x:v>
      </x:c>
      <x:c r="D691" s="47" t="n">
        <x:v>576.482</x:v>
      </x:c>
      <x:c r="E691" s="47" t="n">
        <x:v>451.267</x:v>
      </x:c>
      <x:c r="F691" s="47" t="n">
        <x:v>591.6</x:v>
      </x:c>
      <x:c r="G691" s="47" t="n">
        <x:v>460.875</x:v>
      </x:c>
      <x:c r="H691" s="50" t="n">
        <x:v>0.684626</x:v>
      </x:c>
      <x:c r="I691" s="50" t="n">
        <x:v>0.758025</x:v>
      </x:c>
      <x:c r="J691" s="50" t="n">
        <x:v>0.70258</x:v>
      </x:c>
      <x:c r="K691" s="50" t="n">
        <x:v>0.774164</x:v>
      </x:c>
      <x:c r="L691" s="47" t="n">
        <x:v>842.04</x:v>
      </x:c>
      <x:c r="M691" s="47" t="n">
        <x:v>595.32</x:v>
      </x:c>
      <x:c r="N691" s="28" t="str">
        <x:v>top-left</x:v>
      </x:c>
      <x:c r="O691" s="28" t="str">
        <x:v>PDF points</x:v>
      </x:c>
    </x:row>
    <x:row r="692" ht="22" customHeight="1">
      <x:c r="A692" s="28" t="str">
        <x:v>ANC-SLE-023-01-R07</x:v>
      </x:c>
      <x:c r="B692" s="28" t="str">
        <x:v>ANC-SLE-023-01</x:v>
      </x:c>
      <x:c r="C692" s="28" t="n">
        <x:v>15</x:v>
      </x:c>
      <x:c r="D692" s="47" t="n">
        <x:v>616.92</x:v>
      </x:c>
      <x:c r="E692" s="47" t="n">
        <x:v>451.267</x:v>
      </x:c>
      <x:c r="F692" s="47" t="n">
        <x:v>632.038</x:v>
      </x:c>
      <x:c r="G692" s="47" t="n">
        <x:v>460.875</x:v>
      </x:c>
      <x:c r="H692" s="50" t="n">
        <x:v>0.732649</x:v>
      </x:c>
      <x:c r="I692" s="50" t="n">
        <x:v>0.758025</x:v>
      </x:c>
      <x:c r="J692" s="50" t="n">
        <x:v>0.750603</x:v>
      </x:c>
      <x:c r="K692" s="50" t="n">
        <x:v>0.774164</x:v>
      </x:c>
      <x:c r="L692" s="47" t="n">
        <x:v>842.04</x:v>
      </x:c>
      <x:c r="M692" s="47" t="n">
        <x:v>595.32</x:v>
      </x:c>
      <x:c r="N692" s="28" t="str">
        <x:v>top-left</x:v>
      </x:c>
      <x:c r="O692" s="28" t="str">
        <x:v>PDF points</x:v>
      </x:c>
    </x:row>
    <x:row r="693" ht="22" customHeight="1">
      <x:c r="A693" s="28" t="str">
        <x:v>ANC-SLE-023-01-R08</x:v>
      </x:c>
      <x:c r="B693" s="28" t="str">
        <x:v>ANC-SLE-023-01</x:v>
      </x:c>
      <x:c r="C693" s="28" t="n">
        <x:v>15</x:v>
      </x:c>
      <x:c r="D693" s="47" t="n">
        <x:v>656.52</x:v>
      </x:c>
      <x:c r="E693" s="47" t="n">
        <x:v>451.267</x:v>
      </x:c>
      <x:c r="F693" s="47" t="n">
        <x:v>671.638</x:v>
      </x:c>
      <x:c r="G693" s="47" t="n">
        <x:v>460.875</x:v>
      </x:c>
      <x:c r="H693" s="50" t="n">
        <x:v>0.779678</x:v>
      </x:c>
      <x:c r="I693" s="50" t="n">
        <x:v>0.758025</x:v>
      </x:c>
      <x:c r="J693" s="50" t="n">
        <x:v>0.797632</x:v>
      </x:c>
      <x:c r="K693" s="50" t="n">
        <x:v>0.774164</x:v>
      </x:c>
      <x:c r="L693" s="47" t="n">
        <x:v>842.04</x:v>
      </x:c>
      <x:c r="M693" s="47" t="n">
        <x:v>595.32</x:v>
      </x:c>
      <x:c r="N693" s="28" t="str">
        <x:v>top-left</x:v>
      </x:c>
      <x:c r="O693" s="28" t="str">
        <x:v>PDF points</x:v>
      </x:c>
    </x:row>
    <x:row r="694" ht="22" customHeight="1">
      <x:c r="A694" s="28" t="str">
        <x:v>ANC-SLE-023-01-R09</x:v>
      </x:c>
      <x:c r="B694" s="28" t="str">
        <x:v>ANC-SLE-023-01</x:v>
      </x:c>
      <x:c r="C694" s="28" t="n">
        <x:v>15</x:v>
      </x:c>
      <x:c r="D694" s="47" t="n">
        <x:v>696.004</x:v>
      </x:c>
      <x:c r="E694" s="47" t="n">
        <x:v>451.267</x:v>
      </x:c>
      <x:c r="F694" s="47" t="n">
        <x:v>711.122</x:v>
      </x:c>
      <x:c r="G694" s="47" t="n">
        <x:v>460.875</x:v>
      </x:c>
      <x:c r="H694" s="50" t="n">
        <x:v>0.826569</x:v>
      </x:c>
      <x:c r="I694" s="50" t="n">
        <x:v>0.758025</x:v>
      </x:c>
      <x:c r="J694" s="50" t="n">
        <x:v>0.844523</x:v>
      </x:c>
      <x:c r="K694" s="50" t="n">
        <x:v>0.774164</x:v>
      </x:c>
      <x:c r="L694" s="47" t="n">
        <x:v>842.04</x:v>
      </x:c>
      <x:c r="M694" s="47" t="n">
        <x:v>595.32</x:v>
      </x:c>
      <x:c r="N694" s="28" t="str">
        <x:v>top-left</x:v>
      </x:c>
      <x:c r="O694" s="28" t="str">
        <x:v>PDF points</x:v>
      </x:c>
    </x:row>
    <x:row r="695" ht="22" customHeight="1">
      <x:c r="A695" s="28" t="str">
        <x:v>ANC-SLE-023-01-R10</x:v>
      </x:c>
      <x:c r="B695" s="28" t="str">
        <x:v>ANC-SLE-023-01</x:v>
      </x:c>
      <x:c r="C695" s="28" t="n">
        <x:v>15</x:v>
      </x:c>
      <x:c r="D695" s="47" t="n">
        <x:v>731.887</x:v>
      </x:c>
      <x:c r="E695" s="47" t="n">
        <x:v>451.267</x:v>
      </x:c>
      <x:c r="F695" s="47" t="n">
        <x:v>747.005</x:v>
      </x:c>
      <x:c r="G695" s="47" t="n">
        <x:v>460.875</x:v>
      </x:c>
      <x:c r="H695" s="50" t="n">
        <x:v>0.869183</x:v>
      </x:c>
      <x:c r="I695" s="50" t="n">
        <x:v>0.758025</x:v>
      </x:c>
      <x:c r="J695" s="50" t="n">
        <x:v>0.887137</x:v>
      </x:c>
      <x:c r="K695" s="50" t="n">
        <x:v>0.774164</x:v>
      </x:c>
      <x:c r="L695" s="47" t="n">
        <x:v>842.04</x:v>
      </x:c>
      <x:c r="M695" s="47" t="n">
        <x:v>595.32</x:v>
      </x:c>
      <x:c r="N695" s="28" t="str">
        <x:v>top-left</x:v>
      </x:c>
      <x:c r="O695" s="28" t="str">
        <x:v>PDF points</x:v>
      </x:c>
    </x:row>
    <x:row r="696" ht="22" customHeight="1">
      <x:c r="A696" s="28" t="str">
        <x:v>ANC-SLE-023-01-R11</x:v>
      </x:c>
      <x:c r="B696" s="28" t="str">
        <x:v>ANC-SLE-023-01</x:v>
      </x:c>
      <x:c r="C696" s="28" t="n">
        <x:v>15</x:v>
      </x:c>
      <x:c r="D696" s="47" t="n">
        <x:v>768.011</x:v>
      </x:c>
      <x:c r="E696" s="47" t="n">
        <x:v>451.267</x:v>
      </x:c>
      <x:c r="F696" s="47" t="n">
        <x:v>783.128</x:v>
      </x:c>
      <x:c r="G696" s="47" t="n">
        <x:v>460.875</x:v>
      </x:c>
      <x:c r="H696" s="50" t="n">
        <x:v>0.912083</x:v>
      </x:c>
      <x:c r="I696" s="50" t="n">
        <x:v>0.758025</x:v>
      </x:c>
      <x:c r="J696" s="50" t="n">
        <x:v>0.930037</x:v>
      </x:c>
      <x:c r="K696" s="50" t="n">
        <x:v>0.774164</x:v>
      </x:c>
      <x:c r="L696" s="47" t="n">
        <x:v>842.04</x:v>
      </x:c>
      <x:c r="M696" s="47" t="n">
        <x:v>595.32</x:v>
      </x:c>
      <x:c r="N696" s="28" t="str">
        <x:v>top-left</x:v>
      </x:c>
      <x:c r="O696" s="28" t="str">
        <x:v>PDF points</x:v>
      </x:c>
    </x:row>
    <x:row r="697" ht="22" customHeight="1">
      <x:c r="A697" s="28" t="str">
        <x:v>ANC-SLE-023-01-R12</x:v>
      </x:c>
      <x:c r="B697" s="28" t="str">
        <x:v>ANC-SLE-023-01</x:v>
      </x:c>
      <x:c r="C697" s="28" t="n">
        <x:v>15</x:v>
      </x:c>
      <x:c r="D697" s="47" t="n">
        <x:v>217.32</x:v>
      </x:c>
      <x:c r="E697" s="47" t="n">
        <x:v>467.227</x:v>
      </x:c>
      <x:c r="F697" s="47" t="n">
        <x:v>341.191</x:v>
      </x:c>
      <x:c r="G697" s="47" t="n">
        <x:v>476.835</x:v>
      </x:c>
      <x:c r="H697" s="50" t="n">
        <x:v>0.258088</x:v>
      </x:c>
      <x:c r="I697" s="50" t="n">
        <x:v>0.784834</x:v>
      </x:c>
      <x:c r="J697" s="50" t="n">
        <x:v>0.405195</x:v>
      </x:c>
      <x:c r="K697" s="50" t="n">
        <x:v>0.800973</x:v>
      </x:c>
      <x:c r="L697" s="47" t="n">
        <x:v>842.04</x:v>
      </x:c>
      <x:c r="M697" s="47" t="n">
        <x:v>595.32</x:v>
      </x:c>
      <x:c r="N697" s="28" t="str">
        <x:v>top-left</x:v>
      </x:c>
      <x:c r="O697" s="28" t="str">
        <x:v>PDF points</x:v>
      </x:c>
    </x:row>
    <x:row r="698" ht="22" customHeight="1">
      <x:c r="A698" s="28" t="str">
        <x:v>ANC-SLE-023-01-R13</x:v>
      </x:c>
      <x:c r="B698" s="28" t="str">
        <x:v>ANC-SLE-023-01</x:v>
      </x:c>
      <x:c r="C698" s="28" t="n">
        <x:v>15</x:v>
      </x:c>
      <x:c r="D698" s="47" t="n">
        <x:v>476.28</x:v>
      </x:c>
      <x:c r="E698" s="47" t="n">
        <x:v>469.267</x:v>
      </x:c>
      <x:c r="F698" s="47" t="n">
        <x:v>491.398</x:v>
      </x:c>
      <x:c r="G698" s="47" t="n">
        <x:v>478.875</x:v>
      </x:c>
      <x:c r="H698" s="50" t="n">
        <x:v>0.565626</x:v>
      </x:c>
      <x:c r="I698" s="50" t="n">
        <x:v>0.788261</x:v>
      </x:c>
      <x:c r="J698" s="50" t="n">
        <x:v>0.58358</x:v>
      </x:c>
      <x:c r="K698" s="50" t="n">
        <x:v>0.8044</x:v>
      </x:c>
      <x:c r="L698" s="47" t="n">
        <x:v>842.04</x:v>
      </x:c>
      <x:c r="M698" s="47" t="n">
        <x:v>595.32</x:v>
      </x:c>
      <x:c r="N698" s="28" t="str">
        <x:v>top-left</x:v>
      </x:c>
      <x:c r="O698" s="28" t="str">
        <x:v>PDF points</x:v>
      </x:c>
    </x:row>
    <x:row r="699" ht="22" customHeight="1">
      <x:c r="A699" s="28" t="str">
        <x:v>ANC-SLE-023-01-R14</x:v>
      </x:c>
      <x:c r="B699" s="28" t="str">
        <x:v>ANC-SLE-023-01</x:v>
      </x:c>
      <x:c r="C699" s="28" t="n">
        <x:v>15</x:v>
      </x:c>
      <x:c r="D699" s="47" t="n">
        <x:v>526.92</x:v>
      </x:c>
      <x:c r="E699" s="47" t="n">
        <x:v>469.267</x:v>
      </x:c>
      <x:c r="F699" s="47" t="n">
        <x:v>542.038</x:v>
      </x:c>
      <x:c r="G699" s="47" t="n">
        <x:v>478.875</x:v>
      </x:c>
      <x:c r="H699" s="50" t="n">
        <x:v>0.625766</x:v>
      </x:c>
      <x:c r="I699" s="50" t="n">
        <x:v>0.788261</x:v>
      </x:c>
      <x:c r="J699" s="50" t="n">
        <x:v>0.64372</x:v>
      </x:c>
      <x:c r="K699" s="50" t="n">
        <x:v>0.8044</x:v>
      </x:c>
      <x:c r="L699" s="47" t="n">
        <x:v>842.04</x:v>
      </x:c>
      <x:c r="M699" s="47" t="n">
        <x:v>595.32</x:v>
      </x:c>
      <x:c r="N699" s="28" t="str">
        <x:v>top-left</x:v>
      </x:c>
      <x:c r="O699" s="28" t="str">
        <x:v>PDF points</x:v>
      </x:c>
    </x:row>
    <x:row r="700" ht="22" customHeight="1">
      <x:c r="A700" s="28" t="str">
        <x:v>ANC-SLE-023-01-R15</x:v>
      </x:c>
      <x:c r="B700" s="28" t="str">
        <x:v>ANC-SLE-023-01</x:v>
      </x:c>
      <x:c r="C700" s="28" t="n">
        <x:v>15</x:v>
      </x:c>
      <x:c r="D700" s="47" t="n">
        <x:v>576.487</x:v>
      </x:c>
      <x:c r="E700" s="47" t="n">
        <x:v>469.267</x:v>
      </x:c>
      <x:c r="F700" s="47" t="n">
        <x:v>591.604</x:v>
      </x:c>
      <x:c r="G700" s="47" t="n">
        <x:v>478.875</x:v>
      </x:c>
      <x:c r="H700" s="50" t="n">
        <x:v>0.684631</x:v>
      </x:c>
      <x:c r="I700" s="50" t="n">
        <x:v>0.788261</x:v>
      </x:c>
      <x:c r="J700" s="50" t="n">
        <x:v>0.702585</x:v>
      </x:c>
      <x:c r="K700" s="50" t="n">
        <x:v>0.8044</x:v>
      </x:c>
      <x:c r="L700" s="47" t="n">
        <x:v>842.04</x:v>
      </x:c>
      <x:c r="M700" s="47" t="n">
        <x:v>595.32</x:v>
      </x:c>
      <x:c r="N700" s="28" t="str">
        <x:v>top-left</x:v>
      </x:c>
      <x:c r="O700" s="28" t="str">
        <x:v>PDF points</x:v>
      </x:c>
    </x:row>
    <x:row r="701" ht="22" customHeight="1">
      <x:c r="A701" s="28" t="str">
        <x:v>ANC-SLE-023-01-R16</x:v>
      </x:c>
      <x:c r="B701" s="28" t="str">
        <x:v>ANC-SLE-023-01</x:v>
      </x:c>
      <x:c r="C701" s="28" t="n">
        <x:v>15</x:v>
      </x:c>
      <x:c r="D701" s="47" t="n">
        <x:v>616.92</x:v>
      </x:c>
      <x:c r="E701" s="47" t="n">
        <x:v>469.267</x:v>
      </x:c>
      <x:c r="F701" s="47" t="n">
        <x:v>632.038</x:v>
      </x:c>
      <x:c r="G701" s="47" t="n">
        <x:v>478.875</x:v>
      </x:c>
      <x:c r="H701" s="50" t="n">
        <x:v>0.732649</x:v>
      </x:c>
      <x:c r="I701" s="50" t="n">
        <x:v>0.788261</x:v>
      </x:c>
      <x:c r="J701" s="50" t="n">
        <x:v>0.750603</x:v>
      </x:c>
      <x:c r="K701" s="50" t="n">
        <x:v>0.8044</x:v>
      </x:c>
      <x:c r="L701" s="47" t="n">
        <x:v>842.04</x:v>
      </x:c>
      <x:c r="M701" s="47" t="n">
        <x:v>595.32</x:v>
      </x:c>
      <x:c r="N701" s="28" t="str">
        <x:v>top-left</x:v>
      </x:c>
      <x:c r="O701" s="28" t="str">
        <x:v>PDF points</x:v>
      </x:c>
    </x:row>
    <x:row r="702" ht="22" customHeight="1">
      <x:c r="A702" s="28" t="str">
        <x:v>ANC-SLE-023-01-R17</x:v>
      </x:c>
      <x:c r="B702" s="28" t="str">
        <x:v>ANC-SLE-023-01</x:v>
      </x:c>
      <x:c r="C702" s="28" t="n">
        <x:v>15</x:v>
      </x:c>
      <x:c r="D702" s="47" t="n">
        <x:v>656.52</x:v>
      </x:c>
      <x:c r="E702" s="47" t="n">
        <x:v>469.267</x:v>
      </x:c>
      <x:c r="F702" s="47" t="n">
        <x:v>671.638</x:v>
      </x:c>
      <x:c r="G702" s="47" t="n">
        <x:v>478.875</x:v>
      </x:c>
      <x:c r="H702" s="50" t="n">
        <x:v>0.779678</x:v>
      </x:c>
      <x:c r="I702" s="50" t="n">
        <x:v>0.788261</x:v>
      </x:c>
      <x:c r="J702" s="50" t="n">
        <x:v>0.797632</x:v>
      </x:c>
      <x:c r="K702" s="50" t="n">
        <x:v>0.8044</x:v>
      </x:c>
      <x:c r="L702" s="47" t="n">
        <x:v>842.04</x:v>
      </x:c>
      <x:c r="M702" s="47" t="n">
        <x:v>595.32</x:v>
      </x:c>
      <x:c r="N702" s="28" t="str">
        <x:v>top-left</x:v>
      </x:c>
      <x:c r="O702" s="28" t="str">
        <x:v>PDF points</x:v>
      </x:c>
    </x:row>
    <x:row r="703" ht="22" customHeight="1">
      <x:c r="A703" s="28" t="str">
        <x:v>ANC-SLE-023-01-R18</x:v>
      </x:c>
      <x:c r="B703" s="28" t="str">
        <x:v>ANC-SLE-023-01</x:v>
      </x:c>
      <x:c r="C703" s="28" t="n">
        <x:v>15</x:v>
      </x:c>
      <x:c r="D703" s="47" t="n">
        <x:v>696.004</x:v>
      </x:c>
      <x:c r="E703" s="47" t="n">
        <x:v>469.267</x:v>
      </x:c>
      <x:c r="F703" s="47" t="n">
        <x:v>711.122</x:v>
      </x:c>
      <x:c r="G703" s="47" t="n">
        <x:v>478.875</x:v>
      </x:c>
      <x:c r="H703" s="50" t="n">
        <x:v>0.826569</x:v>
      </x:c>
      <x:c r="I703" s="50" t="n">
        <x:v>0.788261</x:v>
      </x:c>
      <x:c r="J703" s="50" t="n">
        <x:v>0.844523</x:v>
      </x:c>
      <x:c r="K703" s="50" t="n">
        <x:v>0.8044</x:v>
      </x:c>
      <x:c r="L703" s="47" t="n">
        <x:v>842.04</x:v>
      </x:c>
      <x:c r="M703" s="47" t="n">
        <x:v>595.32</x:v>
      </x:c>
      <x:c r="N703" s="28" t="str">
        <x:v>top-left</x:v>
      </x:c>
      <x:c r="O703" s="28" t="str">
        <x:v>PDF points</x:v>
      </x:c>
    </x:row>
    <x:row r="704" ht="22" customHeight="1">
      <x:c r="A704" s="28" t="str">
        <x:v>ANC-SLE-023-01-R19</x:v>
      </x:c>
      <x:c r="B704" s="28" t="str">
        <x:v>ANC-SLE-023-01</x:v>
      </x:c>
      <x:c r="C704" s="28" t="n">
        <x:v>15</x:v>
      </x:c>
      <x:c r="D704" s="47" t="n">
        <x:v>731.887</x:v>
      </x:c>
      <x:c r="E704" s="47" t="n">
        <x:v>469.267</x:v>
      </x:c>
      <x:c r="F704" s="47" t="n">
        <x:v>747.005</x:v>
      </x:c>
      <x:c r="G704" s="47" t="n">
        <x:v>478.875</x:v>
      </x:c>
      <x:c r="H704" s="50" t="n">
        <x:v>0.869183</x:v>
      </x:c>
      <x:c r="I704" s="50" t="n">
        <x:v>0.788261</x:v>
      </x:c>
      <x:c r="J704" s="50" t="n">
        <x:v>0.887137</x:v>
      </x:c>
      <x:c r="K704" s="50" t="n">
        <x:v>0.8044</x:v>
      </x:c>
      <x:c r="L704" s="47" t="n">
        <x:v>842.04</x:v>
      </x:c>
      <x:c r="M704" s="47" t="n">
        <x:v>595.32</x:v>
      </x:c>
      <x:c r="N704" s="28" t="str">
        <x:v>top-left</x:v>
      </x:c>
      <x:c r="O704" s="28" t="str">
        <x:v>PDF points</x:v>
      </x:c>
    </x:row>
    <x:row r="705" ht="22" customHeight="1">
      <x:c r="A705" s="28" t="str">
        <x:v>ANC-SLE-023-01-R20</x:v>
      </x:c>
      <x:c r="B705" s="28" t="str">
        <x:v>ANC-SLE-023-01</x:v>
      </x:c>
      <x:c r="C705" s="28" t="n">
        <x:v>15</x:v>
      </x:c>
      <x:c r="D705" s="47" t="n">
        <x:v>768.011</x:v>
      </x:c>
      <x:c r="E705" s="47" t="n">
        <x:v>469.267</x:v>
      </x:c>
      <x:c r="F705" s="47" t="n">
        <x:v>783.128</x:v>
      </x:c>
      <x:c r="G705" s="47" t="n">
        <x:v>478.875</x:v>
      </x:c>
      <x:c r="H705" s="50" t="n">
        <x:v>0.912083</x:v>
      </x:c>
      <x:c r="I705" s="50" t="n">
        <x:v>0.788261</x:v>
      </x:c>
      <x:c r="J705" s="50" t="n">
        <x:v>0.930037</x:v>
      </x:c>
      <x:c r="K705" s="50" t="n">
        <x:v>0.8044</x:v>
      </x:c>
      <x:c r="L705" s="47" t="n">
        <x:v>842.04</x:v>
      </x:c>
      <x:c r="M705" s="47" t="n">
        <x:v>595.32</x:v>
      </x:c>
      <x:c r="N705" s="28" t="str">
        <x:v>top-left</x:v>
      </x:c>
      <x:c r="O705" s="28" t="str">
        <x:v>PDF points</x:v>
      </x:c>
    </x:row>
    <x:row r="706" ht="22" customHeight="1">
      <x:c r="A706" s="28" t="str">
        <x:v>ANC-SLE-023-01-R21</x:v>
      </x:c>
      <x:c r="B706" s="28" t="str">
        <x:v>ANC-SLE-023-01</x:v>
      </x:c>
      <x:c r="C706" s="28" t="n">
        <x:v>15</x:v>
      </x:c>
      <x:c r="D706" s="47" t="n">
        <x:v>217.32</x:v>
      </x:c>
      <x:c r="E706" s="47" t="n">
        <x:v>480.547</x:v>
      </x:c>
      <x:c r="F706" s="47" t="n">
        <x:v>423.369</x:v>
      </x:c>
      <x:c r="G706" s="47" t="n">
        <x:v>490.155</x:v>
      </x:c>
      <x:c r="H706" s="50" t="n">
        <x:v>0.258088</x:v>
      </x:c>
      <x:c r="I706" s="50" t="n">
        <x:v>0.807208</x:v>
      </x:c>
      <x:c r="J706" s="50" t="n">
        <x:v>0.50279</x:v>
      </x:c>
      <x:c r="K706" s="50" t="n">
        <x:v>0.823347</x:v>
      </x:c>
      <x:c r="L706" s="47" t="n">
        <x:v>842.04</x:v>
      </x:c>
      <x:c r="M706" s="47" t="n">
        <x:v>595.32</x:v>
      </x:c>
      <x:c r="N706" s="28" t="str">
        <x:v>top-left</x:v>
      </x:c>
      <x:c r="O706" s="28" t="str">
        <x:v>PDF points</x:v>
      </x:c>
    </x:row>
    <x:row r="707" ht="22" customHeight="1">
      <x:c r="A707" s="28" t="str">
        <x:v>ANC-SLE-023-01-R22</x:v>
      </x:c>
      <x:c r="B707" s="28" t="str">
        <x:v>ANC-SLE-023-01</x:v>
      </x:c>
      <x:c r="C707" s="28" t="n">
        <x:v>15</x:v>
      </x:c>
      <x:c r="D707" s="47" t="n">
        <x:v>217.32</x:v>
      </x:c>
      <x:c r="E707" s="47" t="n">
        <x:v>489.307</x:v>
      </x:c>
      <x:c r="F707" s="47" t="n">
        <x:v>371.066</x:v>
      </x:c>
      <x:c r="G707" s="47" t="n">
        <x:v>498.915</x:v>
      </x:c>
      <x:c r="H707" s="50" t="n">
        <x:v>0.258088</x:v>
      </x:c>
      <x:c r="I707" s="50" t="n">
        <x:v>0.821923</x:v>
      </x:c>
      <x:c r="J707" s="50" t="n">
        <x:v>0.440675</x:v>
      </x:c>
      <x:c r="K707" s="50" t="n">
        <x:v>0.838062</x:v>
      </x:c>
      <x:c r="L707" s="47" t="n">
        <x:v>842.04</x:v>
      </x:c>
      <x:c r="M707" s="47" t="n">
        <x:v>595.32</x:v>
      </x:c>
      <x:c r="N707" s="28" t="str">
        <x:v>top-left</x:v>
      </x:c>
      <x:c r="O707" s="28" t="str">
        <x:v>PDF points</x:v>
      </x:c>
    </x:row>
    <x:row r="708" ht="22" customHeight="1">
      <x:c r="A708" s="28" t="str">
        <x:v>ANC-SLE-023-01-R23</x:v>
      </x:c>
      <x:c r="B708" s="28" t="str">
        <x:v>ANC-SLE-023-01</x:v>
      </x:c>
      <x:c r="C708" s="28" t="n">
        <x:v>15</x:v>
      </x:c>
      <x:c r="D708" s="47" t="n">
        <x:v>476.272</x:v>
      </x:c>
      <x:c r="E708" s="47" t="n">
        <x:v>487.265</x:v>
      </x:c>
      <x:c r="F708" s="47" t="n">
        <x:v>491.39</x:v>
      </x:c>
      <x:c r="G708" s="47" t="n">
        <x:v>496.873</x:v>
      </x:c>
      <x:c r="H708" s="50" t="n">
        <x:v>0.565617</x:v>
      </x:c>
      <x:c r="I708" s="50" t="n">
        <x:v>0.818493</x:v>
      </x:c>
      <x:c r="J708" s="50" t="n">
        <x:v>0.583571</x:v>
      </x:c>
      <x:c r="K708" s="50" t="n">
        <x:v>0.834632</x:v>
      </x:c>
      <x:c r="L708" s="47" t="n">
        <x:v>842.04</x:v>
      </x:c>
      <x:c r="M708" s="47" t="n">
        <x:v>595.32</x:v>
      </x:c>
      <x:c r="N708" s="28" t="str">
        <x:v>top-left</x:v>
      </x:c>
      <x:c r="O708" s="28" t="str">
        <x:v>PDF points</x:v>
      </x:c>
    </x:row>
    <x:row r="709" ht="22" customHeight="1">
      <x:c r="A709" s="28" t="str">
        <x:v>ANC-SLE-023-01-R24</x:v>
      </x:c>
      <x:c r="B709" s="28" t="str">
        <x:v>ANC-SLE-023-01</x:v>
      </x:c>
      <x:c r="C709" s="28" t="n">
        <x:v>15</x:v>
      </x:c>
      <x:c r="D709" s="47" t="n">
        <x:v>526.916</x:v>
      </x:c>
      <x:c r="E709" s="47" t="n">
        <x:v>487.265</x:v>
      </x:c>
      <x:c r="F709" s="47" t="n">
        <x:v>542.034</x:v>
      </x:c>
      <x:c r="G709" s="47" t="n">
        <x:v>496.873</x:v>
      </x:c>
      <x:c r="H709" s="50" t="n">
        <x:v>0.625762</x:v>
      </x:c>
      <x:c r="I709" s="50" t="n">
        <x:v>0.818493</x:v>
      </x:c>
      <x:c r="J709" s="50" t="n">
        <x:v>0.643715</x:v>
      </x:c>
      <x:c r="K709" s="50" t="n">
        <x:v>0.834632</x:v>
      </x:c>
      <x:c r="L709" s="47" t="n">
        <x:v>842.04</x:v>
      </x:c>
      <x:c r="M709" s="47" t="n">
        <x:v>595.32</x:v>
      </x:c>
      <x:c r="N709" s="28" t="str">
        <x:v>top-left</x:v>
      </x:c>
      <x:c r="O709" s="28" t="str">
        <x:v>PDF points</x:v>
      </x:c>
    </x:row>
    <x:row r="710" ht="22" customHeight="1">
      <x:c r="A710" s="28" t="str">
        <x:v>ANC-SLE-023-01-R25</x:v>
      </x:c>
      <x:c r="B710" s="28" t="str">
        <x:v>ANC-SLE-023-01</x:v>
      </x:c>
      <x:c r="C710" s="28" t="n">
        <x:v>15</x:v>
      </x:c>
      <x:c r="D710" s="47" t="n">
        <x:v>576.483</x:v>
      </x:c>
      <x:c r="E710" s="47" t="n">
        <x:v>487.265</x:v>
      </x:c>
      <x:c r="F710" s="47" t="n">
        <x:v>591.601</x:v>
      </x:c>
      <x:c r="G710" s="47" t="n">
        <x:v>496.873</x:v>
      </x:c>
      <x:c r="H710" s="50" t="n">
        <x:v>0.684627</x:v>
      </x:c>
      <x:c r="I710" s="50" t="n">
        <x:v>0.818493</x:v>
      </x:c>
      <x:c r="J710" s="50" t="n">
        <x:v>0.70258</x:v>
      </x:c>
      <x:c r="K710" s="50" t="n">
        <x:v>0.834632</x:v>
      </x:c>
      <x:c r="L710" s="47" t="n">
        <x:v>842.04</x:v>
      </x:c>
      <x:c r="M710" s="47" t="n">
        <x:v>595.32</x:v>
      </x:c>
      <x:c r="N710" s="28" t="str">
        <x:v>top-left</x:v>
      </x:c>
      <x:c r="O710" s="28" t="str">
        <x:v>PDF points</x:v>
      </x:c>
    </x:row>
    <x:row r="711" ht="22" customHeight="1">
      <x:c r="A711" s="28" t="str">
        <x:v>ANC-SLE-023-01-R26</x:v>
      </x:c>
      <x:c r="B711" s="28" t="str">
        <x:v>ANC-SLE-023-01</x:v>
      </x:c>
      <x:c r="C711" s="28" t="n">
        <x:v>15</x:v>
      </x:c>
      <x:c r="D711" s="47" t="n">
        <x:v>616.924</x:v>
      </x:c>
      <x:c r="E711" s="47" t="n">
        <x:v>487.265</x:v>
      </x:c>
      <x:c r="F711" s="47" t="n">
        <x:v>632.042</x:v>
      </x:c>
      <x:c r="G711" s="47" t="n">
        <x:v>496.873</x:v>
      </x:c>
      <x:c r="H711" s="50" t="n">
        <x:v>0.732654</x:v>
      </x:c>
      <x:c r="I711" s="50" t="n">
        <x:v>0.818493</x:v>
      </x:c>
      <x:c r="J711" s="50" t="n">
        <x:v>0.750608</x:v>
      </x:c>
      <x:c r="K711" s="50" t="n">
        <x:v>0.834632</x:v>
      </x:c>
      <x:c r="L711" s="47" t="n">
        <x:v>842.04</x:v>
      </x:c>
      <x:c r="M711" s="47" t="n">
        <x:v>595.32</x:v>
      </x:c>
      <x:c r="N711" s="28" t="str">
        <x:v>top-left</x:v>
      </x:c>
      <x:c r="O711" s="28" t="str">
        <x:v>PDF points</x:v>
      </x:c>
    </x:row>
    <x:row r="712" ht="22" customHeight="1">
      <x:c r="A712" s="28" t="str">
        <x:v>ANC-SLE-023-01-R27</x:v>
      </x:c>
      <x:c r="B712" s="28" t="str">
        <x:v>ANC-SLE-023-01</x:v>
      </x:c>
      <x:c r="C712" s="28" t="n">
        <x:v>15</x:v>
      </x:c>
      <x:c r="D712" s="47" t="n">
        <x:v>656.529</x:v>
      </x:c>
      <x:c r="E712" s="47" t="n">
        <x:v>487.265</x:v>
      </x:c>
      <x:c r="F712" s="47" t="n">
        <x:v>671.647</x:v>
      </x:c>
      <x:c r="G712" s="47" t="n">
        <x:v>496.873</x:v>
      </x:c>
      <x:c r="H712" s="50" t="n">
        <x:v>0.779689</x:v>
      </x:c>
      <x:c r="I712" s="50" t="n">
        <x:v>0.818493</x:v>
      </x:c>
      <x:c r="J712" s="50" t="n">
        <x:v>0.797642</x:v>
      </x:c>
      <x:c r="K712" s="50" t="n">
        <x:v>0.834632</x:v>
      </x:c>
      <x:c r="L712" s="47" t="n">
        <x:v>842.04</x:v>
      </x:c>
      <x:c r="M712" s="47" t="n">
        <x:v>595.32</x:v>
      </x:c>
      <x:c r="N712" s="28" t="str">
        <x:v>top-left</x:v>
      </x:c>
      <x:c r="O712" s="28" t="str">
        <x:v>PDF points</x:v>
      </x:c>
    </x:row>
    <x:row r="713" ht="22" customHeight="1">
      <x:c r="A713" s="28" t="str">
        <x:v>ANC-SLE-023-01-R28</x:v>
      </x:c>
      <x:c r="B713" s="28" t="str">
        <x:v>ANC-SLE-023-01</x:v>
      </x:c>
      <x:c r="C713" s="28" t="n">
        <x:v>15</x:v>
      </x:c>
      <x:c r="D713" s="47" t="n">
        <x:v>696</x:v>
      </x:c>
      <x:c r="E713" s="47" t="n">
        <x:v>487.267</x:v>
      </x:c>
      <x:c r="F713" s="47" t="n">
        <x:v>711.118</x:v>
      </x:c>
      <x:c r="G713" s="47" t="n">
        <x:v>496.875</x:v>
      </x:c>
      <x:c r="H713" s="50" t="n">
        <x:v>0.826564</x:v>
      </x:c>
      <x:c r="I713" s="50" t="n">
        <x:v>0.818496</x:v>
      </x:c>
      <x:c r="J713" s="50" t="n">
        <x:v>0.844518</x:v>
      </x:c>
      <x:c r="K713" s="50" t="n">
        <x:v>0.834635</x:v>
      </x:c>
      <x:c r="L713" s="47" t="n">
        <x:v>842.04</x:v>
      </x:c>
      <x:c r="M713" s="47" t="n">
        <x:v>595.32</x:v>
      </x:c>
      <x:c r="N713" s="28" t="str">
        <x:v>top-left</x:v>
      </x:c>
      <x:c r="O713" s="28" t="str">
        <x:v>PDF points</x:v>
      </x:c>
    </x:row>
    <x:row r="714" ht="22" customHeight="1">
      <x:c r="A714" s="28" t="str">
        <x:v>ANC-SLE-023-01-R29</x:v>
      </x:c>
      <x:c r="B714" s="28" t="str">
        <x:v>ANC-SLE-023-01</x:v>
      </x:c>
      <x:c r="C714" s="28" t="n">
        <x:v>15</x:v>
      </x:c>
      <x:c r="D714" s="47" t="n">
        <x:v>731.883</x:v>
      </x:c>
      <x:c r="E714" s="47" t="n">
        <x:v>487.267</x:v>
      </x:c>
      <x:c r="F714" s="47" t="n">
        <x:v>747</x:v>
      </x:c>
      <x:c r="G714" s="47" t="n">
        <x:v>496.875</x:v>
      </x:c>
      <x:c r="H714" s="50" t="n">
        <x:v>0.869178</x:v>
      </x:c>
      <x:c r="I714" s="50" t="n">
        <x:v>0.818496</x:v>
      </x:c>
      <x:c r="J714" s="50" t="n">
        <x:v>0.887131</x:v>
      </x:c>
      <x:c r="K714" s="50" t="n">
        <x:v>0.834635</x:v>
      </x:c>
      <x:c r="L714" s="47" t="n">
        <x:v>842.04</x:v>
      </x:c>
      <x:c r="M714" s="47" t="n">
        <x:v>595.32</x:v>
      </x:c>
      <x:c r="N714" s="28" t="str">
        <x:v>top-left</x:v>
      </x:c>
      <x:c r="O714" s="28" t="str">
        <x:v>PDF points</x:v>
      </x:c>
    </x:row>
    <x:row r="715" ht="22" customHeight="1">
      <x:c r="A715" s="28" t="str">
        <x:v>ANC-SLE-023-01-R30</x:v>
      </x:c>
      <x:c r="B715" s="28" t="str">
        <x:v>ANC-SLE-023-01</x:v>
      </x:c>
      <x:c r="C715" s="28" t="n">
        <x:v>15</x:v>
      </x:c>
      <x:c r="D715" s="47" t="n">
        <x:v>768.006</x:v>
      </x:c>
      <x:c r="E715" s="47" t="n">
        <x:v>487.267</x:v>
      </x:c>
      <x:c r="F715" s="47" t="n">
        <x:v>783.124</x:v>
      </x:c>
      <x:c r="G715" s="47" t="n">
        <x:v>496.875</x:v>
      </x:c>
      <x:c r="H715" s="50" t="n">
        <x:v>0.912078</x:v>
      </x:c>
      <x:c r="I715" s="50" t="n">
        <x:v>0.818496</x:v>
      </x:c>
      <x:c r="J715" s="50" t="n">
        <x:v>0.930032</x:v>
      </x:c>
      <x:c r="K715" s="50" t="n">
        <x:v>0.834635</x:v>
      </x:c>
      <x:c r="L715" s="47" t="n">
        <x:v>842.04</x:v>
      </x:c>
      <x:c r="M715" s="47" t="n">
        <x:v>595.32</x:v>
      </x:c>
      <x:c r="N715" s="28" t="str">
        <x:v>top-left</x:v>
      </x:c>
      <x:c r="O715" s="28" t="str">
        <x:v>PDF points</x:v>
      </x:c>
    </x:row>
    <x:row r="716" ht="22" customHeight="1">
      <x:c r="A716" s="28" t="str">
        <x:v>ANC-SLE-023-01-R31</x:v>
      </x:c>
      <x:c r="B716" s="28" t="str">
        <x:v>ANC-SLE-023-01</x:v>
      </x:c>
      <x:c r="C716" s="28" t="n">
        <x:v>15</x:v>
      </x:c>
      <x:c r="D716" s="47" t="n">
        <x:v>217.32</x:v>
      </x:c>
      <x:c r="E716" s="47" t="n">
        <x:v>503.347</x:v>
      </x:c>
      <x:c r="F716" s="47" t="n">
        <x:v>424.52</x:v>
      </x:c>
      <x:c r="G716" s="47" t="n">
        <x:v>512.955</x:v>
      </x:c>
      <x:c r="H716" s="50" t="n">
        <x:v>0.258088</x:v>
      </x:c>
      <x:c r="I716" s="50" t="n">
        <x:v>0.845507</x:v>
      </x:c>
      <x:c r="J716" s="50" t="n">
        <x:v>0.504157</x:v>
      </x:c>
      <x:c r="K716" s="50" t="n">
        <x:v>0.861646</x:v>
      </x:c>
      <x:c r="L716" s="47" t="n">
        <x:v>842.04</x:v>
      </x:c>
      <x:c r="M716" s="47" t="n">
        <x:v>595.32</x:v>
      </x:c>
      <x:c r="N716" s="28" t="str">
        <x:v>top-left</x:v>
      </x:c>
      <x:c r="O716" s="28" t="str">
        <x:v>PDF points</x:v>
      </x:c>
    </x:row>
    <x:row r="717" ht="22" customHeight="1">
      <x:c r="A717" s="28" t="str">
        <x:v>ANC-SLE-024-01-R01</x:v>
      </x:c>
      <x:c r="B717" s="28" t="str">
        <x:v>ANC-SLE-024-01</x:v>
      </x:c>
      <x:c r="C717" s="28" t="n">
        <x:v>16</x:v>
      </x:c>
      <x:c r="D717" s="47" t="n">
        <x:v>51.12</x:v>
      </x:c>
      <x:c r="E717" s="47" t="n">
        <x:v>76.707</x:v>
      </x:c>
      <x:c r="F717" s="47" t="n">
        <x:v>105.195</x:v>
      </x:c>
      <x:c r="G717" s="47" t="n">
        <x:v>87.057</x:v>
      </x:c>
      <x:c r="H717" s="50" t="n">
        <x:v>0.06071</x:v>
      </x:c>
      <x:c r="I717" s="50" t="n">
        <x:v>0.12885</x:v>
      </x:c>
      <x:c r="J717" s="50" t="n">
        <x:v>0.124928</x:v>
      </x:c>
      <x:c r="K717" s="50" t="n">
        <x:v>0.146236</x:v>
      </x:c>
      <x:c r="L717" s="47" t="n">
        <x:v>842.04</x:v>
      </x:c>
      <x:c r="M717" s="47" t="n">
        <x:v>595.32</x:v>
      </x:c>
      <x:c r="N717" s="28" t="str">
        <x:v>top-left</x:v>
      </x:c>
      <x:c r="O717" s="28" t="str">
        <x:v>PDF points</x:v>
      </x:c>
    </x:row>
    <x:row r="718" ht="22" customHeight="1">
      <x:c r="A718" s="28" t="str">
        <x:v>ANC-SLE-024-01-R02</x:v>
      </x:c>
      <x:c r="B718" s="28" t="str">
        <x:v>ANC-SLE-024-01</x:v>
      </x:c>
      <x:c r="C718" s="28" t="n">
        <x:v>16</x:v>
      </x:c>
      <x:c r="D718" s="47" t="n">
        <x:v>122.88</x:v>
      </x:c>
      <x:c r="E718" s="47" t="n">
        <x:v>76.707</x:v>
      </x:c>
      <x:c r="F718" s="47" t="n">
        <x:v>190.181</x:v>
      </x:c>
      <x:c r="G718" s="47" t="n">
        <x:v>87.057</x:v>
      </x:c>
      <x:c r="H718" s="50" t="n">
        <x:v>0.145931</x:v>
      </x:c>
      <x:c r="I718" s="50" t="n">
        <x:v>0.12885</x:v>
      </x:c>
      <x:c r="J718" s="50" t="n">
        <x:v>0.225858</x:v>
      </x:c>
      <x:c r="K718" s="50" t="n">
        <x:v>0.146236</x:v>
      </x:c>
      <x:c r="L718" s="47" t="n">
        <x:v>842.04</x:v>
      </x:c>
      <x:c r="M718" s="47" t="n">
        <x:v>595.32</x:v>
      </x:c>
      <x:c r="N718" s="28" t="str">
        <x:v>top-left</x:v>
      </x:c>
      <x:c r="O718" s="28" t="str">
        <x:v>PDF points</x:v>
      </x:c>
    </x:row>
    <x:row r="719" ht="22" customHeight="1">
      <x:c r="A719" s="28" t="str">
        <x:v>ANC-SLE-024-01-R03</x:v>
      </x:c>
      <x:c r="B719" s="28" t="str">
        <x:v>ANC-SLE-024-01</x:v>
      </x:c>
      <x:c r="C719" s="28" t="n">
        <x:v>16</x:v>
      </x:c>
      <x:c r="D719" s="47" t="n">
        <x:v>217.32</x:v>
      </x:c>
      <x:c r="E719" s="47" t="n">
        <x:v>76.707</x:v>
      </x:c>
      <x:c r="F719" s="47" t="n">
        <x:v>290.663</x:v>
      </x:c>
      <x:c r="G719" s="47" t="n">
        <x:v>87.057</x:v>
      </x:c>
      <x:c r="H719" s="50" t="n">
        <x:v>0.258088</x:v>
      </x:c>
      <x:c r="I719" s="50" t="n">
        <x:v>0.12885</x:v>
      </x:c>
      <x:c r="J719" s="50" t="n">
        <x:v>0.345189</x:v>
      </x:c>
      <x:c r="K719" s="50" t="n">
        <x:v>0.146236</x:v>
      </x:c>
      <x:c r="L719" s="47" t="n">
        <x:v>842.04</x:v>
      </x:c>
      <x:c r="M719" s="47" t="n">
        <x:v>595.32</x:v>
      </x:c>
      <x:c r="N719" s="28" t="str">
        <x:v>top-left</x:v>
      </x:c>
      <x:c r="O719" s="28" t="str">
        <x:v>PDF points</x:v>
      </x:c>
    </x:row>
    <x:row r="720" ht="22" customHeight="1">
      <x:c r="A720" s="28" t="str">
        <x:v>ANC-SLE-024-01-R04</x:v>
      </x:c>
      <x:c r="B720" s="28" t="str">
        <x:v>ANC-SLE-024-01</x:v>
      </x:c>
      <x:c r="C720" s="28" t="n">
        <x:v>16</x:v>
      </x:c>
      <x:c r="D720" s="47" t="n">
        <x:v>464.88</x:v>
      </x:c>
      <x:c r="E720" s="47" t="n">
        <x:v>76.707</x:v>
      </x:c>
      <x:c r="F720" s="47" t="n">
        <x:v>502.028</x:v>
      </x:c>
      <x:c r="G720" s="47" t="n">
        <x:v>87.057</x:v>
      </x:c>
      <x:c r="H720" s="50" t="n">
        <x:v>0.552088</x:v>
      </x:c>
      <x:c r="I720" s="50" t="n">
        <x:v>0.12885</x:v>
      </x:c>
      <x:c r="J720" s="50" t="n">
        <x:v>0.596205</x:v>
      </x:c>
      <x:c r="K720" s="50" t="n">
        <x:v>0.146236</x:v>
      </x:c>
      <x:c r="L720" s="47" t="n">
        <x:v>842.04</x:v>
      </x:c>
      <x:c r="M720" s="47" t="n">
        <x:v>595.32</x:v>
      </x:c>
      <x:c r="N720" s="28" t="str">
        <x:v>top-left</x:v>
      </x:c>
      <x:c r="O720" s="28" t="str">
        <x:v>PDF points</x:v>
      </x:c>
    </x:row>
    <x:row r="721" ht="22" customHeight="1">
      <x:c r="A721" s="28" t="str">
        <x:v>ANC-SLE-024-01-R05</x:v>
      </x:c>
      <x:c r="B721" s="28" t="str">
        <x:v>ANC-SLE-024-01</x:v>
      </x:c>
      <x:c r="C721" s="28" t="n">
        <x:v>16</x:v>
      </x:c>
      <x:c r="D721" s="47" t="n">
        <x:v>464.88</x:v>
      </x:c>
      <x:c r="E721" s="47" t="n">
        <x:v>86.547</x:v>
      </x:c>
      <x:c r="F721" s="47" t="n">
        <x:v>492.414</x:v>
      </x:c>
      <x:c r="G721" s="47" t="n">
        <x:v>96.897</x:v>
      </x:c>
      <x:c r="H721" s="50" t="n">
        <x:v>0.552088</x:v>
      </x:c>
      <x:c r="I721" s="50" t="n">
        <x:v>0.145379</x:v>
      </x:c>
      <x:c r="J721" s="50" t="n">
        <x:v>0.584787</x:v>
      </x:c>
      <x:c r="K721" s="50" t="n">
        <x:v>0.162765</x:v>
      </x:c>
      <x:c r="L721" s="47" t="n">
        <x:v>842.04</x:v>
      </x:c>
      <x:c r="M721" s="47" t="n">
        <x:v>595.32</x:v>
      </x:c>
      <x:c r="N721" s="28" t="str">
        <x:v>top-left</x:v>
      </x:c>
      <x:c r="O721" s="28" t="str">
        <x:v>PDF points</x:v>
      </x:c>
    </x:row>
    <x:row r="722" ht="22" customHeight="1">
      <x:c r="A722" s="28" t="str">
        <x:v>ANC-SLE-024-01-R06</x:v>
      </x:c>
      <x:c r="B722" s="28" t="str">
        <x:v>ANC-SLE-024-01</x:v>
      </x:c>
      <x:c r="C722" s="28" t="n">
        <x:v>16</x:v>
      </x:c>
      <x:c r="D722" s="47" t="n">
        <x:v>513.36</x:v>
      </x:c>
      <x:c r="E722" s="47" t="n">
        <x:v>76.707</x:v>
      </x:c>
      <x:c r="F722" s="47" t="n">
        <x:v>548.46</x:v>
      </x:c>
      <x:c r="G722" s="47" t="n">
        <x:v>87.057</x:v>
      </x:c>
      <x:c r="H722" s="50" t="n">
        <x:v>0.609662</x:v>
      </x:c>
      <x:c r="I722" s="50" t="n">
        <x:v>0.12885</x:v>
      </x:c>
      <x:c r="J722" s="50" t="n">
        <x:v>0.651347</x:v>
      </x:c>
      <x:c r="K722" s="50" t="n">
        <x:v>0.146236</x:v>
      </x:c>
      <x:c r="L722" s="47" t="n">
        <x:v>842.04</x:v>
      </x:c>
      <x:c r="M722" s="47" t="n">
        <x:v>595.32</x:v>
      </x:c>
      <x:c r="N722" s="28" t="str">
        <x:v>top-left</x:v>
      </x:c>
      <x:c r="O722" s="28" t="str">
        <x:v>PDF points</x:v>
      </x:c>
    </x:row>
    <x:row r="723" ht="22" customHeight="1">
      <x:c r="A723" s="28" t="str">
        <x:v>ANC-SLE-024-01-R07</x:v>
      </x:c>
      <x:c r="B723" s="28" t="str">
        <x:v>ANC-SLE-024-01</x:v>
      </x:c>
      <x:c r="C723" s="28" t="n">
        <x:v>16</x:v>
      </x:c>
      <x:c r="D723" s="47" t="n">
        <x:v>515.763</x:v>
      </x:c>
      <x:c r="E723" s="47" t="n">
        <x:v>86.547</x:v>
      </x:c>
      <x:c r="F723" s="47" t="n">
        <x:v>543.297</x:v>
      </x:c>
      <x:c r="G723" s="47" t="n">
        <x:v>96.897</x:v>
      </x:c>
      <x:c r="H723" s="50" t="n">
        <x:v>0.612516</x:v>
      </x:c>
      <x:c r="I723" s="50" t="n">
        <x:v>0.145379</x:v>
      </x:c>
      <x:c r="J723" s="50" t="n">
        <x:v>0.645215</x:v>
      </x:c>
      <x:c r="K723" s="50" t="n">
        <x:v>0.162765</x:v>
      </x:c>
      <x:c r="L723" s="47" t="n">
        <x:v>842.04</x:v>
      </x:c>
      <x:c r="M723" s="47" t="n">
        <x:v>595.32</x:v>
      </x:c>
      <x:c r="N723" s="28" t="str">
        <x:v>top-left</x:v>
      </x:c>
      <x:c r="O723" s="28" t="str">
        <x:v>PDF points</x:v>
      </x:c>
    </x:row>
    <x:row r="724" ht="22" customHeight="1">
      <x:c r="A724" s="28" t="str">
        <x:v>ANC-SLE-024-01-R08</x:v>
      </x:c>
      <x:c r="B724" s="28" t="str">
        <x:v>ANC-SLE-024-01</x:v>
      </x:c>
      <x:c r="C724" s="28" t="n">
        <x:v>16</x:v>
      </x:c>
      <x:c r="D724" s="47" t="n">
        <x:v>566.4</x:v>
      </x:c>
      <x:c r="E724" s="47" t="n">
        <x:v>76.707</x:v>
      </x:c>
      <x:c r="F724" s="47" t="n">
        <x:v>592.982</x:v>
      </x:c>
      <x:c r="G724" s="47" t="n">
        <x:v>87.057</x:v>
      </x:c>
      <x:c r="H724" s="50" t="n">
        <x:v>0.672652</x:v>
      </x:c>
      <x:c r="I724" s="50" t="n">
        <x:v>0.12885</x:v>
      </x:c>
      <x:c r="J724" s="50" t="n">
        <x:v>0.704221</x:v>
      </x:c>
      <x:c r="K724" s="50" t="n">
        <x:v>0.146236</x:v>
      </x:c>
      <x:c r="L724" s="47" t="n">
        <x:v>842.04</x:v>
      </x:c>
      <x:c r="M724" s="47" t="n">
        <x:v>595.32</x:v>
      </x:c>
      <x:c r="N724" s="28" t="str">
        <x:v>top-left</x:v>
      </x:c>
      <x:c r="O724" s="28" t="str">
        <x:v>PDF points</x:v>
      </x:c>
    </x:row>
    <x:row r="725" ht="22" customHeight="1">
      <x:c r="A725" s="28" t="str">
        <x:v>ANC-SLE-024-01-R09</x:v>
      </x:c>
      <x:c r="B725" s="28" t="str">
        <x:v>ANC-SLE-024-01</x:v>
      </x:c>
      <x:c r="C725" s="28" t="n">
        <x:v>16</x:v>
      </x:c>
      <x:c r="D725" s="47" t="n">
        <x:v>568.803</x:v>
      </x:c>
      <x:c r="E725" s="47" t="n">
        <x:v>86.547</x:v>
      </x:c>
      <x:c r="F725" s="47" t="n">
        <x:v>596.337</x:v>
      </x:c>
      <x:c r="G725" s="47" t="n">
        <x:v>96.897</x:v>
      </x:c>
      <x:c r="H725" s="50" t="n">
        <x:v>0.675506</x:v>
      </x:c>
      <x:c r="I725" s="50" t="n">
        <x:v>0.145379</x:v>
      </x:c>
      <x:c r="J725" s="50" t="n">
        <x:v>0.708205</x:v>
      </x:c>
      <x:c r="K725" s="50" t="n">
        <x:v>0.162765</x:v>
      </x:c>
      <x:c r="L725" s="47" t="n">
        <x:v>842.04</x:v>
      </x:c>
      <x:c r="M725" s="47" t="n">
        <x:v>595.32</x:v>
      </x:c>
      <x:c r="N725" s="28" t="str">
        <x:v>top-left</x:v>
      </x:c>
      <x:c r="O725" s="28" t="str">
        <x:v>PDF points</x:v>
      </x:c>
    </x:row>
    <x:row r="726" ht="22" customHeight="1">
      <x:c r="A726" s="28" t="str">
        <x:v>ANC-SLE-024-01-R10</x:v>
      </x:c>
      <x:c r="B726" s="28" t="str">
        <x:v>ANC-SLE-024-01</x:v>
      </x:c>
      <x:c r="C726" s="28" t="n">
        <x:v>16</x:v>
      </x:c>
      <x:c r="D726" s="47" t="n">
        <x:v>691.32</x:v>
      </x:c>
      <x:c r="E726" s="47" t="n">
        <x:v>76.707</x:v>
      </x:c>
      <x:c r="F726" s="47" t="n">
        <x:v>708.538</x:v>
      </x:c>
      <x:c r="G726" s="47" t="n">
        <x:v>87.057</x:v>
      </x:c>
      <x:c r="H726" s="50" t="n">
        <x:v>0.821006</x:v>
      </x:c>
      <x:c r="I726" s="50" t="n">
        <x:v>0.12885</x:v>
      </x:c>
      <x:c r="J726" s="50" t="n">
        <x:v>0.841454</x:v>
      </x:c>
      <x:c r="K726" s="50" t="n">
        <x:v>0.146236</x:v>
      </x:c>
      <x:c r="L726" s="47" t="n">
        <x:v>842.04</x:v>
      </x:c>
      <x:c r="M726" s="47" t="n">
        <x:v>595.32</x:v>
      </x:c>
      <x:c r="N726" s="28" t="str">
        <x:v>top-left</x:v>
      </x:c>
      <x:c r="O726" s="28" t="str">
        <x:v>PDF points</x:v>
      </x:c>
    </x:row>
    <x:row r="727" ht="22" customHeight="1">
      <x:c r="A727" s="28" t="str">
        <x:v>ANC-SLE-024-01-R11</x:v>
      </x:c>
      <x:c r="B727" s="28" t="str">
        <x:v>ANC-SLE-024-01</x:v>
      </x:c>
      <x:c r="C727" s="28" t="n">
        <x:v>16</x:v>
      </x:c>
      <x:c r="D727" s="47" t="n">
        <x:v>614.88</x:v>
      </x:c>
      <x:c r="E727" s="47" t="n">
        <x:v>87.027</x:v>
      </x:c>
      <x:c r="F727" s="47" t="n">
        <x:v>634.059</x:v>
      </x:c>
      <x:c r="G727" s="47" t="n">
        <x:v>97.377</x:v>
      </x:c>
      <x:c r="H727" s="50" t="n">
        <x:v>0.730227</x:v>
      </x:c>
      <x:c r="I727" s="50" t="n">
        <x:v>0.146185</x:v>
      </x:c>
      <x:c r="J727" s="50" t="n">
        <x:v>0.753004</x:v>
      </x:c>
      <x:c r="K727" s="50" t="n">
        <x:v>0.163571</x:v>
      </x:c>
      <x:c r="L727" s="47" t="n">
        <x:v>842.04</x:v>
      </x:c>
      <x:c r="M727" s="47" t="n">
        <x:v>595.32</x:v>
      </x:c>
      <x:c r="N727" s="28" t="str">
        <x:v>top-left</x:v>
      </x:c>
      <x:c r="O727" s="28" t="str">
        <x:v>PDF points</x:v>
      </x:c>
    </x:row>
    <x:row r="728" ht="22" customHeight="1">
      <x:c r="A728" s="28" t="str">
        <x:v>ANC-SLE-024-01-R12</x:v>
      </x:c>
      <x:c r="B728" s="28" t="str">
        <x:v>ANC-SLE-024-01</x:v>
      </x:c>
      <x:c r="C728" s="28" t="n">
        <x:v>16</x:v>
      </x:c>
      <x:c r="D728" s="47" t="n">
        <x:v>654.48</x:v>
      </x:c>
      <x:c r="E728" s="47" t="n">
        <x:v>87.027</x:v>
      </x:c>
      <x:c r="F728" s="47" t="n">
        <x:v>673.659</x:v>
      </x:c>
      <x:c r="G728" s="47" t="n">
        <x:v>97.377</x:v>
      </x:c>
      <x:c r="H728" s="50" t="n">
        <x:v>0.777255</x:v>
      </x:c>
      <x:c r="I728" s="50" t="n">
        <x:v>0.146185</x:v>
      </x:c>
      <x:c r="J728" s="50" t="n">
        <x:v>0.800032</x:v>
      </x:c>
      <x:c r="K728" s="50" t="n">
        <x:v>0.163571</x:v>
      </x:c>
      <x:c r="L728" s="47" t="n">
        <x:v>842.04</x:v>
      </x:c>
      <x:c r="M728" s="47" t="n">
        <x:v>595.32</x:v>
      </x:c>
      <x:c r="N728" s="28" t="str">
        <x:v>top-left</x:v>
      </x:c>
      <x:c r="O728" s="28" t="str">
        <x:v>PDF points</x:v>
      </x:c>
    </x:row>
    <x:row r="729" ht="22" customHeight="1">
      <x:c r="A729" s="28" t="str">
        <x:v>ANC-SLE-024-01-R13</x:v>
      </x:c>
      <x:c r="B729" s="28" t="str">
        <x:v>ANC-SLE-024-01</x:v>
      </x:c>
      <x:c r="C729" s="28" t="n">
        <x:v>16</x:v>
      </x:c>
      <x:c r="D729" s="47" t="n">
        <x:v>693.96</x:v>
      </x:c>
      <x:c r="E729" s="47" t="n">
        <x:v>87.027</x:v>
      </x:c>
      <x:c r="F729" s="47" t="n">
        <x:v>713.139</x:v>
      </x:c>
      <x:c r="G729" s="47" t="n">
        <x:v>97.377</x:v>
      </x:c>
      <x:c r="H729" s="50" t="n">
        <x:v>0.824141</x:v>
      </x:c>
      <x:c r="I729" s="50" t="n">
        <x:v>0.146185</x:v>
      </x:c>
      <x:c r="J729" s="50" t="n">
        <x:v>0.846918</x:v>
      </x:c>
      <x:c r="K729" s="50" t="n">
        <x:v>0.163571</x:v>
      </x:c>
      <x:c r="L729" s="47" t="n">
        <x:v>842.04</x:v>
      </x:c>
      <x:c r="M729" s="47" t="n">
        <x:v>595.32</x:v>
      </x:c>
      <x:c r="N729" s="28" t="str">
        <x:v>top-left</x:v>
      </x:c>
      <x:c r="O729" s="28" t="str">
        <x:v>PDF points</x:v>
      </x:c>
    </x:row>
    <x:row r="730" ht="22" customHeight="1">
      <x:c r="A730" s="28" t="str">
        <x:v>ANC-SLE-024-01-R14</x:v>
      </x:c>
      <x:c r="B730" s="28" t="str">
        <x:v>ANC-SLE-024-01</x:v>
      </x:c>
      <x:c r="C730" s="28" t="n">
        <x:v>16</x:v>
      </x:c>
      <x:c r="D730" s="47" t="n">
        <x:v>729.84</x:v>
      </x:c>
      <x:c r="E730" s="47" t="n">
        <x:v>87.027</x:v>
      </x:c>
      <x:c r="F730" s="47" t="n">
        <x:v>749.019</x:v>
      </x:c>
      <x:c r="G730" s="47" t="n">
        <x:v>97.377</x:v>
      </x:c>
      <x:c r="H730" s="50" t="n">
        <x:v>0.866752</x:v>
      </x:c>
      <x:c r="I730" s="50" t="n">
        <x:v>0.146185</x:v>
      </x:c>
      <x:c r="J730" s="50" t="n">
        <x:v>0.889529</x:v>
      </x:c>
      <x:c r="K730" s="50" t="n">
        <x:v>0.163571</x:v>
      </x:c>
      <x:c r="L730" s="47" t="n">
        <x:v>842.04</x:v>
      </x:c>
      <x:c r="M730" s="47" t="n">
        <x:v>595.32</x:v>
      </x:c>
      <x:c r="N730" s="28" t="str">
        <x:v>top-left</x:v>
      </x:c>
      <x:c r="O730" s="28" t="str">
        <x:v>PDF points</x:v>
      </x:c>
    </x:row>
    <x:row r="731" ht="22" customHeight="1">
      <x:c r="A731" s="28" t="str">
        <x:v>ANC-SLE-024-01-R15</x:v>
      </x:c>
      <x:c r="B731" s="28" t="str">
        <x:v>ANC-SLE-024-01</x:v>
      </x:c>
      <x:c r="C731" s="28" t="n">
        <x:v>16</x:v>
      </x:c>
      <x:c r="D731" s="47" t="n">
        <x:v>765.96</x:v>
      </x:c>
      <x:c r="E731" s="47" t="n">
        <x:v>87.027</x:v>
      </x:c>
      <x:c r="F731" s="47" t="n">
        <x:v>785.139</x:v>
      </x:c>
      <x:c r="G731" s="47" t="n">
        <x:v>97.377</x:v>
      </x:c>
      <x:c r="H731" s="50" t="n">
        <x:v>0.909648</x:v>
      </x:c>
      <x:c r="I731" s="50" t="n">
        <x:v>0.146185</x:v>
      </x:c>
      <x:c r="J731" s="50" t="n">
        <x:v>0.932425</x:v>
      </x:c>
      <x:c r="K731" s="50" t="n">
        <x:v>0.163571</x:v>
      </x:c>
      <x:c r="L731" s="47" t="n">
        <x:v>842.04</x:v>
      </x:c>
      <x:c r="M731" s="47" t="n">
        <x:v>595.32</x:v>
      </x:c>
      <x:c r="N731" s="28" t="str">
        <x:v>top-left</x:v>
      </x:c>
      <x:c r="O731" s="28" t="str">
        <x:v>PDF points</x:v>
      </x:c>
    </x:row>
    <x:row r="732" ht="22" customHeight="1">
      <x:c r="A732" s="28" t="str">
        <x:v>ANC-SLE-024-01-R16</x:v>
      </x:c>
      <x:c r="B732" s="28" t="str">
        <x:v>ANC-SLE-024-01</x:v>
      </x:c>
      <x:c r="C732" s="28" t="n">
        <x:v>16</x:v>
      </x:c>
      <x:c r="D732" s="47" t="n">
        <x:v>122.88</x:v>
      </x:c>
      <x:c r="E732" s="47" t="n">
        <x:v>97.267</x:v>
      </x:c>
      <x:c r="F732" s="47" t="n">
        <x:v>182.158</x:v>
      </x:c>
      <x:c r="G732" s="47" t="n">
        <x:v>106.875</x:v>
      </x:c>
      <x:c r="H732" s="50" t="n">
        <x:v>0.145931</x:v>
      </x:c>
      <x:c r="I732" s="50" t="n">
        <x:v>0.163387</x:v>
      </x:c>
      <x:c r="J732" s="50" t="n">
        <x:v>0.21633</x:v>
      </x:c>
      <x:c r="K732" s="50" t="n">
        <x:v>0.179526</x:v>
      </x:c>
      <x:c r="L732" s="47" t="n">
        <x:v>842.04</x:v>
      </x:c>
      <x:c r="M732" s="47" t="n">
        <x:v>595.32</x:v>
      </x:c>
      <x:c r="N732" s="28" t="str">
        <x:v>top-left</x:v>
      </x:c>
      <x:c r="O732" s="28" t="str">
        <x:v>PDF points</x:v>
      </x:c>
    </x:row>
    <x:row r="733" ht="22" customHeight="1">
      <x:c r="A733" s="28" t="str">
        <x:v>ANC-SLE-024-01-R17</x:v>
      </x:c>
      <x:c r="B733" s="28" t="str">
        <x:v>ANC-SLE-024-01</x:v>
      </x:c>
      <x:c r="C733" s="28" t="n">
        <x:v>16</x:v>
      </x:c>
      <x:c r="D733" s="47" t="n">
        <x:v>122.88</x:v>
      </x:c>
      <x:c r="E733" s="47" t="n">
        <x:v>105.907</x:v>
      </x:c>
      <x:c r="F733" s="47" t="n">
        <x:v>187.333</x:v>
      </x:c>
      <x:c r="G733" s="47" t="n">
        <x:v>115.515</x:v>
      </x:c>
      <x:c r="H733" s="50" t="n">
        <x:v>0.145931</x:v>
      </x:c>
      <x:c r="I733" s="50" t="n">
        <x:v>0.1779</x:v>
      </x:c>
      <x:c r="J733" s="50" t="n">
        <x:v>0.222476</x:v>
      </x:c>
      <x:c r="K733" s="50" t="n">
        <x:v>0.194039</x:v>
      </x:c>
      <x:c r="L733" s="47" t="n">
        <x:v>842.04</x:v>
      </x:c>
      <x:c r="M733" s="47" t="n">
        <x:v>595.32</x:v>
      </x:c>
      <x:c r="N733" s="28" t="str">
        <x:v>top-left</x:v>
      </x:c>
      <x:c r="O733" s="28" t="str">
        <x:v>PDF points</x:v>
      </x:c>
    </x:row>
    <x:row r="734" ht="22" customHeight="1">
      <x:c r="A734" s="28" t="str">
        <x:v>ANC-SLE-024-01-R18</x:v>
      </x:c>
      <x:c r="B734" s="28" t="str">
        <x:v>ANC-SLE-024-01</x:v>
      </x:c>
      <x:c r="C734" s="28" t="n">
        <x:v>16</x:v>
      </x:c>
      <x:c r="D734" s="47" t="n">
        <x:v>122.88</x:v>
      </x:c>
      <x:c r="E734" s="47" t="n">
        <x:v>114.671</x:v>
      </x:c>
      <x:c r="F734" s="47" t="n">
        <x:v>205.443</x:v>
      </x:c>
      <x:c r="G734" s="47" t="n">
        <x:v>124.279</x:v>
      </x:c>
      <x:c r="H734" s="50" t="n">
        <x:v>0.145931</x:v>
      </x:c>
      <x:c r="I734" s="50" t="n">
        <x:v>0.192621</x:v>
      </x:c>
      <x:c r="J734" s="50" t="n">
        <x:v>0.243982</x:v>
      </x:c>
      <x:c r="K734" s="50" t="n">
        <x:v>0.20876</x:v>
      </x:c>
      <x:c r="L734" s="47" t="n">
        <x:v>842.04</x:v>
      </x:c>
      <x:c r="M734" s="47" t="n">
        <x:v>595.32</x:v>
      </x:c>
      <x:c r="N734" s="28" t="str">
        <x:v>top-left</x:v>
      </x:c>
      <x:c r="O734" s="28" t="str">
        <x:v>PDF points</x:v>
      </x:c>
    </x:row>
    <x:row r="735" ht="22" customHeight="1">
      <x:c r="A735" s="28" t="str">
        <x:v>ANC-SLE-024-01-R19</x:v>
      </x:c>
      <x:c r="B735" s="28" t="str">
        <x:v>ANC-SLE-024-01</x:v>
      </x:c>
      <x:c r="C735" s="28" t="n">
        <x:v>16</x:v>
      </x:c>
      <x:c r="D735" s="47" t="n">
        <x:v>122.88</x:v>
      </x:c>
      <x:c r="E735" s="47" t="n">
        <x:v>123.314</x:v>
      </x:c>
      <x:c r="F735" s="47" t="n">
        <x:v>161.804</x:v>
      </x:c>
      <x:c r="G735" s="47" t="n">
        <x:v>132.922</x:v>
      </x:c>
      <x:c r="H735" s="50" t="n">
        <x:v>0.145931</x:v>
      </x:c>
      <x:c r="I735" s="50" t="n">
        <x:v>0.207139</x:v>
      </x:c>
      <x:c r="J735" s="50" t="n">
        <x:v>0.192157</x:v>
      </x:c>
      <x:c r="K735" s="50" t="n">
        <x:v>0.223278</x:v>
      </x:c>
      <x:c r="L735" s="47" t="n">
        <x:v>842.04</x:v>
      </x:c>
      <x:c r="M735" s="47" t="n">
        <x:v>595.32</x:v>
      </x:c>
      <x:c r="N735" s="28" t="str">
        <x:v>top-left</x:v>
      </x:c>
      <x:c r="O735" s="28" t="str">
        <x:v>PDF points</x:v>
      </x:c>
    </x:row>
    <x:row r="736" ht="22" customHeight="1">
      <x:c r="A736" s="28" t="str">
        <x:v>ANC-SLE-024-01-R20</x:v>
      </x:c>
      <x:c r="B736" s="28" t="str">
        <x:v>ANC-SLE-024-01</x:v>
      </x:c>
      <x:c r="C736" s="28" t="n">
        <x:v>16</x:v>
      </x:c>
      <x:c r="D736" s="47" t="n">
        <x:v>122.88</x:v>
      </x:c>
      <x:c r="E736" s="47" t="n">
        <x:v>132.078</x:v>
      </x:c>
      <x:c r="F736" s="47" t="n">
        <x:v>198.643</x:v>
      </x:c>
      <x:c r="G736" s="47" t="n">
        <x:v>141.685</x:v>
      </x:c>
      <x:c r="H736" s="50" t="n">
        <x:v>0.145931</x:v>
      </x:c>
      <x:c r="I736" s="50" t="n">
        <x:v>0.22186</x:v>
      </x:c>
      <x:c r="J736" s="50" t="n">
        <x:v>0.235907</x:v>
      </x:c>
      <x:c r="K736" s="50" t="n">
        <x:v>0.237999</x:v>
      </x:c>
      <x:c r="L736" s="47" t="n">
        <x:v>842.04</x:v>
      </x:c>
      <x:c r="M736" s="47" t="n">
        <x:v>595.32</x:v>
      </x:c>
      <x:c r="N736" s="28" t="str">
        <x:v>top-left</x:v>
      </x:c>
      <x:c r="O736" s="28" t="str">
        <x:v>PDF points</x:v>
      </x:c>
    </x:row>
    <x:row r="737" ht="22" customHeight="1">
      <x:c r="A737" s="28" t="str">
        <x:v>ANC-SLE-024-01-R21</x:v>
      </x:c>
      <x:c r="B737" s="28" t="str">
        <x:v>ANC-SLE-024-01</x:v>
      </x:c>
      <x:c r="C737" s="28" t="n">
        <x:v>16</x:v>
      </x:c>
      <x:c r="D737" s="47" t="n">
        <x:v>217.32</x:v>
      </x:c>
      <x:c r="E737" s="47" t="n">
        <x:v>97.267</x:v>
      </x:c>
      <x:c r="F737" s="47" t="n">
        <x:v>373.601</x:v>
      </x:c>
      <x:c r="G737" s="47" t="n">
        <x:v>106.875</x:v>
      </x:c>
      <x:c r="H737" s="50" t="n">
        <x:v>0.258088</x:v>
      </x:c>
      <x:c r="I737" s="50" t="n">
        <x:v>0.163387</x:v>
      </x:c>
      <x:c r="J737" s="50" t="n">
        <x:v>0.443686</x:v>
      </x:c>
      <x:c r="K737" s="50" t="n">
        <x:v>0.179526</x:v>
      </x:c>
      <x:c r="L737" s="47" t="n">
        <x:v>842.04</x:v>
      </x:c>
      <x:c r="M737" s="47" t="n">
        <x:v>595.32</x:v>
      </x:c>
      <x:c r="N737" s="28" t="str">
        <x:v>top-left</x:v>
      </x:c>
      <x:c r="O737" s="28" t="str">
        <x:v>PDF points</x:v>
      </x:c>
    </x:row>
    <x:row r="738" ht="22" customHeight="1">
      <x:c r="A738" s="28" t="str">
        <x:v>ANC-SLE-024-01-R22</x:v>
      </x:c>
      <x:c r="B738" s="28" t="str">
        <x:v>ANC-SLE-024-01</x:v>
      </x:c>
      <x:c r="C738" s="28" t="n">
        <x:v>16</x:v>
      </x:c>
      <x:c r="D738" s="47" t="n">
        <x:v>476.28</x:v>
      </x:c>
      <x:c r="E738" s="47" t="n">
        <x:v>100.027</x:v>
      </x:c>
      <x:c r="F738" s="47" t="n">
        <x:v>491.398</x:v>
      </x:c>
      <x:c r="G738" s="47" t="n">
        <x:v>109.635</x:v>
      </x:c>
      <x:c r="H738" s="50" t="n">
        <x:v>0.565626</x:v>
      </x:c>
      <x:c r="I738" s="50" t="n">
        <x:v>0.168023</x:v>
      </x:c>
      <x:c r="J738" s="50" t="n">
        <x:v>0.58358</x:v>
      </x:c>
      <x:c r="K738" s="50" t="n">
        <x:v>0.184162</x:v>
      </x:c>
      <x:c r="L738" s="47" t="n">
        <x:v>842.04</x:v>
      </x:c>
      <x:c r="M738" s="47" t="n">
        <x:v>595.32</x:v>
      </x:c>
      <x:c r="N738" s="28" t="str">
        <x:v>top-left</x:v>
      </x:c>
      <x:c r="O738" s="28" t="str">
        <x:v>PDF points</x:v>
      </x:c>
    </x:row>
    <x:row r="739" ht="22" customHeight="1">
      <x:c r="A739" s="28" t="str">
        <x:v>ANC-SLE-024-01-R23</x:v>
      </x:c>
      <x:c r="B739" s="28" t="str">
        <x:v>ANC-SLE-024-01</x:v>
      </x:c>
      <x:c r="C739" s="28" t="n">
        <x:v>16</x:v>
      </x:c>
      <x:c r="D739" s="47" t="n">
        <x:v>526.924</x:v>
      </x:c>
      <x:c r="E739" s="47" t="n">
        <x:v>100.027</x:v>
      </x:c>
      <x:c r="F739" s="47" t="n">
        <x:v>542.042</x:v>
      </x:c>
      <x:c r="G739" s="47" t="n">
        <x:v>109.635</x:v>
      </x:c>
      <x:c r="H739" s="50" t="n">
        <x:v>0.625771</x:v>
      </x:c>
      <x:c r="I739" s="50" t="n">
        <x:v>0.168023</x:v>
      </x:c>
      <x:c r="J739" s="50" t="n">
        <x:v>0.643724</x:v>
      </x:c>
      <x:c r="K739" s="50" t="n">
        <x:v>0.184162</x:v>
      </x:c>
      <x:c r="L739" s="47" t="n">
        <x:v>842.04</x:v>
      </x:c>
      <x:c r="M739" s="47" t="n">
        <x:v>595.32</x:v>
      </x:c>
      <x:c r="N739" s="28" t="str">
        <x:v>top-left</x:v>
      </x:c>
      <x:c r="O739" s="28" t="str">
        <x:v>PDF points</x:v>
      </x:c>
    </x:row>
    <x:row r="740" ht="22" customHeight="1">
      <x:c r="A740" s="28" t="str">
        <x:v>ANC-SLE-024-01-R24</x:v>
      </x:c>
      <x:c r="B740" s="28" t="str">
        <x:v>ANC-SLE-024-01</x:v>
      </x:c>
      <x:c r="C740" s="28" t="n">
        <x:v>16</x:v>
      </x:c>
      <x:c r="D740" s="47" t="n">
        <x:v>576.482</x:v>
      </x:c>
      <x:c r="E740" s="47" t="n">
        <x:v>100.027</x:v>
      </x:c>
      <x:c r="F740" s="47" t="n">
        <x:v>591.6</x:v>
      </x:c>
      <x:c r="G740" s="47" t="n">
        <x:v>109.635</x:v>
      </x:c>
      <x:c r="H740" s="50" t="n">
        <x:v>0.684626</x:v>
      </x:c>
      <x:c r="I740" s="50" t="n">
        <x:v>0.168023</x:v>
      </x:c>
      <x:c r="J740" s="50" t="n">
        <x:v>0.70258</x:v>
      </x:c>
      <x:c r="K740" s="50" t="n">
        <x:v>0.184162</x:v>
      </x:c>
      <x:c r="L740" s="47" t="n">
        <x:v>842.04</x:v>
      </x:c>
      <x:c r="M740" s="47" t="n">
        <x:v>595.32</x:v>
      </x:c>
      <x:c r="N740" s="28" t="str">
        <x:v>top-left</x:v>
      </x:c>
      <x:c r="O740" s="28" t="str">
        <x:v>PDF points</x:v>
      </x:c>
    </x:row>
    <x:row r="741" ht="22" customHeight="1">
      <x:c r="A741" s="28" t="str">
        <x:v>ANC-SLE-024-01-R25</x:v>
      </x:c>
      <x:c r="B741" s="28" t="str">
        <x:v>ANC-SLE-024-01</x:v>
      </x:c>
      <x:c r="C741" s="28" t="n">
        <x:v>16</x:v>
      </x:c>
      <x:c r="D741" s="47" t="n">
        <x:v>616.92</x:v>
      </x:c>
      <x:c r="E741" s="47" t="n">
        <x:v>100.027</x:v>
      </x:c>
      <x:c r="F741" s="47" t="n">
        <x:v>632.038</x:v>
      </x:c>
      <x:c r="G741" s="47" t="n">
        <x:v>109.635</x:v>
      </x:c>
      <x:c r="H741" s="50" t="n">
        <x:v>0.732649</x:v>
      </x:c>
      <x:c r="I741" s="50" t="n">
        <x:v>0.168023</x:v>
      </x:c>
      <x:c r="J741" s="50" t="n">
        <x:v>0.750603</x:v>
      </x:c>
      <x:c r="K741" s="50" t="n">
        <x:v>0.184162</x:v>
      </x:c>
      <x:c r="L741" s="47" t="n">
        <x:v>842.04</x:v>
      </x:c>
      <x:c r="M741" s="47" t="n">
        <x:v>595.32</x:v>
      </x:c>
      <x:c r="N741" s="28" t="str">
        <x:v>top-left</x:v>
      </x:c>
      <x:c r="O741" s="28" t="str">
        <x:v>PDF points</x:v>
      </x:c>
    </x:row>
    <x:row r="742" ht="22" customHeight="1">
      <x:c r="A742" s="28" t="str">
        <x:v>ANC-SLE-024-01-R26</x:v>
      </x:c>
      <x:c r="B742" s="28" t="str">
        <x:v>ANC-SLE-024-01</x:v>
      </x:c>
      <x:c r="C742" s="28" t="n">
        <x:v>16</x:v>
      </x:c>
      <x:c r="D742" s="47" t="n">
        <x:v>656.52</x:v>
      </x:c>
      <x:c r="E742" s="47" t="n">
        <x:v>100.027</x:v>
      </x:c>
      <x:c r="F742" s="47" t="n">
        <x:v>671.638</x:v>
      </x:c>
      <x:c r="G742" s="47" t="n">
        <x:v>109.635</x:v>
      </x:c>
      <x:c r="H742" s="50" t="n">
        <x:v>0.779678</x:v>
      </x:c>
      <x:c r="I742" s="50" t="n">
        <x:v>0.168023</x:v>
      </x:c>
      <x:c r="J742" s="50" t="n">
        <x:v>0.797632</x:v>
      </x:c>
      <x:c r="K742" s="50" t="n">
        <x:v>0.184162</x:v>
      </x:c>
      <x:c r="L742" s="47" t="n">
        <x:v>842.04</x:v>
      </x:c>
      <x:c r="M742" s="47" t="n">
        <x:v>595.32</x:v>
      </x:c>
      <x:c r="N742" s="28" t="str">
        <x:v>top-left</x:v>
      </x:c>
      <x:c r="O742" s="28" t="str">
        <x:v>PDF points</x:v>
      </x:c>
    </x:row>
    <x:row r="743" ht="22" customHeight="1">
      <x:c r="A743" s="28" t="str">
        <x:v>ANC-SLE-024-01-R27</x:v>
      </x:c>
      <x:c r="B743" s="28" t="str">
        <x:v>ANC-SLE-024-01</x:v>
      </x:c>
      <x:c r="C743" s="28" t="n">
        <x:v>16</x:v>
      </x:c>
      <x:c r="D743" s="47" t="n">
        <x:v>696</x:v>
      </x:c>
      <x:c r="E743" s="47" t="n">
        <x:v>100.027</x:v>
      </x:c>
      <x:c r="F743" s="47" t="n">
        <x:v>711.118</x:v>
      </x:c>
      <x:c r="G743" s="47" t="n">
        <x:v>109.635</x:v>
      </x:c>
      <x:c r="H743" s="50" t="n">
        <x:v>0.826564</x:v>
      </x:c>
      <x:c r="I743" s="50" t="n">
        <x:v>0.168023</x:v>
      </x:c>
      <x:c r="J743" s="50" t="n">
        <x:v>0.844518</x:v>
      </x:c>
      <x:c r="K743" s="50" t="n">
        <x:v>0.184162</x:v>
      </x:c>
      <x:c r="L743" s="47" t="n">
        <x:v>842.04</x:v>
      </x:c>
      <x:c r="M743" s="47" t="n">
        <x:v>595.32</x:v>
      </x:c>
      <x:c r="N743" s="28" t="str">
        <x:v>top-left</x:v>
      </x:c>
      <x:c r="O743" s="28" t="str">
        <x:v>PDF points</x:v>
      </x:c>
    </x:row>
    <x:row r="744" ht="22" customHeight="1">
      <x:c r="A744" s="28" t="str">
        <x:v>ANC-SLE-024-01-R28</x:v>
      </x:c>
      <x:c r="B744" s="28" t="str">
        <x:v>ANC-SLE-024-01</x:v>
      </x:c>
      <x:c r="C744" s="28" t="n">
        <x:v>16</x:v>
      </x:c>
      <x:c r="D744" s="47" t="n">
        <x:v>731.883</x:v>
      </x:c>
      <x:c r="E744" s="47" t="n">
        <x:v>100.027</x:v>
      </x:c>
      <x:c r="F744" s="47" t="n">
        <x:v>747</x:v>
      </x:c>
      <x:c r="G744" s="47" t="n">
        <x:v>109.635</x:v>
      </x:c>
      <x:c r="H744" s="50" t="n">
        <x:v>0.869178</x:v>
      </x:c>
      <x:c r="I744" s="50" t="n">
        <x:v>0.168023</x:v>
      </x:c>
      <x:c r="J744" s="50" t="n">
        <x:v>0.887131</x:v>
      </x:c>
      <x:c r="K744" s="50" t="n">
        <x:v>0.184162</x:v>
      </x:c>
      <x:c r="L744" s="47" t="n">
        <x:v>842.04</x:v>
      </x:c>
      <x:c r="M744" s="47" t="n">
        <x:v>595.32</x:v>
      </x:c>
      <x:c r="N744" s="28" t="str">
        <x:v>top-left</x:v>
      </x:c>
      <x:c r="O744" s="28" t="str">
        <x:v>PDF points</x:v>
      </x:c>
    </x:row>
    <x:row r="745" ht="22" customHeight="1">
      <x:c r="A745" s="28" t="str">
        <x:v>ANC-SLE-024-01-R29</x:v>
      </x:c>
      <x:c r="B745" s="28" t="str">
        <x:v>ANC-SLE-024-01</x:v>
      </x:c>
      <x:c r="C745" s="28" t="n">
        <x:v>16</x:v>
      </x:c>
      <x:c r="D745" s="47" t="n">
        <x:v>768.006</x:v>
      </x:c>
      <x:c r="E745" s="47" t="n">
        <x:v>100.027</x:v>
      </x:c>
      <x:c r="F745" s="47" t="n">
        <x:v>783.124</x:v>
      </x:c>
      <x:c r="G745" s="47" t="n">
        <x:v>109.635</x:v>
      </x:c>
      <x:c r="H745" s="50" t="n">
        <x:v>0.912078</x:v>
      </x:c>
      <x:c r="I745" s="50" t="n">
        <x:v>0.168023</x:v>
      </x:c>
      <x:c r="J745" s="50" t="n">
        <x:v>0.930032</x:v>
      </x:c>
      <x:c r="K745" s="50" t="n">
        <x:v>0.184162</x:v>
      </x:c>
      <x:c r="L745" s="47" t="n">
        <x:v>842.04</x:v>
      </x:c>
      <x:c r="M745" s="47" t="n">
        <x:v>595.32</x:v>
      </x:c>
      <x:c r="N745" s="28" t="str">
        <x:v>top-left</x:v>
      </x:c>
      <x:c r="O745" s="28" t="str">
        <x:v>PDF points</x:v>
      </x:c>
    </x:row>
    <x:row r="746" ht="22" customHeight="1">
      <x:c r="A746" s="28" t="str">
        <x:v>ANC-SLE-024-01-R30</x:v>
      </x:c>
      <x:c r="B746" s="28" t="str">
        <x:v>ANC-SLE-024-01</x:v>
      </x:c>
      <x:c r="C746" s="28" t="n">
        <x:v>16</x:v>
      </x:c>
      <x:c r="D746" s="47" t="n">
        <x:v>217.32</x:v>
      </x:c>
      <x:c r="E746" s="47" t="n">
        <x:v>111.907</x:v>
      </x:c>
      <x:c r="F746" s="47" t="n">
        <x:v>423.895</x:v>
      </x:c>
      <x:c r="G746" s="47" t="n">
        <x:v>121.515</x:v>
      </x:c>
      <x:c r="H746" s="50" t="n">
        <x:v>0.258088</x:v>
      </x:c>
      <x:c r="I746" s="50" t="n">
        <x:v>0.187978</x:v>
      </x:c>
      <x:c r="J746" s="50" t="n">
        <x:v>0.503414</x:v>
      </x:c>
      <x:c r="K746" s="50" t="n">
        <x:v>0.204117</x:v>
      </x:c>
      <x:c r="L746" s="47" t="n">
        <x:v>842.04</x:v>
      </x:c>
      <x:c r="M746" s="47" t="n">
        <x:v>595.32</x:v>
      </x:c>
      <x:c r="N746" s="28" t="str">
        <x:v>top-left</x:v>
      </x:c>
      <x:c r="O746" s="28" t="str">
        <x:v>PDF points</x:v>
      </x:c>
    </x:row>
    <x:row r="747" ht="22" customHeight="1">
      <x:c r="A747" s="28" t="str">
        <x:v>ANC-SLE-024-01-R31</x:v>
      </x:c>
      <x:c r="B747" s="28" t="str">
        <x:v>ANC-SLE-024-01</x:v>
      </x:c>
      <x:c r="C747" s="28" t="n">
        <x:v>16</x:v>
      </x:c>
      <x:c r="D747" s="47" t="n">
        <x:v>217.32</x:v>
      </x:c>
      <x:c r="E747" s="47" t="n">
        <x:v>120.667</x:v>
      </x:c>
      <x:c r="F747" s="47" t="n">
        <x:v>371.891</x:v>
      </x:c>
      <x:c r="G747" s="47" t="n">
        <x:v>130.275</x:v>
      </x:c>
      <x:c r="H747" s="50" t="n">
        <x:v>0.258088</x:v>
      </x:c>
      <x:c r="I747" s="50" t="n">
        <x:v>0.202693</x:v>
      </x:c>
      <x:c r="J747" s="50" t="n">
        <x:v>0.441655</x:v>
      </x:c>
      <x:c r="K747" s="50" t="n">
        <x:v>0.218832</x:v>
      </x:c>
      <x:c r="L747" s="47" t="n">
        <x:v>842.04</x:v>
      </x:c>
      <x:c r="M747" s="47" t="n">
        <x:v>595.32</x:v>
      </x:c>
      <x:c r="N747" s="28" t="str">
        <x:v>top-left</x:v>
      </x:c>
      <x:c r="O747" s="28" t="str">
        <x:v>PDF points</x:v>
      </x:c>
    </x:row>
    <x:row r="748" ht="22" customHeight="1">
      <x:c r="A748" s="28" t="str">
        <x:v>ANC-SLE-024-01-R32</x:v>
      </x:c>
      <x:c r="B748" s="28" t="str">
        <x:v>ANC-SLE-024-01</x:v>
      </x:c>
      <x:c r="C748" s="28" t="n">
        <x:v>16</x:v>
      </x:c>
      <x:c r="D748" s="47" t="n">
        <x:v>476.28</x:v>
      </x:c>
      <x:c r="E748" s="47" t="n">
        <x:v>116.347</x:v>
      </x:c>
      <x:c r="F748" s="47" t="n">
        <x:v>491.398</x:v>
      </x:c>
      <x:c r="G748" s="47" t="n">
        <x:v>125.955</x:v>
      </x:c>
      <x:c r="H748" s="50" t="n">
        <x:v>0.565626</x:v>
      </x:c>
      <x:c r="I748" s="50" t="n">
        <x:v>0.195437</x:v>
      </x:c>
      <x:c r="J748" s="50" t="n">
        <x:v>0.58358</x:v>
      </x:c>
      <x:c r="K748" s="50" t="n">
        <x:v>0.211575</x:v>
      </x:c>
      <x:c r="L748" s="47" t="n">
        <x:v>842.04</x:v>
      </x:c>
      <x:c r="M748" s="47" t="n">
        <x:v>595.32</x:v>
      </x:c>
      <x:c r="N748" s="28" t="str">
        <x:v>top-left</x:v>
      </x:c>
      <x:c r="O748" s="28" t="str">
        <x:v>PDF points</x:v>
      </x:c>
    </x:row>
    <x:row r="749" ht="22" customHeight="1">
      <x:c r="A749" s="28" t="str">
        <x:v>ANC-SLE-024-01-R33</x:v>
      </x:c>
      <x:c r="B749" s="28" t="str">
        <x:v>ANC-SLE-024-01</x:v>
      </x:c>
      <x:c r="C749" s="28" t="n">
        <x:v>16</x:v>
      </x:c>
      <x:c r="D749" s="47" t="n">
        <x:v>526.924</x:v>
      </x:c>
      <x:c r="E749" s="47" t="n">
        <x:v>116.347</x:v>
      </x:c>
      <x:c r="F749" s="47" t="n">
        <x:v>542.042</x:v>
      </x:c>
      <x:c r="G749" s="47" t="n">
        <x:v>125.955</x:v>
      </x:c>
      <x:c r="H749" s="50" t="n">
        <x:v>0.625771</x:v>
      </x:c>
      <x:c r="I749" s="50" t="n">
        <x:v>0.195437</x:v>
      </x:c>
      <x:c r="J749" s="50" t="n">
        <x:v>0.643724</x:v>
      </x:c>
      <x:c r="K749" s="50" t="n">
        <x:v>0.211575</x:v>
      </x:c>
      <x:c r="L749" s="47" t="n">
        <x:v>842.04</x:v>
      </x:c>
      <x:c r="M749" s="47" t="n">
        <x:v>595.32</x:v>
      </x:c>
      <x:c r="N749" s="28" t="str">
        <x:v>top-left</x:v>
      </x:c>
      <x:c r="O749" s="28" t="str">
        <x:v>PDF points</x:v>
      </x:c>
    </x:row>
    <x:row r="750" ht="22" customHeight="1">
      <x:c r="A750" s="28" t="str">
        <x:v>ANC-SLE-024-01-R34</x:v>
      </x:c>
      <x:c r="B750" s="28" t="str">
        <x:v>ANC-SLE-024-01</x:v>
      </x:c>
      <x:c r="C750" s="28" t="n">
        <x:v>16</x:v>
      </x:c>
      <x:c r="D750" s="47" t="n">
        <x:v>576.482</x:v>
      </x:c>
      <x:c r="E750" s="47" t="n">
        <x:v>116.347</x:v>
      </x:c>
      <x:c r="F750" s="47" t="n">
        <x:v>591.6</x:v>
      </x:c>
      <x:c r="G750" s="47" t="n">
        <x:v>125.955</x:v>
      </x:c>
      <x:c r="H750" s="50" t="n">
        <x:v>0.684626</x:v>
      </x:c>
      <x:c r="I750" s="50" t="n">
        <x:v>0.195437</x:v>
      </x:c>
      <x:c r="J750" s="50" t="n">
        <x:v>0.70258</x:v>
      </x:c>
      <x:c r="K750" s="50" t="n">
        <x:v>0.211575</x:v>
      </x:c>
      <x:c r="L750" s="47" t="n">
        <x:v>842.04</x:v>
      </x:c>
      <x:c r="M750" s="47" t="n">
        <x:v>595.32</x:v>
      </x:c>
      <x:c r="N750" s="28" t="str">
        <x:v>top-left</x:v>
      </x:c>
      <x:c r="O750" s="28" t="str">
        <x:v>PDF points</x:v>
      </x:c>
    </x:row>
    <x:row r="751" ht="22" customHeight="1">
      <x:c r="A751" s="28" t="str">
        <x:v>ANC-SLE-024-01-R35</x:v>
      </x:c>
      <x:c r="B751" s="28" t="str">
        <x:v>ANC-SLE-024-01</x:v>
      </x:c>
      <x:c r="C751" s="28" t="n">
        <x:v>16</x:v>
      </x:c>
      <x:c r="D751" s="47" t="n">
        <x:v>616.924</x:v>
      </x:c>
      <x:c r="E751" s="47" t="n">
        <x:v>116.347</x:v>
      </x:c>
      <x:c r="F751" s="47" t="n">
        <x:v>632.041</x:v>
      </x:c>
      <x:c r="G751" s="47" t="n">
        <x:v>125.955</x:v>
      </x:c>
      <x:c r="H751" s="50" t="n">
        <x:v>0.732654</x:v>
      </x:c>
      <x:c r="I751" s="50" t="n">
        <x:v>0.195437</x:v>
      </x:c>
      <x:c r="J751" s="50" t="n">
        <x:v>0.750607</x:v>
      </x:c>
      <x:c r="K751" s="50" t="n">
        <x:v>0.211575</x:v>
      </x:c>
      <x:c r="L751" s="47" t="n">
        <x:v>842.04</x:v>
      </x:c>
      <x:c r="M751" s="47" t="n">
        <x:v>595.32</x:v>
      </x:c>
      <x:c r="N751" s="28" t="str">
        <x:v>top-left</x:v>
      </x:c>
      <x:c r="O751" s="28" t="str">
        <x:v>PDF points</x:v>
      </x:c>
    </x:row>
    <x:row r="752" ht="22" customHeight="1">
      <x:c r="A752" s="28" t="str">
        <x:v>ANC-SLE-024-01-R36</x:v>
      </x:c>
      <x:c r="B752" s="28" t="str">
        <x:v>ANC-SLE-024-01</x:v>
      </x:c>
      <x:c r="C752" s="28" t="n">
        <x:v>16</x:v>
      </x:c>
      <x:c r="D752" s="47" t="n">
        <x:v>656.529</x:v>
      </x:c>
      <x:c r="E752" s="47" t="n">
        <x:v>116.347</x:v>
      </x:c>
      <x:c r="F752" s="47" t="n">
        <x:v>671.646</x:v>
      </x:c>
      <x:c r="G752" s="47" t="n">
        <x:v>125.955</x:v>
      </x:c>
      <x:c r="H752" s="50" t="n">
        <x:v>0.779688</x:v>
      </x:c>
      <x:c r="I752" s="50" t="n">
        <x:v>0.195437</x:v>
      </x:c>
      <x:c r="J752" s="50" t="n">
        <x:v>0.797642</x:v>
      </x:c>
      <x:c r="K752" s="50" t="n">
        <x:v>0.211575</x:v>
      </x:c>
      <x:c r="L752" s="47" t="n">
        <x:v>842.04</x:v>
      </x:c>
      <x:c r="M752" s="47" t="n">
        <x:v>595.32</x:v>
      </x:c>
      <x:c r="N752" s="28" t="str">
        <x:v>top-left</x:v>
      </x:c>
      <x:c r="O752" s="28" t="str">
        <x:v>PDF points</x:v>
      </x:c>
    </x:row>
    <x:row r="753" ht="22" customHeight="1">
      <x:c r="A753" s="28" t="str">
        <x:v>ANC-SLE-024-01-R37</x:v>
      </x:c>
      <x:c r="B753" s="28" t="str">
        <x:v>ANC-SLE-024-01</x:v>
      </x:c>
      <x:c r="C753" s="28" t="n">
        <x:v>16</x:v>
      </x:c>
      <x:c r="D753" s="47" t="n">
        <x:v>696</x:v>
      </x:c>
      <x:c r="E753" s="47" t="n">
        <x:v>116.347</x:v>
      </x:c>
      <x:c r="F753" s="47" t="n">
        <x:v>711.118</x:v>
      </x:c>
      <x:c r="G753" s="47" t="n">
        <x:v>125.955</x:v>
      </x:c>
      <x:c r="H753" s="50" t="n">
        <x:v>0.826564</x:v>
      </x:c>
      <x:c r="I753" s="50" t="n">
        <x:v>0.195437</x:v>
      </x:c>
      <x:c r="J753" s="50" t="n">
        <x:v>0.844518</x:v>
      </x:c>
      <x:c r="K753" s="50" t="n">
        <x:v>0.211575</x:v>
      </x:c>
      <x:c r="L753" s="47" t="n">
        <x:v>842.04</x:v>
      </x:c>
      <x:c r="M753" s="47" t="n">
        <x:v>595.32</x:v>
      </x:c>
      <x:c r="N753" s="28" t="str">
        <x:v>top-left</x:v>
      </x:c>
      <x:c r="O753" s="28" t="str">
        <x:v>PDF points</x:v>
      </x:c>
    </x:row>
    <x:row r="754" ht="22" customHeight="1">
      <x:c r="A754" s="28" t="str">
        <x:v>ANC-SLE-024-01-R38</x:v>
      </x:c>
      <x:c r="B754" s="28" t="str">
        <x:v>ANC-SLE-024-01</x:v>
      </x:c>
      <x:c r="C754" s="28" t="n">
        <x:v>16</x:v>
      </x:c>
      <x:c r="D754" s="47" t="n">
        <x:v>731.88</x:v>
      </x:c>
      <x:c r="E754" s="47" t="n">
        <x:v>116.347</x:v>
      </x:c>
      <x:c r="F754" s="47" t="n">
        <x:v>746.998</x:v>
      </x:c>
      <x:c r="G754" s="47" t="n">
        <x:v>125.955</x:v>
      </x:c>
      <x:c r="H754" s="50" t="n">
        <x:v>0.869175</x:v>
      </x:c>
      <x:c r="I754" s="50" t="n">
        <x:v>0.195437</x:v>
      </x:c>
      <x:c r="J754" s="50" t="n">
        <x:v>0.887129</x:v>
      </x:c>
      <x:c r="K754" s="50" t="n">
        <x:v>0.211575</x:v>
      </x:c>
      <x:c r="L754" s="47" t="n">
        <x:v>842.04</x:v>
      </x:c>
      <x:c r="M754" s="47" t="n">
        <x:v>595.32</x:v>
      </x:c>
      <x:c r="N754" s="28" t="str">
        <x:v>top-left</x:v>
      </x:c>
      <x:c r="O754" s="28" t="str">
        <x:v>PDF points</x:v>
      </x:c>
    </x:row>
    <x:row r="755" ht="22" customHeight="1">
      <x:c r="A755" s="28" t="str">
        <x:v>ANC-SLE-024-01-R39</x:v>
      </x:c>
      <x:c r="B755" s="28" t="str">
        <x:v>ANC-SLE-024-01</x:v>
      </x:c>
      <x:c r="C755" s="28" t="n">
        <x:v>16</x:v>
      </x:c>
      <x:c r="D755" s="47" t="n">
        <x:v>768</x:v>
      </x:c>
      <x:c r="E755" s="47" t="n">
        <x:v>116.347</x:v>
      </x:c>
      <x:c r="F755" s="47" t="n">
        <x:v>783.118</x:v>
      </x:c>
      <x:c r="G755" s="47" t="n">
        <x:v>125.955</x:v>
      </x:c>
      <x:c r="H755" s="50" t="n">
        <x:v>0.912071</x:v>
      </x:c>
      <x:c r="I755" s="50" t="n">
        <x:v>0.195437</x:v>
      </x:c>
      <x:c r="J755" s="50" t="n">
        <x:v>0.930024</x:v>
      </x:c>
      <x:c r="K755" s="50" t="n">
        <x:v>0.211575</x:v>
      </x:c>
      <x:c r="L755" s="47" t="n">
        <x:v>842.04</x:v>
      </x:c>
      <x:c r="M755" s="47" t="n">
        <x:v>595.32</x:v>
      </x:c>
      <x:c r="N755" s="28" t="str">
        <x:v>top-left</x:v>
      </x:c>
      <x:c r="O755" s="28" t="str">
        <x:v>PDF points</x:v>
      </x:c>
    </x:row>
    <x:row r="756" ht="22" customHeight="1">
      <x:c r="A756" s="28" t="str">
        <x:v>ANC-SLE-024-01-R40</x:v>
      </x:c>
      <x:c r="B756" s="28" t="str">
        <x:v>ANC-SLE-024-01</x:v>
      </x:c>
      <x:c r="C756" s="28" t="n">
        <x:v>16</x:v>
      </x:c>
      <x:c r="D756" s="47" t="n">
        <x:v>217.32</x:v>
      </x:c>
      <x:c r="E756" s="47" t="n">
        <x:v>129.907</x:v>
      </x:c>
      <x:c r="F756" s="47" t="n">
        <x:v>316.055</x:v>
      </x:c>
      <x:c r="G756" s="47" t="n">
        <x:v>139.515</x:v>
      </x:c>
      <x:c r="H756" s="50" t="n">
        <x:v>0.258088</x:v>
      </x:c>
      <x:c r="I756" s="50" t="n">
        <x:v>0.218214</x:v>
      </x:c>
      <x:c r="J756" s="50" t="n">
        <x:v>0.375344</x:v>
      </x:c>
      <x:c r="K756" s="50" t="n">
        <x:v>0.234353</x:v>
      </x:c>
      <x:c r="L756" s="47" t="n">
        <x:v>842.04</x:v>
      </x:c>
      <x:c r="M756" s="47" t="n">
        <x:v>595.32</x:v>
      </x:c>
      <x:c r="N756" s="28" t="str">
        <x:v>top-left</x:v>
      </x:c>
      <x:c r="O756" s="28" t="str">
        <x:v>PDF points</x:v>
      </x:c>
    </x:row>
    <x:row r="757" ht="22" customHeight="1">
      <x:c r="A757" s="28" t="str">
        <x:v>ANC-SLE-025-01-R01</x:v>
      </x:c>
      <x:c r="B757" s="28" t="str">
        <x:v>ANC-SLE-025-01</x:v>
      </x:c>
      <x:c r="C757" s="28" t="n">
        <x:v>16</x:v>
      </x:c>
      <x:c r="D757" s="47" t="n">
        <x:v>217.32</x:v>
      </x:c>
      <x:c r="E757" s="47" t="n">
        <x:v>111.907</x:v>
      </x:c>
      <x:c r="F757" s="47" t="n">
        <x:v>423.895</x:v>
      </x:c>
      <x:c r="G757" s="47" t="n">
        <x:v>121.515</x:v>
      </x:c>
      <x:c r="H757" s="50" t="n">
        <x:v>0.258088</x:v>
      </x:c>
      <x:c r="I757" s="50" t="n">
        <x:v>0.187978</x:v>
      </x:c>
      <x:c r="J757" s="50" t="n">
        <x:v>0.503414</x:v>
      </x:c>
      <x:c r="K757" s="50" t="n">
        <x:v>0.204117</x:v>
      </x:c>
      <x:c r="L757" s="47" t="n">
        <x:v>842.04</x:v>
      </x:c>
      <x:c r="M757" s="47" t="n">
        <x:v>595.32</x:v>
      </x:c>
      <x:c r="N757" s="28" t="str">
        <x:v>top-left</x:v>
      </x:c>
      <x:c r="O757" s="28" t="str">
        <x:v>PDF points</x:v>
      </x:c>
    </x:row>
    <x:row r="758" ht="22" customHeight="1">
      <x:c r="A758" s="28" t="str">
        <x:v>ANC-SLE-026-01-R01</x:v>
      </x:c>
      <x:c r="B758" s="28" t="str">
        <x:v>ANC-SLE-026-01</x:v>
      </x:c>
      <x:c r="C758" s="28" t="n">
        <x:v>16</x:v>
      </x:c>
      <x:c r="D758" s="47" t="n">
        <x:v>217.32</x:v>
      </x:c>
      <x:c r="E758" s="47" t="n">
        <x:v>129.907</x:v>
      </x:c>
      <x:c r="F758" s="47" t="n">
        <x:v>386.241</x:v>
      </x:c>
      <x:c r="G758" s="47" t="n">
        <x:v>139.515</x:v>
      </x:c>
      <x:c r="H758" s="50" t="n">
        <x:v>0.258088</x:v>
      </x:c>
      <x:c r="I758" s="50" t="n">
        <x:v>0.218214</x:v>
      </x:c>
      <x:c r="J758" s="50" t="n">
        <x:v>0.458697</x:v>
      </x:c>
      <x:c r="K758" s="50" t="n">
        <x:v>0.234353</x:v>
      </x:c>
      <x:c r="L758" s="47" t="n">
        <x:v>842.04</x:v>
      </x:c>
      <x:c r="M758" s="47" t="n">
        <x:v>595.32</x:v>
      </x:c>
      <x:c r="N758" s="28" t="str">
        <x:v>top-left</x:v>
      </x:c>
      <x:c r="O758" s="28" t="str">
        <x:v>PDF points</x:v>
      </x:c>
    </x:row>
    <x:row r="759" ht="22" customHeight="1">
      <x:c r="A759" s="28" t="str">
        <x:v>ANC-SLE-027-01-R01</x:v>
      </x:c>
      <x:c r="B759" s="28" t="str">
        <x:v>ANC-SLE-027-01</x:v>
      </x:c>
      <x:c r="C759" s="28" t="n">
        <x:v>16</x:v>
      </x:c>
      <x:c r="D759" s="47" t="n">
        <x:v>217.32</x:v>
      </x:c>
      <x:c r="E759" s="47" t="n">
        <x:v>143.707</x:v>
      </x:c>
      <x:c r="F759" s="47" t="n">
        <x:v>427.197</x:v>
      </x:c>
      <x:c r="G759" s="47" t="n">
        <x:v>153.315</x:v>
      </x:c>
      <x:c r="H759" s="50" t="n">
        <x:v>0.258088</x:v>
      </x:c>
      <x:c r="I759" s="50" t="n">
        <x:v>0.241395</x:v>
      </x:c>
      <x:c r="J759" s="50" t="n">
        <x:v>0.507336</x:v>
      </x:c>
      <x:c r="K759" s="50" t="n">
        <x:v>0.257534</x:v>
      </x:c>
      <x:c r="L759" s="47" t="n">
        <x:v>842.04</x:v>
      </x:c>
      <x:c r="M759" s="47" t="n">
        <x:v>595.32</x:v>
      </x:c>
      <x:c r="N759" s="28" t="str">
        <x:v>top-left</x:v>
      </x:c>
      <x:c r="O759" s="28" t="str">
        <x:v>PDF points</x:v>
      </x:c>
    </x:row>
    <x:row r="760" ht="22" customHeight="1">
      <x:c r="A760" s="28" t="str">
        <x:v>ANC-SLE-028-01-R01</x:v>
      </x:c>
      <x:c r="B760" s="28" t="str">
        <x:v>ANC-SLE-028-01</x:v>
      </x:c>
      <x:c r="C760" s="28" t="n">
        <x:v>16</x:v>
      </x:c>
      <x:c r="D760" s="47" t="n">
        <x:v>318.253</x:v>
      </x:c>
      <x:c r="E760" s="47" t="n">
        <x:v>129.907</x:v>
      </x:c>
      <x:c r="F760" s="47" t="n">
        <x:v>386.241</x:v>
      </x:c>
      <x:c r="G760" s="47" t="n">
        <x:v>139.515</x:v>
      </x:c>
      <x:c r="H760" s="50" t="n">
        <x:v>0.377955</x:v>
      </x:c>
      <x:c r="I760" s="50" t="n">
        <x:v>0.218214</x:v>
      </x:c>
      <x:c r="J760" s="50" t="n">
        <x:v>0.458697</x:v>
      </x:c>
      <x:c r="K760" s="50" t="n">
        <x:v>0.234353</x:v>
      </x:c>
      <x:c r="L760" s="47" t="n">
        <x:v>842.04</x:v>
      </x:c>
      <x:c r="M760" s="47" t="n">
        <x:v>595.32</x:v>
      </x:c>
      <x:c r="N760" s="28" t="str">
        <x:v>top-left</x:v>
      </x:c>
      <x:c r="O760" s="28" t="str">
        <x:v>PDF points</x:v>
      </x:c>
    </x:row>
    <x:row r="761" ht="22" customHeight="1">
      <x:c r="A761" s="28" t="str">
        <x:v>ANC-SLE-028-01-R02</x:v>
      </x:c>
      <x:c r="B761" s="28" t="str">
        <x:v>ANC-SLE-028-01</x:v>
      </x:c>
      <x:c r="C761" s="28" t="n">
        <x:v>16</x:v>
      </x:c>
      <x:c r="D761" s="47" t="n">
        <x:v>476.28</x:v>
      </x:c>
      <x:c r="E761" s="47" t="n">
        <x:v>132.187</x:v>
      </x:c>
      <x:c r="F761" s="47" t="n">
        <x:v>491.398</x:v>
      </x:c>
      <x:c r="G761" s="47" t="n">
        <x:v>141.795</x:v>
      </x:c>
      <x:c r="H761" s="50" t="n">
        <x:v>0.565626</x:v>
      </x:c>
      <x:c r="I761" s="50" t="n">
        <x:v>0.222044</x:v>
      </x:c>
      <x:c r="J761" s="50" t="n">
        <x:v>0.58358</x:v>
      </x:c>
      <x:c r="K761" s="50" t="n">
        <x:v>0.238183</x:v>
      </x:c>
      <x:c r="L761" s="47" t="n">
        <x:v>842.04</x:v>
      </x:c>
      <x:c r="M761" s="47" t="n">
        <x:v>595.32</x:v>
      </x:c>
      <x:c r="N761" s="28" t="str">
        <x:v>top-left</x:v>
      </x:c>
      <x:c r="O761" s="28" t="str">
        <x:v>PDF points</x:v>
      </x:c>
    </x:row>
    <x:row r="762" ht="22" customHeight="1">
      <x:c r="A762" s="28" t="str">
        <x:v>ANC-SLE-028-01-R03</x:v>
      </x:c>
      <x:c r="B762" s="28" t="str">
        <x:v>ANC-SLE-028-01</x:v>
      </x:c>
      <x:c r="C762" s="28" t="n">
        <x:v>16</x:v>
      </x:c>
      <x:c r="D762" s="47" t="n">
        <x:v>526.924</x:v>
      </x:c>
      <x:c r="E762" s="47" t="n">
        <x:v>132.187</x:v>
      </x:c>
      <x:c r="F762" s="47" t="n">
        <x:v>542.042</x:v>
      </x:c>
      <x:c r="G762" s="47" t="n">
        <x:v>141.795</x:v>
      </x:c>
      <x:c r="H762" s="50" t="n">
        <x:v>0.625771</x:v>
      </x:c>
      <x:c r="I762" s="50" t="n">
        <x:v>0.222044</x:v>
      </x:c>
      <x:c r="J762" s="50" t="n">
        <x:v>0.643724</x:v>
      </x:c>
      <x:c r="K762" s="50" t="n">
        <x:v>0.238183</x:v>
      </x:c>
      <x:c r="L762" s="47" t="n">
        <x:v>842.04</x:v>
      </x:c>
      <x:c r="M762" s="47" t="n">
        <x:v>595.32</x:v>
      </x:c>
      <x:c r="N762" s="28" t="str">
        <x:v>top-left</x:v>
      </x:c>
      <x:c r="O762" s="28" t="str">
        <x:v>PDF points</x:v>
      </x:c>
    </x:row>
    <x:row r="763" ht="22" customHeight="1">
      <x:c r="A763" s="28" t="str">
        <x:v>ANC-SLE-028-01-R04</x:v>
      </x:c>
      <x:c r="B763" s="28" t="str">
        <x:v>ANC-SLE-028-01</x:v>
      </x:c>
      <x:c r="C763" s="28" t="n">
        <x:v>16</x:v>
      </x:c>
      <x:c r="D763" s="47" t="n">
        <x:v>576.482</x:v>
      </x:c>
      <x:c r="E763" s="47" t="n">
        <x:v>132.187</x:v>
      </x:c>
      <x:c r="F763" s="47" t="n">
        <x:v>591.6</x:v>
      </x:c>
      <x:c r="G763" s="47" t="n">
        <x:v>141.795</x:v>
      </x:c>
      <x:c r="H763" s="50" t="n">
        <x:v>0.684626</x:v>
      </x:c>
      <x:c r="I763" s="50" t="n">
        <x:v>0.222044</x:v>
      </x:c>
      <x:c r="J763" s="50" t="n">
        <x:v>0.70258</x:v>
      </x:c>
      <x:c r="K763" s="50" t="n">
        <x:v>0.238183</x:v>
      </x:c>
      <x:c r="L763" s="47" t="n">
        <x:v>842.04</x:v>
      </x:c>
      <x:c r="M763" s="47" t="n">
        <x:v>595.32</x:v>
      </x:c>
      <x:c r="N763" s="28" t="str">
        <x:v>top-left</x:v>
      </x:c>
      <x:c r="O763" s="28" t="str">
        <x:v>PDF points</x:v>
      </x:c>
    </x:row>
    <x:row r="764" ht="22" customHeight="1">
      <x:c r="A764" s="28" t="str">
        <x:v>ANC-SLE-028-01-R05</x:v>
      </x:c>
      <x:c r="B764" s="28" t="str">
        <x:v>ANC-SLE-028-01</x:v>
      </x:c>
      <x:c r="C764" s="28" t="n">
        <x:v>16</x:v>
      </x:c>
      <x:c r="D764" s="47" t="n">
        <x:v>616.92</x:v>
      </x:c>
      <x:c r="E764" s="47" t="n">
        <x:v>132.187</x:v>
      </x:c>
      <x:c r="F764" s="47" t="n">
        <x:v>632.038</x:v>
      </x:c>
      <x:c r="G764" s="47" t="n">
        <x:v>141.795</x:v>
      </x:c>
      <x:c r="H764" s="50" t="n">
        <x:v>0.732649</x:v>
      </x:c>
      <x:c r="I764" s="50" t="n">
        <x:v>0.222044</x:v>
      </x:c>
      <x:c r="J764" s="50" t="n">
        <x:v>0.750603</x:v>
      </x:c>
      <x:c r="K764" s="50" t="n">
        <x:v>0.238183</x:v>
      </x:c>
      <x:c r="L764" s="47" t="n">
        <x:v>842.04</x:v>
      </x:c>
      <x:c r="M764" s="47" t="n">
        <x:v>595.32</x:v>
      </x:c>
      <x:c r="N764" s="28" t="str">
        <x:v>top-left</x:v>
      </x:c>
      <x:c r="O764" s="28" t="str">
        <x:v>PDF points</x:v>
      </x:c>
    </x:row>
    <x:row r="765" ht="22" customHeight="1">
      <x:c r="A765" s="28" t="str">
        <x:v>ANC-SLE-028-01-R06</x:v>
      </x:c>
      <x:c r="B765" s="28" t="str">
        <x:v>ANC-SLE-028-01</x:v>
      </x:c>
      <x:c r="C765" s="28" t="n">
        <x:v>16</x:v>
      </x:c>
      <x:c r="D765" s="47" t="n">
        <x:v>656.52</x:v>
      </x:c>
      <x:c r="E765" s="47" t="n">
        <x:v>132.187</x:v>
      </x:c>
      <x:c r="F765" s="47" t="n">
        <x:v>671.638</x:v>
      </x:c>
      <x:c r="G765" s="47" t="n">
        <x:v>141.795</x:v>
      </x:c>
      <x:c r="H765" s="50" t="n">
        <x:v>0.779678</x:v>
      </x:c>
      <x:c r="I765" s="50" t="n">
        <x:v>0.222044</x:v>
      </x:c>
      <x:c r="J765" s="50" t="n">
        <x:v>0.797632</x:v>
      </x:c>
      <x:c r="K765" s="50" t="n">
        <x:v>0.238183</x:v>
      </x:c>
      <x:c r="L765" s="47" t="n">
        <x:v>842.04</x:v>
      </x:c>
      <x:c r="M765" s="47" t="n">
        <x:v>595.32</x:v>
      </x:c>
      <x:c r="N765" s="28" t="str">
        <x:v>top-left</x:v>
      </x:c>
      <x:c r="O765" s="28" t="str">
        <x:v>PDF points</x:v>
      </x:c>
    </x:row>
    <x:row r="766" ht="22" customHeight="1">
      <x:c r="A766" s="28" t="str">
        <x:v>ANC-SLE-028-01-R07</x:v>
      </x:c>
      <x:c r="B766" s="28" t="str">
        <x:v>ANC-SLE-028-01</x:v>
      </x:c>
      <x:c r="C766" s="28" t="n">
        <x:v>16</x:v>
      </x:c>
      <x:c r="D766" s="47" t="n">
        <x:v>696.004</x:v>
      </x:c>
      <x:c r="E766" s="47" t="n">
        <x:v>132.187</x:v>
      </x:c>
      <x:c r="F766" s="47" t="n">
        <x:v>711.122</x:v>
      </x:c>
      <x:c r="G766" s="47" t="n">
        <x:v>141.795</x:v>
      </x:c>
      <x:c r="H766" s="50" t="n">
        <x:v>0.826569</x:v>
      </x:c>
      <x:c r="I766" s="50" t="n">
        <x:v>0.222044</x:v>
      </x:c>
      <x:c r="J766" s="50" t="n">
        <x:v>0.844523</x:v>
      </x:c>
      <x:c r="K766" s="50" t="n">
        <x:v>0.238183</x:v>
      </x:c>
      <x:c r="L766" s="47" t="n">
        <x:v>842.04</x:v>
      </x:c>
      <x:c r="M766" s="47" t="n">
        <x:v>595.32</x:v>
      </x:c>
      <x:c r="N766" s="28" t="str">
        <x:v>top-left</x:v>
      </x:c>
      <x:c r="O766" s="28" t="str">
        <x:v>PDF points</x:v>
      </x:c>
    </x:row>
    <x:row r="767" ht="22" customHeight="1">
      <x:c r="A767" s="28" t="str">
        <x:v>ANC-SLE-028-01-R08</x:v>
      </x:c>
      <x:c r="B767" s="28" t="str">
        <x:v>ANC-SLE-028-01</x:v>
      </x:c>
      <x:c r="C767" s="28" t="n">
        <x:v>16</x:v>
      </x:c>
      <x:c r="D767" s="47" t="n">
        <x:v>731.887</x:v>
      </x:c>
      <x:c r="E767" s="47" t="n">
        <x:v>132.187</x:v>
      </x:c>
      <x:c r="F767" s="47" t="n">
        <x:v>747.005</x:v>
      </x:c>
      <x:c r="G767" s="47" t="n">
        <x:v>141.795</x:v>
      </x:c>
      <x:c r="H767" s="50" t="n">
        <x:v>0.869183</x:v>
      </x:c>
      <x:c r="I767" s="50" t="n">
        <x:v>0.222044</x:v>
      </x:c>
      <x:c r="J767" s="50" t="n">
        <x:v>0.887137</x:v>
      </x:c>
      <x:c r="K767" s="50" t="n">
        <x:v>0.238183</x:v>
      </x:c>
      <x:c r="L767" s="47" t="n">
        <x:v>842.04</x:v>
      </x:c>
      <x:c r="M767" s="47" t="n">
        <x:v>595.32</x:v>
      </x:c>
      <x:c r="N767" s="28" t="str">
        <x:v>top-left</x:v>
      </x:c>
      <x:c r="O767" s="28" t="str">
        <x:v>PDF points</x:v>
      </x:c>
    </x:row>
    <x:row r="768" ht="22" customHeight="1">
      <x:c r="A768" s="28" t="str">
        <x:v>ANC-SLE-028-01-R09</x:v>
      </x:c>
      <x:c r="B768" s="28" t="str">
        <x:v>ANC-SLE-028-01</x:v>
      </x:c>
      <x:c r="C768" s="28" t="n">
        <x:v>16</x:v>
      </x:c>
      <x:c r="D768" s="47" t="n">
        <x:v>768.011</x:v>
      </x:c>
      <x:c r="E768" s="47" t="n">
        <x:v>132.187</x:v>
      </x:c>
      <x:c r="F768" s="47" t="n">
        <x:v>783.128</x:v>
      </x:c>
      <x:c r="G768" s="47" t="n">
        <x:v>141.795</x:v>
      </x:c>
      <x:c r="H768" s="50" t="n">
        <x:v>0.912083</x:v>
      </x:c>
      <x:c r="I768" s="50" t="n">
        <x:v>0.222044</x:v>
      </x:c>
      <x:c r="J768" s="50" t="n">
        <x:v>0.930037</x:v>
      </x:c>
      <x:c r="K768" s="50" t="n">
        <x:v>0.238183</x:v>
      </x:c>
      <x:c r="L768" s="47" t="n">
        <x:v>842.04</x:v>
      </x:c>
      <x:c r="M768" s="47" t="n">
        <x:v>595.32</x:v>
      </x:c>
      <x:c r="N768" s="28" t="str">
        <x:v>top-left</x:v>
      </x:c>
      <x:c r="O768" s="28" t="str">
        <x:v>PDF points</x:v>
      </x:c>
    </x:row>
    <x:row r="769" ht="22" customHeight="1">
      <x:c r="A769" s="28" t="str">
        <x:v>ANC-SLE-028-01-R10</x:v>
      </x:c>
      <x:c r="B769" s="28" t="str">
        <x:v>ANC-SLE-028-01</x:v>
      </x:c>
      <x:c r="C769" s="28" t="n">
        <x:v>16</x:v>
      </x:c>
      <x:c r="D769" s="47" t="n">
        <x:v>217.32</x:v>
      </x:c>
      <x:c r="E769" s="47" t="n">
        <x:v>143.707</x:v>
      </x:c>
      <x:c r="F769" s="47" t="n">
        <x:v>427.197</x:v>
      </x:c>
      <x:c r="G769" s="47" t="n">
        <x:v>153.315</x:v>
      </x:c>
      <x:c r="H769" s="50" t="n">
        <x:v>0.258088</x:v>
      </x:c>
      <x:c r="I769" s="50" t="n">
        <x:v>0.241395</x:v>
      </x:c>
      <x:c r="J769" s="50" t="n">
        <x:v>0.507336</x:v>
      </x:c>
      <x:c r="K769" s="50" t="n">
        <x:v>0.257534</x:v>
      </x:c>
      <x:c r="L769" s="47" t="n">
        <x:v>842.04</x:v>
      </x:c>
      <x:c r="M769" s="47" t="n">
        <x:v>595.32</x:v>
      </x:c>
      <x:c r="N769" s="28" t="str">
        <x:v>top-left</x:v>
      </x:c>
      <x:c r="O769" s="28" t="str">
        <x:v>PDF points</x:v>
      </x:c>
    </x:row>
    <x:row r="770" ht="22" customHeight="1">
      <x:c r="A770" s="28" t="str">
        <x:v>ANC-SLE-028-01-R11</x:v>
      </x:c>
      <x:c r="B770" s="28" t="str">
        <x:v>ANC-SLE-028-01</x:v>
      </x:c>
      <x:c r="C770" s="28" t="n">
        <x:v>16</x:v>
      </x:c>
      <x:c r="D770" s="47" t="n">
        <x:v>476.28</x:v>
      </x:c>
      <x:c r="E770" s="47" t="n">
        <x:v>149.587</x:v>
      </x:c>
      <x:c r="F770" s="47" t="n">
        <x:v>491.398</x:v>
      </x:c>
      <x:c r="G770" s="47" t="n">
        <x:v>159.195</x:v>
      </x:c>
      <x:c r="H770" s="50" t="n">
        <x:v>0.565626</x:v>
      </x:c>
      <x:c r="I770" s="50" t="n">
        <x:v>0.251272</x:v>
      </x:c>
      <x:c r="J770" s="50" t="n">
        <x:v>0.58358</x:v>
      </x:c>
      <x:c r="K770" s="50" t="n">
        <x:v>0.267411</x:v>
      </x:c>
      <x:c r="L770" s="47" t="n">
        <x:v>842.04</x:v>
      </x:c>
      <x:c r="M770" s="47" t="n">
        <x:v>595.32</x:v>
      </x:c>
      <x:c r="N770" s="28" t="str">
        <x:v>top-left</x:v>
      </x:c>
      <x:c r="O770" s="28" t="str">
        <x:v>PDF points</x:v>
      </x:c>
    </x:row>
    <x:row r="771" ht="22" customHeight="1">
      <x:c r="A771" s="28" t="str">
        <x:v>ANC-SLE-028-01-R12</x:v>
      </x:c>
      <x:c r="B771" s="28" t="str">
        <x:v>ANC-SLE-028-01</x:v>
      </x:c>
      <x:c r="C771" s="28" t="n">
        <x:v>16</x:v>
      </x:c>
      <x:c r="D771" s="47" t="n">
        <x:v>526.924</x:v>
      </x:c>
      <x:c r="E771" s="47" t="n">
        <x:v>149.587</x:v>
      </x:c>
      <x:c r="F771" s="47" t="n">
        <x:v>542.042</x:v>
      </x:c>
      <x:c r="G771" s="47" t="n">
        <x:v>159.195</x:v>
      </x:c>
      <x:c r="H771" s="50" t="n">
        <x:v>0.625771</x:v>
      </x:c>
      <x:c r="I771" s="50" t="n">
        <x:v>0.251272</x:v>
      </x:c>
      <x:c r="J771" s="50" t="n">
        <x:v>0.643724</x:v>
      </x:c>
      <x:c r="K771" s="50" t="n">
        <x:v>0.267411</x:v>
      </x:c>
      <x:c r="L771" s="47" t="n">
        <x:v>842.04</x:v>
      </x:c>
      <x:c r="M771" s="47" t="n">
        <x:v>595.32</x:v>
      </x:c>
      <x:c r="N771" s="28" t="str">
        <x:v>top-left</x:v>
      </x:c>
      <x:c r="O771" s="28" t="str">
        <x:v>PDF points</x:v>
      </x:c>
    </x:row>
    <x:row r="772" ht="22" customHeight="1">
      <x:c r="A772" s="28" t="str">
        <x:v>ANC-SLE-028-01-R13</x:v>
      </x:c>
      <x:c r="B772" s="28" t="str">
        <x:v>ANC-SLE-028-01</x:v>
      </x:c>
      <x:c r="C772" s="28" t="n">
        <x:v>16</x:v>
      </x:c>
      <x:c r="D772" s="47" t="n">
        <x:v>576.482</x:v>
      </x:c>
      <x:c r="E772" s="47" t="n">
        <x:v>149.587</x:v>
      </x:c>
      <x:c r="F772" s="47" t="n">
        <x:v>591.6</x:v>
      </x:c>
      <x:c r="G772" s="47" t="n">
        <x:v>159.195</x:v>
      </x:c>
      <x:c r="H772" s="50" t="n">
        <x:v>0.684626</x:v>
      </x:c>
      <x:c r="I772" s="50" t="n">
        <x:v>0.251272</x:v>
      </x:c>
      <x:c r="J772" s="50" t="n">
        <x:v>0.70258</x:v>
      </x:c>
      <x:c r="K772" s="50" t="n">
        <x:v>0.267411</x:v>
      </x:c>
      <x:c r="L772" s="47" t="n">
        <x:v>842.04</x:v>
      </x:c>
      <x:c r="M772" s="47" t="n">
        <x:v>595.32</x:v>
      </x:c>
      <x:c r="N772" s="28" t="str">
        <x:v>top-left</x:v>
      </x:c>
      <x:c r="O772" s="28" t="str">
        <x:v>PDF points</x:v>
      </x:c>
    </x:row>
    <x:row r="773" ht="22" customHeight="1">
      <x:c r="A773" s="28" t="str">
        <x:v>ANC-SLE-028-01-R14</x:v>
      </x:c>
      <x:c r="B773" s="28" t="str">
        <x:v>ANC-SLE-028-01</x:v>
      </x:c>
      <x:c r="C773" s="28" t="n">
        <x:v>16</x:v>
      </x:c>
      <x:c r="D773" s="47" t="n">
        <x:v>616.92</x:v>
      </x:c>
      <x:c r="E773" s="47" t="n">
        <x:v>149.587</x:v>
      </x:c>
      <x:c r="F773" s="47" t="n">
        <x:v>632.038</x:v>
      </x:c>
      <x:c r="G773" s="47" t="n">
        <x:v>159.195</x:v>
      </x:c>
      <x:c r="H773" s="50" t="n">
        <x:v>0.732649</x:v>
      </x:c>
      <x:c r="I773" s="50" t="n">
        <x:v>0.251272</x:v>
      </x:c>
      <x:c r="J773" s="50" t="n">
        <x:v>0.750603</x:v>
      </x:c>
      <x:c r="K773" s="50" t="n">
        <x:v>0.267411</x:v>
      </x:c>
      <x:c r="L773" s="47" t="n">
        <x:v>842.04</x:v>
      </x:c>
      <x:c r="M773" s="47" t="n">
        <x:v>595.32</x:v>
      </x:c>
      <x:c r="N773" s="28" t="str">
        <x:v>top-left</x:v>
      </x:c>
      <x:c r="O773" s="28" t="str">
        <x:v>PDF points</x:v>
      </x:c>
    </x:row>
    <x:row r="774" ht="22" customHeight="1">
      <x:c r="A774" s="28" t="str">
        <x:v>ANC-SLE-028-01-R15</x:v>
      </x:c>
      <x:c r="B774" s="28" t="str">
        <x:v>ANC-SLE-028-01</x:v>
      </x:c>
      <x:c r="C774" s="28" t="n">
        <x:v>16</x:v>
      </x:c>
      <x:c r="D774" s="47" t="n">
        <x:v>656.525</x:v>
      </x:c>
      <x:c r="E774" s="47" t="n">
        <x:v>149.587</x:v>
      </x:c>
      <x:c r="F774" s="47" t="n">
        <x:v>671.643</x:v>
      </x:c>
      <x:c r="G774" s="47" t="n">
        <x:v>159.195</x:v>
      </x:c>
      <x:c r="H774" s="50" t="n">
        <x:v>0.779684</x:v>
      </x:c>
      <x:c r="I774" s="50" t="n">
        <x:v>0.251272</x:v>
      </x:c>
      <x:c r="J774" s="50" t="n">
        <x:v>0.797638</x:v>
      </x:c>
      <x:c r="K774" s="50" t="n">
        <x:v>0.267411</x:v>
      </x:c>
      <x:c r="L774" s="47" t="n">
        <x:v>842.04</x:v>
      </x:c>
      <x:c r="M774" s="47" t="n">
        <x:v>595.32</x:v>
      </x:c>
      <x:c r="N774" s="28" t="str">
        <x:v>top-left</x:v>
      </x:c>
      <x:c r="O774" s="28" t="str">
        <x:v>PDF points</x:v>
      </x:c>
    </x:row>
    <x:row r="775" ht="22" customHeight="1">
      <x:c r="A775" s="28" t="str">
        <x:v>ANC-SLE-028-01-R16</x:v>
      </x:c>
      <x:c r="B775" s="28" t="str">
        <x:v>ANC-SLE-028-01</x:v>
      </x:c>
      <x:c r="C775" s="28" t="n">
        <x:v>16</x:v>
      </x:c>
      <x:c r="D775" s="47" t="n">
        <x:v>696.009</x:v>
      </x:c>
      <x:c r="E775" s="47" t="n">
        <x:v>149.587</x:v>
      </x:c>
      <x:c r="F775" s="47" t="n">
        <x:v>711.127</x:v>
      </x:c>
      <x:c r="G775" s="47" t="n">
        <x:v>159.195</x:v>
      </x:c>
      <x:c r="H775" s="50" t="n">
        <x:v>0.826575</x:v>
      </x:c>
      <x:c r="I775" s="50" t="n">
        <x:v>0.251272</x:v>
      </x:c>
      <x:c r="J775" s="50" t="n">
        <x:v>0.844529</x:v>
      </x:c>
      <x:c r="K775" s="50" t="n">
        <x:v>0.267411</x:v>
      </x:c>
      <x:c r="L775" s="47" t="n">
        <x:v>842.04</x:v>
      </x:c>
      <x:c r="M775" s="47" t="n">
        <x:v>595.32</x:v>
      </x:c>
      <x:c r="N775" s="28" t="str">
        <x:v>top-left</x:v>
      </x:c>
      <x:c r="O775" s="28" t="str">
        <x:v>PDF points</x:v>
      </x:c>
    </x:row>
    <x:row r="776" ht="22" customHeight="1">
      <x:c r="A776" s="28" t="str">
        <x:v>ANC-SLE-028-01-R17</x:v>
      </x:c>
      <x:c r="B776" s="28" t="str">
        <x:v>ANC-SLE-028-01</x:v>
      </x:c>
      <x:c r="C776" s="28" t="n">
        <x:v>16</x:v>
      </x:c>
      <x:c r="D776" s="47" t="n">
        <x:v>731.892</x:v>
      </x:c>
      <x:c r="E776" s="47" t="n">
        <x:v>149.587</x:v>
      </x:c>
      <x:c r="F776" s="47" t="n">
        <x:v>747.01</x:v>
      </x:c>
      <x:c r="G776" s="47" t="n">
        <x:v>159.195</x:v>
      </x:c>
      <x:c r="H776" s="50" t="n">
        <x:v>0.869189</x:v>
      </x:c>
      <x:c r="I776" s="50" t="n">
        <x:v>0.251272</x:v>
      </x:c>
      <x:c r="J776" s="50" t="n">
        <x:v>0.887143</x:v>
      </x:c>
      <x:c r="K776" s="50" t="n">
        <x:v>0.267411</x:v>
      </x:c>
      <x:c r="L776" s="47" t="n">
        <x:v>842.04</x:v>
      </x:c>
      <x:c r="M776" s="47" t="n">
        <x:v>595.32</x:v>
      </x:c>
      <x:c r="N776" s="28" t="str">
        <x:v>top-left</x:v>
      </x:c>
      <x:c r="O776" s="28" t="str">
        <x:v>PDF points</x:v>
      </x:c>
    </x:row>
    <x:row r="777" ht="22" customHeight="1">
      <x:c r="A777" s="28" t="str">
        <x:v>ANC-SLE-028-01-R18</x:v>
      </x:c>
      <x:c r="B777" s="28" t="str">
        <x:v>ANC-SLE-028-01</x:v>
      </x:c>
      <x:c r="C777" s="28" t="n">
        <x:v>16</x:v>
      </x:c>
      <x:c r="D777" s="47" t="n">
        <x:v>768.016</x:v>
      </x:c>
      <x:c r="E777" s="47" t="n">
        <x:v>149.587</x:v>
      </x:c>
      <x:c r="F777" s="47" t="n">
        <x:v>783.133</x:v>
      </x:c>
      <x:c r="G777" s="47" t="n">
        <x:v>159.195</x:v>
      </x:c>
      <x:c r="H777" s="50" t="n">
        <x:v>0.912089</x:v>
      </x:c>
      <x:c r="I777" s="50" t="n">
        <x:v>0.251272</x:v>
      </x:c>
      <x:c r="J777" s="50" t="n">
        <x:v>0.930043</x:v>
      </x:c>
      <x:c r="K777" s="50" t="n">
        <x:v>0.267411</x:v>
      </x:c>
      <x:c r="L777" s="47" t="n">
        <x:v>842.04</x:v>
      </x:c>
      <x:c r="M777" s="47" t="n">
        <x:v>595.32</x:v>
      </x:c>
      <x:c r="N777" s="28" t="str">
        <x:v>top-left</x:v>
      </x:c>
      <x:c r="O777" s="28" t="str">
        <x:v>PDF points</x:v>
      </x:c>
    </x:row>
    <x:row r="778" ht="22" customHeight="1">
      <x:c r="A778" s="28" t="str">
        <x:v>ANC-SLE-028-01-R19</x:v>
      </x:c>
      <x:c r="B778" s="28" t="str">
        <x:v>ANC-SLE-028-01</x:v>
      </x:c>
      <x:c r="C778" s="28" t="n">
        <x:v>16</x:v>
      </x:c>
      <x:c r="D778" s="47" t="n">
        <x:v>217.32</x:v>
      </x:c>
      <x:c r="E778" s="47" t="n">
        <x:v>164.827</x:v>
      </x:c>
      <x:c r="F778" s="47" t="n">
        <x:v>450.669</x:v>
      </x:c>
      <x:c r="G778" s="47" t="n">
        <x:v>174.435</x:v>
      </x:c>
      <x:c r="H778" s="50" t="n">
        <x:v>0.258088</x:v>
      </x:c>
      <x:c r="I778" s="50" t="n">
        <x:v>0.276872</x:v>
      </x:c>
      <x:c r="J778" s="50" t="n">
        <x:v>0.535211</x:v>
      </x:c>
      <x:c r="K778" s="50" t="n">
        <x:v>0.293011</x:v>
      </x:c>
      <x:c r="L778" s="47" t="n">
        <x:v>842.04</x:v>
      </x:c>
      <x:c r="M778" s="47" t="n">
        <x:v>595.32</x:v>
      </x:c>
      <x:c r="N778" s="28" t="str">
        <x:v>top-left</x:v>
      </x:c>
      <x:c r="O778" s="28" t="str">
        <x:v>PDF points</x:v>
      </x:c>
    </x:row>
    <x:row r="779" ht="22" customHeight="1">
      <x:c r="A779" s="28" t="str">
        <x:v>ANC-SLE-028-01-R20</x:v>
      </x:c>
      <x:c r="B779" s="28" t="str">
        <x:v>ANC-SLE-028-01</x:v>
      </x:c>
      <x:c r="C779" s="28" t="n">
        <x:v>16</x:v>
      </x:c>
      <x:c r="D779" s="47" t="n">
        <x:v>217.32</x:v>
      </x:c>
      <x:c r="E779" s="47" t="n">
        <x:v>173.587</x:v>
      </x:c>
      <x:c r="F779" s="47" t="n">
        <x:v>440.942</x:v>
      </x:c>
      <x:c r="G779" s="47" t="n">
        <x:v>183.195</x:v>
      </x:c>
      <x:c r="H779" s="50" t="n">
        <x:v>0.258088</x:v>
      </x:c>
      <x:c r="I779" s="50" t="n">
        <x:v>0.291587</x:v>
      </x:c>
      <x:c r="J779" s="50" t="n">
        <x:v>0.523659</x:v>
      </x:c>
      <x:c r="K779" s="50" t="n">
        <x:v>0.307725</x:v>
      </x:c>
      <x:c r="L779" s="47" t="n">
        <x:v>842.04</x:v>
      </x:c>
      <x:c r="M779" s="47" t="n">
        <x:v>595.32</x:v>
      </x:c>
      <x:c r="N779" s="28" t="str">
        <x:v>top-left</x:v>
      </x:c>
      <x:c r="O779" s="28" t="str">
        <x:v>PDF points</x:v>
      </x:c>
    </x:row>
    <x:row r="780" ht="22" customHeight="1">
      <x:c r="A780" s="28" t="str">
        <x:v>ANC-SLE-028-01-R21</x:v>
      </x:c>
      <x:c r="B780" s="28" t="str">
        <x:v>ANC-SLE-028-01</x:v>
      </x:c>
      <x:c r="C780" s="28" t="n">
        <x:v>16</x:v>
      </x:c>
      <x:c r="D780" s="47" t="n">
        <x:v>476.28</x:v>
      </x:c>
      <x:c r="E780" s="47" t="n">
        <x:v>172.027</x:v>
      </x:c>
      <x:c r="F780" s="47" t="n">
        <x:v>491.398</x:v>
      </x:c>
      <x:c r="G780" s="47" t="n">
        <x:v>181.635</x:v>
      </x:c>
      <x:c r="H780" s="50" t="n">
        <x:v>0.565626</x:v>
      </x:c>
      <x:c r="I780" s="50" t="n">
        <x:v>0.288966</x:v>
      </x:c>
      <x:c r="J780" s="50" t="n">
        <x:v>0.58358</x:v>
      </x:c>
      <x:c r="K780" s="50" t="n">
        <x:v>0.305105</x:v>
      </x:c>
      <x:c r="L780" s="47" t="n">
        <x:v>842.04</x:v>
      </x:c>
      <x:c r="M780" s="47" t="n">
        <x:v>595.32</x:v>
      </x:c>
      <x:c r="N780" s="28" t="str">
        <x:v>top-left</x:v>
      </x:c>
      <x:c r="O780" s="28" t="str">
        <x:v>PDF points</x:v>
      </x:c>
    </x:row>
    <x:row r="781" ht="22" customHeight="1">
      <x:c r="A781" s="28" t="str">
        <x:v>ANC-SLE-028-01-R22</x:v>
      </x:c>
      <x:c r="B781" s="28" t="str">
        <x:v>ANC-SLE-028-01</x:v>
      </x:c>
      <x:c r="C781" s="28" t="n">
        <x:v>16</x:v>
      </x:c>
      <x:c r="D781" s="47" t="n">
        <x:v>526.924</x:v>
      </x:c>
      <x:c r="E781" s="47" t="n">
        <x:v>172.027</x:v>
      </x:c>
      <x:c r="F781" s="47" t="n">
        <x:v>542.042</x:v>
      </x:c>
      <x:c r="G781" s="47" t="n">
        <x:v>181.635</x:v>
      </x:c>
      <x:c r="H781" s="50" t="n">
        <x:v>0.625771</x:v>
      </x:c>
      <x:c r="I781" s="50" t="n">
        <x:v>0.288966</x:v>
      </x:c>
      <x:c r="J781" s="50" t="n">
        <x:v>0.643724</x:v>
      </x:c>
      <x:c r="K781" s="50" t="n">
        <x:v>0.305105</x:v>
      </x:c>
      <x:c r="L781" s="47" t="n">
        <x:v>842.04</x:v>
      </x:c>
      <x:c r="M781" s="47" t="n">
        <x:v>595.32</x:v>
      </x:c>
      <x:c r="N781" s="28" t="str">
        <x:v>top-left</x:v>
      </x:c>
      <x:c r="O781" s="28" t="str">
        <x:v>PDF points</x:v>
      </x:c>
    </x:row>
    <x:row r="782" ht="22" customHeight="1">
      <x:c r="A782" s="28" t="str">
        <x:v>ANC-SLE-028-01-R23</x:v>
      </x:c>
      <x:c r="B782" s="28" t="str">
        <x:v>ANC-SLE-028-01</x:v>
      </x:c>
      <x:c r="C782" s="28" t="n">
        <x:v>16</x:v>
      </x:c>
      <x:c r="D782" s="47" t="n">
        <x:v>576.482</x:v>
      </x:c>
      <x:c r="E782" s="47" t="n">
        <x:v>172.027</x:v>
      </x:c>
      <x:c r="F782" s="47" t="n">
        <x:v>591.6</x:v>
      </x:c>
      <x:c r="G782" s="47" t="n">
        <x:v>181.635</x:v>
      </x:c>
      <x:c r="H782" s="50" t="n">
        <x:v>0.684626</x:v>
      </x:c>
      <x:c r="I782" s="50" t="n">
        <x:v>0.288966</x:v>
      </x:c>
      <x:c r="J782" s="50" t="n">
        <x:v>0.70258</x:v>
      </x:c>
      <x:c r="K782" s="50" t="n">
        <x:v>0.305105</x:v>
      </x:c>
      <x:c r="L782" s="47" t="n">
        <x:v>842.04</x:v>
      </x:c>
      <x:c r="M782" s="47" t="n">
        <x:v>595.32</x:v>
      </x:c>
      <x:c r="N782" s="28" t="str">
        <x:v>top-left</x:v>
      </x:c>
      <x:c r="O782" s="28" t="str">
        <x:v>PDF points</x:v>
      </x:c>
    </x:row>
    <x:row r="783" ht="22" customHeight="1">
      <x:c r="A783" s="28" t="str">
        <x:v>ANC-SLE-028-01-R24</x:v>
      </x:c>
      <x:c r="B783" s="28" t="str">
        <x:v>ANC-SLE-028-01</x:v>
      </x:c>
      <x:c r="C783" s="28" t="n">
        <x:v>16</x:v>
      </x:c>
      <x:c r="D783" s="47" t="n">
        <x:v>616.92</x:v>
      </x:c>
      <x:c r="E783" s="47" t="n">
        <x:v>172.027</x:v>
      </x:c>
      <x:c r="F783" s="47" t="n">
        <x:v>632.038</x:v>
      </x:c>
      <x:c r="G783" s="47" t="n">
        <x:v>181.635</x:v>
      </x:c>
      <x:c r="H783" s="50" t="n">
        <x:v>0.732649</x:v>
      </x:c>
      <x:c r="I783" s="50" t="n">
        <x:v>0.288966</x:v>
      </x:c>
      <x:c r="J783" s="50" t="n">
        <x:v>0.750603</x:v>
      </x:c>
      <x:c r="K783" s="50" t="n">
        <x:v>0.305105</x:v>
      </x:c>
      <x:c r="L783" s="47" t="n">
        <x:v>842.04</x:v>
      </x:c>
      <x:c r="M783" s="47" t="n">
        <x:v>595.32</x:v>
      </x:c>
      <x:c r="N783" s="28" t="str">
        <x:v>top-left</x:v>
      </x:c>
      <x:c r="O783" s="28" t="str">
        <x:v>PDF points</x:v>
      </x:c>
    </x:row>
    <x:row r="784" ht="22" customHeight="1">
      <x:c r="A784" s="28" t="str">
        <x:v>ANC-SLE-028-01-R25</x:v>
      </x:c>
      <x:c r="B784" s="28" t="str">
        <x:v>ANC-SLE-028-01</x:v>
      </x:c>
      <x:c r="C784" s="28" t="n">
        <x:v>16</x:v>
      </x:c>
      <x:c r="D784" s="47" t="n">
        <x:v>656.52</x:v>
      </x:c>
      <x:c r="E784" s="47" t="n">
        <x:v>172.027</x:v>
      </x:c>
      <x:c r="F784" s="47" t="n">
        <x:v>671.638</x:v>
      </x:c>
      <x:c r="G784" s="47" t="n">
        <x:v>181.635</x:v>
      </x:c>
      <x:c r="H784" s="50" t="n">
        <x:v>0.779678</x:v>
      </x:c>
      <x:c r="I784" s="50" t="n">
        <x:v>0.288966</x:v>
      </x:c>
      <x:c r="J784" s="50" t="n">
        <x:v>0.797632</x:v>
      </x:c>
      <x:c r="K784" s="50" t="n">
        <x:v>0.305105</x:v>
      </x:c>
      <x:c r="L784" s="47" t="n">
        <x:v>842.04</x:v>
      </x:c>
      <x:c r="M784" s="47" t="n">
        <x:v>595.32</x:v>
      </x:c>
      <x:c r="N784" s="28" t="str">
        <x:v>top-left</x:v>
      </x:c>
      <x:c r="O784" s="28" t="str">
        <x:v>PDF points</x:v>
      </x:c>
    </x:row>
    <x:row r="785" ht="22" customHeight="1">
      <x:c r="A785" s="28" t="str">
        <x:v>ANC-SLE-028-01-R26</x:v>
      </x:c>
      <x:c r="B785" s="28" t="str">
        <x:v>ANC-SLE-028-01</x:v>
      </x:c>
      <x:c r="C785" s="28" t="n">
        <x:v>16</x:v>
      </x:c>
      <x:c r="D785" s="47" t="n">
        <x:v>696.004</x:v>
      </x:c>
      <x:c r="E785" s="47" t="n">
        <x:v>172.027</x:v>
      </x:c>
      <x:c r="F785" s="47" t="n">
        <x:v>711.122</x:v>
      </x:c>
      <x:c r="G785" s="47" t="n">
        <x:v>181.635</x:v>
      </x:c>
      <x:c r="H785" s="50" t="n">
        <x:v>0.826569</x:v>
      </x:c>
      <x:c r="I785" s="50" t="n">
        <x:v>0.288966</x:v>
      </x:c>
      <x:c r="J785" s="50" t="n">
        <x:v>0.844523</x:v>
      </x:c>
      <x:c r="K785" s="50" t="n">
        <x:v>0.305105</x:v>
      </x:c>
      <x:c r="L785" s="47" t="n">
        <x:v>842.04</x:v>
      </x:c>
      <x:c r="M785" s="47" t="n">
        <x:v>595.32</x:v>
      </x:c>
      <x:c r="N785" s="28" t="str">
        <x:v>top-left</x:v>
      </x:c>
      <x:c r="O785" s="28" t="str">
        <x:v>PDF points</x:v>
      </x:c>
    </x:row>
    <x:row r="786" ht="22" customHeight="1">
      <x:c r="A786" s="28" t="str">
        <x:v>ANC-SLE-028-01-R27</x:v>
      </x:c>
      <x:c r="B786" s="28" t="str">
        <x:v>ANC-SLE-028-01</x:v>
      </x:c>
      <x:c r="C786" s="28" t="n">
        <x:v>16</x:v>
      </x:c>
      <x:c r="D786" s="47" t="n">
        <x:v>731.887</x:v>
      </x:c>
      <x:c r="E786" s="47" t="n">
        <x:v>172.027</x:v>
      </x:c>
      <x:c r="F786" s="47" t="n">
        <x:v>747.005</x:v>
      </x:c>
      <x:c r="G786" s="47" t="n">
        <x:v>181.635</x:v>
      </x:c>
      <x:c r="H786" s="50" t="n">
        <x:v>0.869183</x:v>
      </x:c>
      <x:c r="I786" s="50" t="n">
        <x:v>0.288966</x:v>
      </x:c>
      <x:c r="J786" s="50" t="n">
        <x:v>0.887137</x:v>
      </x:c>
      <x:c r="K786" s="50" t="n">
        <x:v>0.305105</x:v>
      </x:c>
      <x:c r="L786" s="47" t="n">
        <x:v>842.04</x:v>
      </x:c>
      <x:c r="M786" s="47" t="n">
        <x:v>595.32</x:v>
      </x:c>
      <x:c r="N786" s="28" t="str">
        <x:v>top-left</x:v>
      </x:c>
      <x:c r="O786" s="28" t="str">
        <x:v>PDF points</x:v>
      </x:c>
    </x:row>
    <x:row r="787" ht="22" customHeight="1">
      <x:c r="A787" s="28" t="str">
        <x:v>ANC-SLE-028-01-R28</x:v>
      </x:c>
      <x:c r="B787" s="28" t="str">
        <x:v>ANC-SLE-028-01</x:v>
      </x:c>
      <x:c r="C787" s="28" t="n">
        <x:v>16</x:v>
      </x:c>
      <x:c r="D787" s="47" t="n">
        <x:v>768.011</x:v>
      </x:c>
      <x:c r="E787" s="47" t="n">
        <x:v>172.027</x:v>
      </x:c>
      <x:c r="F787" s="47" t="n">
        <x:v>783.128</x:v>
      </x:c>
      <x:c r="G787" s="47" t="n">
        <x:v>181.635</x:v>
      </x:c>
      <x:c r="H787" s="50" t="n">
        <x:v>0.912083</x:v>
      </x:c>
      <x:c r="I787" s="50" t="n">
        <x:v>0.288966</x:v>
      </x:c>
      <x:c r="J787" s="50" t="n">
        <x:v>0.930037</x:v>
      </x:c>
      <x:c r="K787" s="50" t="n">
        <x:v>0.305105</x:v>
      </x:c>
      <x:c r="L787" s="47" t="n">
        <x:v>842.04</x:v>
      </x:c>
      <x:c r="M787" s="47" t="n">
        <x:v>595.32</x:v>
      </x:c>
      <x:c r="N787" s="28" t="str">
        <x:v>top-left</x:v>
      </x:c>
      <x:c r="O787" s="28" t="str">
        <x:v>PDF points</x:v>
      </x:c>
    </x:row>
    <x:row r="788" ht="22" customHeight="1">
      <x:c r="A788" s="28" t="str">
        <x:v>ANC-SLE-028-01-R29</x:v>
      </x:c>
      <x:c r="B788" s="28" t="str">
        <x:v>ANC-SLE-028-01</x:v>
      </x:c>
      <x:c r="C788" s="28" t="n">
        <x:v>16</x:v>
      </x:c>
      <x:c r="D788" s="47" t="n">
        <x:v>217.32</x:v>
      </x:c>
      <x:c r="E788" s="47" t="n">
        <x:v>188.467</x:v>
      </x:c>
      <x:c r="F788" s="47" t="n">
        <x:v>327.763</x:v>
      </x:c>
      <x:c r="G788" s="47" t="n">
        <x:v>198.075</x:v>
      </x:c>
      <x:c r="H788" s="50" t="n">
        <x:v>0.258088</x:v>
      </x:c>
      <x:c r="I788" s="50" t="n">
        <x:v>0.316582</x:v>
      </x:c>
      <x:c r="J788" s="50" t="n">
        <x:v>0.389249</x:v>
      </x:c>
      <x:c r="K788" s="50" t="n">
        <x:v>0.33272</x:v>
      </x:c>
      <x:c r="L788" s="47" t="n">
        <x:v>842.04</x:v>
      </x:c>
      <x:c r="M788" s="47" t="n">
        <x:v>595.32</x:v>
      </x:c>
      <x:c r="N788" s="28" t="str">
        <x:v>top-left</x:v>
      </x:c>
      <x:c r="O788" s="28" t="str">
        <x:v>PDF points</x:v>
      </x:c>
    </x:row>
    <x:row r="789" ht="22" customHeight="1">
      <x:c r="A789" s="28" t="str">
        <x:v>ANC-SLE-028-01-R30</x:v>
      </x:c>
      <x:c r="B789" s="28" t="str">
        <x:v>ANC-SLE-028-01</x:v>
      </x:c>
      <x:c r="C789" s="28" t="n">
        <x:v>16</x:v>
      </x:c>
      <x:c r="D789" s="47" t="n">
        <x:v>476.28</x:v>
      </x:c>
      <x:c r="E789" s="47" t="n">
        <x:v>191.227</x:v>
      </x:c>
      <x:c r="F789" s="47" t="n">
        <x:v>491.398</x:v>
      </x:c>
      <x:c r="G789" s="47" t="n">
        <x:v>200.835</x:v>
      </x:c>
      <x:c r="H789" s="50" t="n">
        <x:v>0.565626</x:v>
      </x:c>
      <x:c r="I789" s="50" t="n">
        <x:v>0.321218</x:v>
      </x:c>
      <x:c r="J789" s="50" t="n">
        <x:v>0.58358</x:v>
      </x:c>
      <x:c r="K789" s="50" t="n">
        <x:v>0.337357</x:v>
      </x:c>
      <x:c r="L789" s="47" t="n">
        <x:v>842.04</x:v>
      </x:c>
      <x:c r="M789" s="47" t="n">
        <x:v>595.32</x:v>
      </x:c>
      <x:c r="N789" s="28" t="str">
        <x:v>top-left</x:v>
      </x:c>
      <x:c r="O789" s="28" t="str">
        <x:v>PDF points</x:v>
      </x:c>
    </x:row>
    <x:row r="790" ht="22" customHeight="1">
      <x:c r="A790" s="28" t="str">
        <x:v>ANC-SLE-028-01-R31</x:v>
      </x:c>
      <x:c r="B790" s="28" t="str">
        <x:v>ANC-SLE-028-01</x:v>
      </x:c>
      <x:c r="C790" s="28" t="n">
        <x:v>16</x:v>
      </x:c>
      <x:c r="D790" s="47" t="n">
        <x:v>526.924</x:v>
      </x:c>
      <x:c r="E790" s="47" t="n">
        <x:v>191.227</x:v>
      </x:c>
      <x:c r="F790" s="47" t="n">
        <x:v>542.042</x:v>
      </x:c>
      <x:c r="G790" s="47" t="n">
        <x:v>200.835</x:v>
      </x:c>
      <x:c r="H790" s="50" t="n">
        <x:v>0.625771</x:v>
      </x:c>
      <x:c r="I790" s="50" t="n">
        <x:v>0.321218</x:v>
      </x:c>
      <x:c r="J790" s="50" t="n">
        <x:v>0.643724</x:v>
      </x:c>
      <x:c r="K790" s="50" t="n">
        <x:v>0.337357</x:v>
      </x:c>
      <x:c r="L790" s="47" t="n">
        <x:v>842.04</x:v>
      </x:c>
      <x:c r="M790" s="47" t="n">
        <x:v>595.32</x:v>
      </x:c>
      <x:c r="N790" s="28" t="str">
        <x:v>top-left</x:v>
      </x:c>
      <x:c r="O790" s="28" t="str">
        <x:v>PDF points</x:v>
      </x:c>
    </x:row>
    <x:row r="791" ht="22" customHeight="1">
      <x:c r="A791" s="28" t="str">
        <x:v>ANC-SLE-028-01-R32</x:v>
      </x:c>
      <x:c r="B791" s="28" t="str">
        <x:v>ANC-SLE-028-01</x:v>
      </x:c>
      <x:c r="C791" s="28" t="n">
        <x:v>16</x:v>
      </x:c>
      <x:c r="D791" s="47" t="n">
        <x:v>576.482</x:v>
      </x:c>
      <x:c r="E791" s="47" t="n">
        <x:v>191.227</x:v>
      </x:c>
      <x:c r="F791" s="47" t="n">
        <x:v>591.6</x:v>
      </x:c>
      <x:c r="G791" s="47" t="n">
        <x:v>200.835</x:v>
      </x:c>
      <x:c r="H791" s="50" t="n">
        <x:v>0.684626</x:v>
      </x:c>
      <x:c r="I791" s="50" t="n">
        <x:v>0.321218</x:v>
      </x:c>
      <x:c r="J791" s="50" t="n">
        <x:v>0.70258</x:v>
      </x:c>
      <x:c r="K791" s="50" t="n">
        <x:v>0.337357</x:v>
      </x:c>
      <x:c r="L791" s="47" t="n">
        <x:v>842.04</x:v>
      </x:c>
      <x:c r="M791" s="47" t="n">
        <x:v>595.32</x:v>
      </x:c>
      <x:c r="N791" s="28" t="str">
        <x:v>top-left</x:v>
      </x:c>
      <x:c r="O791" s="28" t="str">
        <x:v>PDF points</x:v>
      </x:c>
    </x:row>
    <x:row r="792" ht="22" customHeight="1">
      <x:c r="A792" s="28" t="str">
        <x:v>ANC-SLE-028-01-R33</x:v>
      </x:c>
      <x:c r="B792" s="28" t="str">
        <x:v>ANC-SLE-028-01</x:v>
      </x:c>
      <x:c r="C792" s="28" t="n">
        <x:v>16</x:v>
      </x:c>
      <x:c r="D792" s="47" t="n">
        <x:v>616.92</x:v>
      </x:c>
      <x:c r="E792" s="47" t="n">
        <x:v>191.227</x:v>
      </x:c>
      <x:c r="F792" s="47" t="n">
        <x:v>632.038</x:v>
      </x:c>
      <x:c r="G792" s="47" t="n">
        <x:v>200.835</x:v>
      </x:c>
      <x:c r="H792" s="50" t="n">
        <x:v>0.732649</x:v>
      </x:c>
      <x:c r="I792" s="50" t="n">
        <x:v>0.321218</x:v>
      </x:c>
      <x:c r="J792" s="50" t="n">
        <x:v>0.750603</x:v>
      </x:c>
      <x:c r="K792" s="50" t="n">
        <x:v>0.337357</x:v>
      </x:c>
      <x:c r="L792" s="47" t="n">
        <x:v>842.04</x:v>
      </x:c>
      <x:c r="M792" s="47" t="n">
        <x:v>595.32</x:v>
      </x:c>
      <x:c r="N792" s="28" t="str">
        <x:v>top-left</x:v>
      </x:c>
      <x:c r="O792" s="28" t="str">
        <x:v>PDF points</x:v>
      </x:c>
    </x:row>
    <x:row r="793" ht="22" customHeight="1">
      <x:c r="A793" s="28" t="str">
        <x:v>ANC-SLE-028-01-R34</x:v>
      </x:c>
      <x:c r="B793" s="28" t="str">
        <x:v>ANC-SLE-028-01</x:v>
      </x:c>
      <x:c r="C793" s="28" t="n">
        <x:v>16</x:v>
      </x:c>
      <x:c r="D793" s="47" t="n">
        <x:v>656.52</x:v>
      </x:c>
      <x:c r="E793" s="47" t="n">
        <x:v>191.227</x:v>
      </x:c>
      <x:c r="F793" s="47" t="n">
        <x:v>671.638</x:v>
      </x:c>
      <x:c r="G793" s="47" t="n">
        <x:v>200.835</x:v>
      </x:c>
      <x:c r="H793" s="50" t="n">
        <x:v>0.779678</x:v>
      </x:c>
      <x:c r="I793" s="50" t="n">
        <x:v>0.321218</x:v>
      </x:c>
      <x:c r="J793" s="50" t="n">
        <x:v>0.797632</x:v>
      </x:c>
      <x:c r="K793" s="50" t="n">
        <x:v>0.337357</x:v>
      </x:c>
      <x:c r="L793" s="47" t="n">
        <x:v>842.04</x:v>
      </x:c>
      <x:c r="M793" s="47" t="n">
        <x:v>595.32</x:v>
      </x:c>
      <x:c r="N793" s="28" t="str">
        <x:v>top-left</x:v>
      </x:c>
      <x:c r="O793" s="28" t="str">
        <x:v>PDF points</x:v>
      </x:c>
    </x:row>
    <x:row r="794" ht="22" customHeight="1">
      <x:c r="A794" s="28" t="str">
        <x:v>ANC-SLE-028-01-R35</x:v>
      </x:c>
      <x:c r="B794" s="28" t="str">
        <x:v>ANC-SLE-028-01</x:v>
      </x:c>
      <x:c r="C794" s="28" t="n">
        <x:v>16</x:v>
      </x:c>
      <x:c r="D794" s="47" t="n">
        <x:v>696</x:v>
      </x:c>
      <x:c r="E794" s="47" t="n">
        <x:v>191.227</x:v>
      </x:c>
      <x:c r="F794" s="47" t="n">
        <x:v>711.118</x:v>
      </x:c>
      <x:c r="G794" s="47" t="n">
        <x:v>200.835</x:v>
      </x:c>
      <x:c r="H794" s="50" t="n">
        <x:v>0.826564</x:v>
      </x:c>
      <x:c r="I794" s="50" t="n">
        <x:v>0.321218</x:v>
      </x:c>
      <x:c r="J794" s="50" t="n">
        <x:v>0.844518</x:v>
      </x:c>
      <x:c r="K794" s="50" t="n">
        <x:v>0.337357</x:v>
      </x:c>
      <x:c r="L794" s="47" t="n">
        <x:v>842.04</x:v>
      </x:c>
      <x:c r="M794" s="47" t="n">
        <x:v>595.32</x:v>
      </x:c>
      <x:c r="N794" s="28" t="str">
        <x:v>top-left</x:v>
      </x:c>
      <x:c r="O794" s="28" t="str">
        <x:v>PDF points</x:v>
      </x:c>
    </x:row>
    <x:row r="795" ht="22" customHeight="1">
      <x:c r="A795" s="28" t="str">
        <x:v>ANC-SLE-028-01-R36</x:v>
      </x:c>
      <x:c r="B795" s="28" t="str">
        <x:v>ANC-SLE-028-01</x:v>
      </x:c>
      <x:c r="C795" s="28" t="n">
        <x:v>16</x:v>
      </x:c>
      <x:c r="D795" s="47" t="n">
        <x:v>731.88</x:v>
      </x:c>
      <x:c r="E795" s="47" t="n">
        <x:v>191.227</x:v>
      </x:c>
      <x:c r="F795" s="47" t="n">
        <x:v>746.998</x:v>
      </x:c>
      <x:c r="G795" s="47" t="n">
        <x:v>200.835</x:v>
      </x:c>
      <x:c r="H795" s="50" t="n">
        <x:v>0.869175</x:v>
      </x:c>
      <x:c r="I795" s="50" t="n">
        <x:v>0.321218</x:v>
      </x:c>
      <x:c r="J795" s="50" t="n">
        <x:v>0.887129</x:v>
      </x:c>
      <x:c r="K795" s="50" t="n">
        <x:v>0.337357</x:v>
      </x:c>
      <x:c r="L795" s="47" t="n">
        <x:v>842.04</x:v>
      </x:c>
      <x:c r="M795" s="47" t="n">
        <x:v>595.32</x:v>
      </x:c>
      <x:c r="N795" s="28" t="str">
        <x:v>top-left</x:v>
      </x:c>
      <x:c r="O795" s="28" t="str">
        <x:v>PDF points</x:v>
      </x:c>
    </x:row>
    <x:row r="796" ht="22" customHeight="1">
      <x:c r="A796" s="28" t="str">
        <x:v>ANC-SLE-028-01-R37</x:v>
      </x:c>
      <x:c r="B796" s="28" t="str">
        <x:v>ANC-SLE-028-01</x:v>
      </x:c>
      <x:c r="C796" s="28" t="n">
        <x:v>16</x:v>
      </x:c>
      <x:c r="D796" s="47" t="n">
        <x:v>768</x:v>
      </x:c>
      <x:c r="E796" s="47" t="n">
        <x:v>191.227</x:v>
      </x:c>
      <x:c r="F796" s="47" t="n">
        <x:v>783.118</x:v>
      </x:c>
      <x:c r="G796" s="47" t="n">
        <x:v>200.835</x:v>
      </x:c>
      <x:c r="H796" s="50" t="n">
        <x:v>0.912071</x:v>
      </x:c>
      <x:c r="I796" s="50" t="n">
        <x:v>0.321218</x:v>
      </x:c>
      <x:c r="J796" s="50" t="n">
        <x:v>0.930024</x:v>
      </x:c>
      <x:c r="K796" s="50" t="n">
        <x:v>0.337357</x:v>
      </x:c>
      <x:c r="L796" s="47" t="n">
        <x:v>842.04</x:v>
      </x:c>
      <x:c r="M796" s="47" t="n">
        <x:v>595.32</x:v>
      </x:c>
      <x:c r="N796" s="28" t="str">
        <x:v>top-left</x:v>
      </x:c>
      <x:c r="O796" s="28" t="str">
        <x:v>PDF points</x:v>
      </x:c>
    </x:row>
    <x:row r="797" ht="22" customHeight="1">
      <x:c r="A797" s="28" t="str">
        <x:v>ANC-SLE-028-01-R38</x:v>
      </x:c>
      <x:c r="B797" s="28" t="str">
        <x:v>ANC-SLE-028-01</x:v>
      </x:c>
      <x:c r="C797" s="28" t="n">
        <x:v>16</x:v>
      </x:c>
      <x:c r="D797" s="47" t="n">
        <x:v>122.88</x:v>
      </x:c>
      <x:c r="E797" s="47" t="n">
        <x:v>203.227</x:v>
      </x:c>
      <x:c r="F797" s="47" t="n">
        <x:v>199.402</x:v>
      </x:c>
      <x:c r="G797" s="47" t="n">
        <x:v>212.835</x:v>
      </x:c>
      <x:c r="H797" s="50" t="n">
        <x:v>0.145931</x:v>
      </x:c>
      <x:c r="I797" s="50" t="n">
        <x:v>0.341375</x:v>
      </x:c>
      <x:c r="J797" s="50" t="n">
        <x:v>0.236809</x:v>
      </x:c>
      <x:c r="K797" s="50" t="n">
        <x:v>0.357514</x:v>
      </x:c>
      <x:c r="L797" s="47" t="n">
        <x:v>842.04</x:v>
      </x:c>
      <x:c r="M797" s="47" t="n">
        <x:v>595.32</x:v>
      </x:c>
      <x:c r="N797" s="28" t="str">
        <x:v>top-left</x:v>
      </x:c>
      <x:c r="O797" s="28" t="str">
        <x:v>PDF points</x:v>
      </x:c>
    </x:row>
    <x:row r="798" ht="22" customHeight="1">
      <x:c r="A798" s="28" t="str">
        <x:v>ANC-SLE-028-01-R39</x:v>
      </x:c>
      <x:c r="B798" s="28" t="str">
        <x:v>ANC-SLE-028-01</x:v>
      </x:c>
      <x:c r="C798" s="28" t="n">
        <x:v>16</x:v>
      </x:c>
      <x:c r="D798" s="47" t="n">
        <x:v>217.32</x:v>
      </x:c>
      <x:c r="E798" s="47" t="n">
        <x:v>203.227</x:v>
      </x:c>
      <x:c r="F798" s="47" t="n">
        <x:v>283.406</x:v>
      </x:c>
      <x:c r="G798" s="47" t="n">
        <x:v>212.835</x:v>
      </x:c>
      <x:c r="H798" s="50" t="n">
        <x:v>0.258088</x:v>
      </x:c>
      <x:c r="I798" s="50" t="n">
        <x:v>0.341375</x:v>
      </x:c>
      <x:c r="J798" s="50" t="n">
        <x:v>0.33657</x:v>
      </x:c>
      <x:c r="K798" s="50" t="n">
        <x:v>0.357514</x:v>
      </x:c>
      <x:c r="L798" s="47" t="n">
        <x:v>842.04</x:v>
      </x:c>
      <x:c r="M798" s="47" t="n">
        <x:v>595.32</x:v>
      </x:c>
      <x:c r="N798" s="28" t="str">
        <x:v>top-left</x:v>
      </x:c>
      <x:c r="O798" s="28" t="str">
        <x:v>PDF points</x:v>
      </x:c>
    </x:row>
    <x:row r="799" ht="22" customHeight="1">
      <x:c r="A799" s="28" t="str">
        <x:v>ANC-SLE-029-01-R01</x:v>
      </x:c>
      <x:c r="B799" s="28" t="str">
        <x:v>ANC-SLE-029-01</x:v>
      </x:c>
      <x:c r="C799" s="28" t="n">
        <x:v>16</x:v>
      </x:c>
      <x:c r="D799" s="47" t="n">
        <x:v>696.004</x:v>
      </x:c>
      <x:c r="E799" s="47" t="n">
        <x:v>132.187</x:v>
      </x:c>
      <x:c r="F799" s="47" t="n">
        <x:v>711.122</x:v>
      </x:c>
      <x:c r="G799" s="47" t="n">
        <x:v>141.795</x:v>
      </x:c>
      <x:c r="H799" s="50" t="n">
        <x:v>0.826569</x:v>
      </x:c>
      <x:c r="I799" s="50" t="n">
        <x:v>0.222044</x:v>
      </x:c>
      <x:c r="J799" s="50" t="n">
        <x:v>0.844523</x:v>
      </x:c>
      <x:c r="K799" s="50" t="n">
        <x:v>0.238183</x:v>
      </x:c>
      <x:c r="L799" s="47" t="n">
        <x:v>842.04</x:v>
      </x:c>
      <x:c r="M799" s="47" t="n">
        <x:v>595.32</x:v>
      </x:c>
      <x:c r="N799" s="28" t="str">
        <x:v>top-left</x:v>
      </x:c>
      <x:c r="O799" s="28" t="str">
        <x:v>PDF points</x:v>
      </x:c>
    </x:row>
    <x:row r="800" ht="22" customHeight="1">
      <x:c r="A800" s="28" t="str">
        <x:v>ANC-SLE-029-01-R02</x:v>
      </x:c>
      <x:c r="B800" s="28" t="str">
        <x:v>ANC-SLE-029-01</x:v>
      </x:c>
      <x:c r="C800" s="28" t="n">
        <x:v>16</x:v>
      </x:c>
      <x:c r="D800" s="47" t="n">
        <x:v>731.887</x:v>
      </x:c>
      <x:c r="E800" s="47" t="n">
        <x:v>132.187</x:v>
      </x:c>
      <x:c r="F800" s="47" t="n">
        <x:v>747.005</x:v>
      </x:c>
      <x:c r="G800" s="47" t="n">
        <x:v>141.795</x:v>
      </x:c>
      <x:c r="H800" s="50" t="n">
        <x:v>0.869183</x:v>
      </x:c>
      <x:c r="I800" s="50" t="n">
        <x:v>0.222044</x:v>
      </x:c>
      <x:c r="J800" s="50" t="n">
        <x:v>0.887137</x:v>
      </x:c>
      <x:c r="K800" s="50" t="n">
        <x:v>0.238183</x:v>
      </x:c>
      <x:c r="L800" s="47" t="n">
        <x:v>842.04</x:v>
      </x:c>
      <x:c r="M800" s="47" t="n">
        <x:v>595.32</x:v>
      </x:c>
      <x:c r="N800" s="28" t="str">
        <x:v>top-left</x:v>
      </x:c>
      <x:c r="O800" s="28" t="str">
        <x:v>PDF points</x:v>
      </x:c>
    </x:row>
    <x:row r="801" ht="22" customHeight="1">
      <x:c r="A801" s="28" t="str">
        <x:v>ANC-SLE-029-01-R03</x:v>
      </x:c>
      <x:c r="B801" s="28" t="str">
        <x:v>ANC-SLE-029-01</x:v>
      </x:c>
      <x:c r="C801" s="28" t="n">
        <x:v>16</x:v>
      </x:c>
      <x:c r="D801" s="47" t="n">
        <x:v>768.011</x:v>
      </x:c>
      <x:c r="E801" s="47" t="n">
        <x:v>132.187</x:v>
      </x:c>
      <x:c r="F801" s="47" t="n">
        <x:v>783.128</x:v>
      </x:c>
      <x:c r="G801" s="47" t="n">
        <x:v>141.795</x:v>
      </x:c>
      <x:c r="H801" s="50" t="n">
        <x:v>0.912083</x:v>
      </x:c>
      <x:c r="I801" s="50" t="n">
        <x:v>0.222044</x:v>
      </x:c>
      <x:c r="J801" s="50" t="n">
        <x:v>0.930037</x:v>
      </x:c>
      <x:c r="K801" s="50" t="n">
        <x:v>0.238183</x:v>
      </x:c>
      <x:c r="L801" s="47" t="n">
        <x:v>842.04</x:v>
      </x:c>
      <x:c r="M801" s="47" t="n">
        <x:v>595.32</x:v>
      </x:c>
      <x:c r="N801" s="28" t="str">
        <x:v>top-left</x:v>
      </x:c>
      <x:c r="O801" s="28" t="str">
        <x:v>PDF points</x:v>
      </x:c>
    </x:row>
    <x:row r="802" ht="22" customHeight="1">
      <x:c r="A802" s="28" t="str">
        <x:v>ANC-SLE-029-01-R04</x:v>
      </x:c>
      <x:c r="B802" s="28" t="str">
        <x:v>ANC-SLE-029-01</x:v>
      </x:c>
      <x:c r="C802" s="28" t="n">
        <x:v>16</x:v>
      </x:c>
      <x:c r="D802" s="47" t="n">
        <x:v>217.32</x:v>
      </x:c>
      <x:c r="E802" s="47" t="n">
        <x:v>143.707</x:v>
      </x:c>
      <x:c r="F802" s="47" t="n">
        <x:v>427.197</x:v>
      </x:c>
      <x:c r="G802" s="47" t="n">
        <x:v>153.315</x:v>
      </x:c>
      <x:c r="H802" s="50" t="n">
        <x:v>0.258088</x:v>
      </x:c>
      <x:c r="I802" s="50" t="n">
        <x:v>0.241395</x:v>
      </x:c>
      <x:c r="J802" s="50" t="n">
        <x:v>0.507336</x:v>
      </x:c>
      <x:c r="K802" s="50" t="n">
        <x:v>0.257534</x:v>
      </x:c>
      <x:c r="L802" s="47" t="n">
        <x:v>842.04</x:v>
      </x:c>
      <x:c r="M802" s="47" t="n">
        <x:v>595.32</x:v>
      </x:c>
      <x:c r="N802" s="28" t="str">
        <x:v>top-left</x:v>
      </x:c>
      <x:c r="O802" s="28" t="str">
        <x:v>PDF points</x:v>
      </x:c>
    </x:row>
    <x:row r="803" ht="22" customHeight="1">
      <x:c r="A803" s="28" t="str">
        <x:v>ANC-SLE-029-01-R05</x:v>
      </x:c>
      <x:c r="B803" s="28" t="str">
        <x:v>ANC-SLE-029-01</x:v>
      </x:c>
      <x:c r="C803" s="28" t="n">
        <x:v>16</x:v>
      </x:c>
      <x:c r="D803" s="47" t="n">
        <x:v>476.28</x:v>
      </x:c>
      <x:c r="E803" s="47" t="n">
        <x:v>149.587</x:v>
      </x:c>
      <x:c r="F803" s="47" t="n">
        <x:v>491.398</x:v>
      </x:c>
      <x:c r="G803" s="47" t="n">
        <x:v>159.195</x:v>
      </x:c>
      <x:c r="H803" s="50" t="n">
        <x:v>0.565626</x:v>
      </x:c>
      <x:c r="I803" s="50" t="n">
        <x:v>0.251272</x:v>
      </x:c>
      <x:c r="J803" s="50" t="n">
        <x:v>0.58358</x:v>
      </x:c>
      <x:c r="K803" s="50" t="n">
        <x:v>0.267411</x:v>
      </x:c>
      <x:c r="L803" s="47" t="n">
        <x:v>842.04</x:v>
      </x:c>
      <x:c r="M803" s="47" t="n">
        <x:v>595.32</x:v>
      </x:c>
      <x:c r="N803" s="28" t="str">
        <x:v>top-left</x:v>
      </x:c>
      <x:c r="O803" s="28" t="str">
        <x:v>PDF points</x:v>
      </x:c>
    </x:row>
    <x:row r="804" ht="22" customHeight="1">
      <x:c r="A804" s="28" t="str">
        <x:v>ANC-SLE-029-01-R06</x:v>
      </x:c>
      <x:c r="B804" s="28" t="str">
        <x:v>ANC-SLE-029-01</x:v>
      </x:c>
      <x:c r="C804" s="28" t="n">
        <x:v>16</x:v>
      </x:c>
      <x:c r="D804" s="47" t="n">
        <x:v>526.924</x:v>
      </x:c>
      <x:c r="E804" s="47" t="n">
        <x:v>149.587</x:v>
      </x:c>
      <x:c r="F804" s="47" t="n">
        <x:v>542.042</x:v>
      </x:c>
      <x:c r="G804" s="47" t="n">
        <x:v>159.195</x:v>
      </x:c>
      <x:c r="H804" s="50" t="n">
        <x:v>0.625771</x:v>
      </x:c>
      <x:c r="I804" s="50" t="n">
        <x:v>0.251272</x:v>
      </x:c>
      <x:c r="J804" s="50" t="n">
        <x:v>0.643724</x:v>
      </x:c>
      <x:c r="K804" s="50" t="n">
        <x:v>0.267411</x:v>
      </x:c>
      <x:c r="L804" s="47" t="n">
        <x:v>842.04</x:v>
      </x:c>
      <x:c r="M804" s="47" t="n">
        <x:v>595.32</x:v>
      </x:c>
      <x:c r="N804" s="28" t="str">
        <x:v>top-left</x:v>
      </x:c>
      <x:c r="O804" s="28" t="str">
        <x:v>PDF points</x:v>
      </x:c>
    </x:row>
    <x:row r="805" ht="22" customHeight="1">
      <x:c r="A805" s="28" t="str">
        <x:v>ANC-SLE-029-01-R07</x:v>
      </x:c>
      <x:c r="B805" s="28" t="str">
        <x:v>ANC-SLE-029-01</x:v>
      </x:c>
      <x:c r="C805" s="28" t="n">
        <x:v>16</x:v>
      </x:c>
      <x:c r="D805" s="47" t="n">
        <x:v>576.482</x:v>
      </x:c>
      <x:c r="E805" s="47" t="n">
        <x:v>149.587</x:v>
      </x:c>
      <x:c r="F805" s="47" t="n">
        <x:v>591.6</x:v>
      </x:c>
      <x:c r="G805" s="47" t="n">
        <x:v>159.195</x:v>
      </x:c>
      <x:c r="H805" s="50" t="n">
        <x:v>0.684626</x:v>
      </x:c>
      <x:c r="I805" s="50" t="n">
        <x:v>0.251272</x:v>
      </x:c>
      <x:c r="J805" s="50" t="n">
        <x:v>0.70258</x:v>
      </x:c>
      <x:c r="K805" s="50" t="n">
        <x:v>0.267411</x:v>
      </x:c>
      <x:c r="L805" s="47" t="n">
        <x:v>842.04</x:v>
      </x:c>
      <x:c r="M805" s="47" t="n">
        <x:v>595.32</x:v>
      </x:c>
      <x:c r="N805" s="28" t="str">
        <x:v>top-left</x:v>
      </x:c>
      <x:c r="O805" s="28" t="str">
        <x:v>PDF points</x:v>
      </x:c>
    </x:row>
    <x:row r="806" ht="22" customHeight="1">
      <x:c r="A806" s="28" t="str">
        <x:v>ANC-SLE-029-01-R08</x:v>
      </x:c>
      <x:c r="B806" s="28" t="str">
        <x:v>ANC-SLE-029-01</x:v>
      </x:c>
      <x:c r="C806" s="28" t="n">
        <x:v>16</x:v>
      </x:c>
      <x:c r="D806" s="47" t="n">
        <x:v>616.92</x:v>
      </x:c>
      <x:c r="E806" s="47" t="n">
        <x:v>149.587</x:v>
      </x:c>
      <x:c r="F806" s="47" t="n">
        <x:v>632.038</x:v>
      </x:c>
      <x:c r="G806" s="47" t="n">
        <x:v>159.195</x:v>
      </x:c>
      <x:c r="H806" s="50" t="n">
        <x:v>0.732649</x:v>
      </x:c>
      <x:c r="I806" s="50" t="n">
        <x:v>0.251272</x:v>
      </x:c>
      <x:c r="J806" s="50" t="n">
        <x:v>0.750603</x:v>
      </x:c>
      <x:c r="K806" s="50" t="n">
        <x:v>0.267411</x:v>
      </x:c>
      <x:c r="L806" s="47" t="n">
        <x:v>842.04</x:v>
      </x:c>
      <x:c r="M806" s="47" t="n">
        <x:v>595.32</x:v>
      </x:c>
      <x:c r="N806" s="28" t="str">
        <x:v>top-left</x:v>
      </x:c>
      <x:c r="O806" s="28" t="str">
        <x:v>PDF points</x:v>
      </x:c>
    </x:row>
    <x:row r="807" ht="22" customHeight="1">
      <x:c r="A807" s="28" t="str">
        <x:v>ANC-SLE-029-01-R09</x:v>
      </x:c>
      <x:c r="B807" s="28" t="str">
        <x:v>ANC-SLE-029-01</x:v>
      </x:c>
      <x:c r="C807" s="28" t="n">
        <x:v>16</x:v>
      </x:c>
      <x:c r="D807" s="47" t="n">
        <x:v>656.525</x:v>
      </x:c>
      <x:c r="E807" s="47" t="n">
        <x:v>149.587</x:v>
      </x:c>
      <x:c r="F807" s="47" t="n">
        <x:v>671.643</x:v>
      </x:c>
      <x:c r="G807" s="47" t="n">
        <x:v>159.195</x:v>
      </x:c>
      <x:c r="H807" s="50" t="n">
        <x:v>0.779684</x:v>
      </x:c>
      <x:c r="I807" s="50" t="n">
        <x:v>0.251272</x:v>
      </x:c>
      <x:c r="J807" s="50" t="n">
        <x:v>0.797638</x:v>
      </x:c>
      <x:c r="K807" s="50" t="n">
        <x:v>0.267411</x:v>
      </x:c>
      <x:c r="L807" s="47" t="n">
        <x:v>842.04</x:v>
      </x:c>
      <x:c r="M807" s="47" t="n">
        <x:v>595.32</x:v>
      </x:c>
      <x:c r="N807" s="28" t="str">
        <x:v>top-left</x:v>
      </x:c>
      <x:c r="O807" s="28" t="str">
        <x:v>PDF points</x:v>
      </x:c>
    </x:row>
    <x:row r="808" ht="22" customHeight="1">
      <x:c r="A808" s="28" t="str">
        <x:v>ANC-SLE-029-01-R10</x:v>
      </x:c>
      <x:c r="B808" s="28" t="str">
        <x:v>ANC-SLE-029-01</x:v>
      </x:c>
      <x:c r="C808" s="28" t="n">
        <x:v>16</x:v>
      </x:c>
      <x:c r="D808" s="47" t="n">
        <x:v>696.009</x:v>
      </x:c>
      <x:c r="E808" s="47" t="n">
        <x:v>149.587</x:v>
      </x:c>
      <x:c r="F808" s="47" t="n">
        <x:v>711.127</x:v>
      </x:c>
      <x:c r="G808" s="47" t="n">
        <x:v>159.195</x:v>
      </x:c>
      <x:c r="H808" s="50" t="n">
        <x:v>0.826575</x:v>
      </x:c>
      <x:c r="I808" s="50" t="n">
        <x:v>0.251272</x:v>
      </x:c>
      <x:c r="J808" s="50" t="n">
        <x:v>0.844529</x:v>
      </x:c>
      <x:c r="K808" s="50" t="n">
        <x:v>0.267411</x:v>
      </x:c>
      <x:c r="L808" s="47" t="n">
        <x:v>842.04</x:v>
      </x:c>
      <x:c r="M808" s="47" t="n">
        <x:v>595.32</x:v>
      </x:c>
      <x:c r="N808" s="28" t="str">
        <x:v>top-left</x:v>
      </x:c>
      <x:c r="O808" s="28" t="str">
        <x:v>PDF points</x:v>
      </x:c>
    </x:row>
    <x:row r="809" ht="22" customHeight="1">
      <x:c r="A809" s="28" t="str">
        <x:v>ANC-SLE-029-01-R11</x:v>
      </x:c>
      <x:c r="B809" s="28" t="str">
        <x:v>ANC-SLE-029-01</x:v>
      </x:c>
      <x:c r="C809" s="28" t="n">
        <x:v>16</x:v>
      </x:c>
      <x:c r="D809" s="47" t="n">
        <x:v>731.892</x:v>
      </x:c>
      <x:c r="E809" s="47" t="n">
        <x:v>149.587</x:v>
      </x:c>
      <x:c r="F809" s="47" t="n">
        <x:v>747.01</x:v>
      </x:c>
      <x:c r="G809" s="47" t="n">
        <x:v>159.195</x:v>
      </x:c>
      <x:c r="H809" s="50" t="n">
        <x:v>0.869189</x:v>
      </x:c>
      <x:c r="I809" s="50" t="n">
        <x:v>0.251272</x:v>
      </x:c>
      <x:c r="J809" s="50" t="n">
        <x:v>0.887143</x:v>
      </x:c>
      <x:c r="K809" s="50" t="n">
        <x:v>0.267411</x:v>
      </x:c>
      <x:c r="L809" s="47" t="n">
        <x:v>842.04</x:v>
      </x:c>
      <x:c r="M809" s="47" t="n">
        <x:v>595.32</x:v>
      </x:c>
      <x:c r="N809" s="28" t="str">
        <x:v>top-left</x:v>
      </x:c>
      <x:c r="O809" s="28" t="str">
        <x:v>PDF points</x:v>
      </x:c>
    </x:row>
    <x:row r="810" ht="22" customHeight="1">
      <x:c r="A810" s="28" t="str">
        <x:v>ANC-SLE-029-01-R12</x:v>
      </x:c>
      <x:c r="B810" s="28" t="str">
        <x:v>ANC-SLE-029-01</x:v>
      </x:c>
      <x:c r="C810" s="28" t="n">
        <x:v>16</x:v>
      </x:c>
      <x:c r="D810" s="47" t="n">
        <x:v>768.016</x:v>
      </x:c>
      <x:c r="E810" s="47" t="n">
        <x:v>149.587</x:v>
      </x:c>
      <x:c r="F810" s="47" t="n">
        <x:v>783.133</x:v>
      </x:c>
      <x:c r="G810" s="47" t="n">
        <x:v>159.195</x:v>
      </x:c>
      <x:c r="H810" s="50" t="n">
        <x:v>0.912089</x:v>
      </x:c>
      <x:c r="I810" s="50" t="n">
        <x:v>0.251272</x:v>
      </x:c>
      <x:c r="J810" s="50" t="n">
        <x:v>0.930043</x:v>
      </x:c>
      <x:c r="K810" s="50" t="n">
        <x:v>0.267411</x:v>
      </x:c>
      <x:c r="L810" s="47" t="n">
        <x:v>842.04</x:v>
      </x:c>
      <x:c r="M810" s="47" t="n">
        <x:v>595.32</x:v>
      </x:c>
      <x:c r="N810" s="28" t="str">
        <x:v>top-left</x:v>
      </x:c>
      <x:c r="O810" s="28" t="str">
        <x:v>PDF points</x:v>
      </x:c>
    </x:row>
    <x:row r="811" ht="22" customHeight="1">
      <x:c r="A811" s="28" t="str">
        <x:v>ANC-SLE-029-01-R13</x:v>
      </x:c>
      <x:c r="B811" s="28" t="str">
        <x:v>ANC-SLE-029-01</x:v>
      </x:c>
      <x:c r="C811" s="28" t="n">
        <x:v>16</x:v>
      </x:c>
      <x:c r="D811" s="47" t="n">
        <x:v>217.32</x:v>
      </x:c>
      <x:c r="E811" s="47" t="n">
        <x:v>164.827</x:v>
      </x:c>
      <x:c r="F811" s="47" t="n">
        <x:v>450.669</x:v>
      </x:c>
      <x:c r="G811" s="47" t="n">
        <x:v>174.435</x:v>
      </x:c>
      <x:c r="H811" s="50" t="n">
        <x:v>0.258088</x:v>
      </x:c>
      <x:c r="I811" s="50" t="n">
        <x:v>0.276872</x:v>
      </x:c>
      <x:c r="J811" s="50" t="n">
        <x:v>0.535211</x:v>
      </x:c>
      <x:c r="K811" s="50" t="n">
        <x:v>0.293011</x:v>
      </x:c>
      <x:c r="L811" s="47" t="n">
        <x:v>842.04</x:v>
      </x:c>
      <x:c r="M811" s="47" t="n">
        <x:v>595.32</x:v>
      </x:c>
      <x:c r="N811" s="28" t="str">
        <x:v>top-left</x:v>
      </x:c>
      <x:c r="O811" s="28" t="str">
        <x:v>PDF points</x:v>
      </x:c>
    </x:row>
    <x:row r="812" ht="22" customHeight="1">
      <x:c r="A812" s="28" t="str">
        <x:v>ANC-SLE-029-01-R14</x:v>
      </x:c>
      <x:c r="B812" s="28" t="str">
        <x:v>ANC-SLE-029-01</x:v>
      </x:c>
      <x:c r="C812" s="28" t="n">
        <x:v>16</x:v>
      </x:c>
      <x:c r="D812" s="47" t="n">
        <x:v>217.32</x:v>
      </x:c>
      <x:c r="E812" s="47" t="n">
        <x:v>173.587</x:v>
      </x:c>
      <x:c r="F812" s="47" t="n">
        <x:v>440.942</x:v>
      </x:c>
      <x:c r="G812" s="47" t="n">
        <x:v>183.195</x:v>
      </x:c>
      <x:c r="H812" s="50" t="n">
        <x:v>0.258088</x:v>
      </x:c>
      <x:c r="I812" s="50" t="n">
        <x:v>0.291587</x:v>
      </x:c>
      <x:c r="J812" s="50" t="n">
        <x:v>0.523659</x:v>
      </x:c>
      <x:c r="K812" s="50" t="n">
        <x:v>0.307725</x:v>
      </x:c>
      <x:c r="L812" s="47" t="n">
        <x:v>842.04</x:v>
      </x:c>
      <x:c r="M812" s="47" t="n">
        <x:v>595.32</x:v>
      </x:c>
      <x:c r="N812" s="28" t="str">
        <x:v>top-left</x:v>
      </x:c>
      <x:c r="O812" s="28" t="str">
        <x:v>PDF points</x:v>
      </x:c>
    </x:row>
    <x:row r="813" ht="22" customHeight="1">
      <x:c r="A813" s="28" t="str">
        <x:v>ANC-SLE-029-01-R15</x:v>
      </x:c>
      <x:c r="B813" s="28" t="str">
        <x:v>ANC-SLE-029-01</x:v>
      </x:c>
      <x:c r="C813" s="28" t="n">
        <x:v>16</x:v>
      </x:c>
      <x:c r="D813" s="47" t="n">
        <x:v>476.28</x:v>
      </x:c>
      <x:c r="E813" s="47" t="n">
        <x:v>172.027</x:v>
      </x:c>
      <x:c r="F813" s="47" t="n">
        <x:v>491.398</x:v>
      </x:c>
      <x:c r="G813" s="47" t="n">
        <x:v>181.635</x:v>
      </x:c>
      <x:c r="H813" s="50" t="n">
        <x:v>0.565626</x:v>
      </x:c>
      <x:c r="I813" s="50" t="n">
        <x:v>0.288966</x:v>
      </x:c>
      <x:c r="J813" s="50" t="n">
        <x:v>0.58358</x:v>
      </x:c>
      <x:c r="K813" s="50" t="n">
        <x:v>0.305105</x:v>
      </x:c>
      <x:c r="L813" s="47" t="n">
        <x:v>842.04</x:v>
      </x:c>
      <x:c r="M813" s="47" t="n">
        <x:v>595.32</x:v>
      </x:c>
      <x:c r="N813" s="28" t="str">
        <x:v>top-left</x:v>
      </x:c>
      <x:c r="O813" s="28" t="str">
        <x:v>PDF points</x:v>
      </x:c>
    </x:row>
    <x:row r="814" ht="22" customHeight="1">
      <x:c r="A814" s="28" t="str">
        <x:v>ANC-SLE-029-01-R16</x:v>
      </x:c>
      <x:c r="B814" s="28" t="str">
        <x:v>ANC-SLE-029-01</x:v>
      </x:c>
      <x:c r="C814" s="28" t="n">
        <x:v>16</x:v>
      </x:c>
      <x:c r="D814" s="47" t="n">
        <x:v>526.924</x:v>
      </x:c>
      <x:c r="E814" s="47" t="n">
        <x:v>172.027</x:v>
      </x:c>
      <x:c r="F814" s="47" t="n">
        <x:v>542.042</x:v>
      </x:c>
      <x:c r="G814" s="47" t="n">
        <x:v>181.635</x:v>
      </x:c>
      <x:c r="H814" s="50" t="n">
        <x:v>0.625771</x:v>
      </x:c>
      <x:c r="I814" s="50" t="n">
        <x:v>0.288966</x:v>
      </x:c>
      <x:c r="J814" s="50" t="n">
        <x:v>0.643724</x:v>
      </x:c>
      <x:c r="K814" s="50" t="n">
        <x:v>0.305105</x:v>
      </x:c>
      <x:c r="L814" s="47" t="n">
        <x:v>842.04</x:v>
      </x:c>
      <x:c r="M814" s="47" t="n">
        <x:v>595.32</x:v>
      </x:c>
      <x:c r="N814" s="28" t="str">
        <x:v>top-left</x:v>
      </x:c>
      <x:c r="O814" s="28" t="str">
        <x:v>PDF points</x:v>
      </x:c>
    </x:row>
    <x:row r="815" ht="22" customHeight="1">
      <x:c r="A815" s="28" t="str">
        <x:v>ANC-SLE-029-01-R17</x:v>
      </x:c>
      <x:c r="B815" s="28" t="str">
        <x:v>ANC-SLE-029-01</x:v>
      </x:c>
      <x:c r="C815" s="28" t="n">
        <x:v>16</x:v>
      </x:c>
      <x:c r="D815" s="47" t="n">
        <x:v>576.482</x:v>
      </x:c>
      <x:c r="E815" s="47" t="n">
        <x:v>172.027</x:v>
      </x:c>
      <x:c r="F815" s="47" t="n">
        <x:v>591.6</x:v>
      </x:c>
      <x:c r="G815" s="47" t="n">
        <x:v>181.635</x:v>
      </x:c>
      <x:c r="H815" s="50" t="n">
        <x:v>0.684626</x:v>
      </x:c>
      <x:c r="I815" s="50" t="n">
        <x:v>0.288966</x:v>
      </x:c>
      <x:c r="J815" s="50" t="n">
        <x:v>0.70258</x:v>
      </x:c>
      <x:c r="K815" s="50" t="n">
        <x:v>0.305105</x:v>
      </x:c>
      <x:c r="L815" s="47" t="n">
        <x:v>842.04</x:v>
      </x:c>
      <x:c r="M815" s="47" t="n">
        <x:v>595.32</x:v>
      </x:c>
      <x:c r="N815" s="28" t="str">
        <x:v>top-left</x:v>
      </x:c>
      <x:c r="O815" s="28" t="str">
        <x:v>PDF points</x:v>
      </x:c>
    </x:row>
    <x:row r="816" ht="22" customHeight="1">
      <x:c r="A816" s="28" t="str">
        <x:v>ANC-SLE-029-01-R18</x:v>
      </x:c>
      <x:c r="B816" s="28" t="str">
        <x:v>ANC-SLE-029-01</x:v>
      </x:c>
      <x:c r="C816" s="28" t="n">
        <x:v>16</x:v>
      </x:c>
      <x:c r="D816" s="47" t="n">
        <x:v>616.92</x:v>
      </x:c>
      <x:c r="E816" s="47" t="n">
        <x:v>172.027</x:v>
      </x:c>
      <x:c r="F816" s="47" t="n">
        <x:v>632.038</x:v>
      </x:c>
      <x:c r="G816" s="47" t="n">
        <x:v>181.635</x:v>
      </x:c>
      <x:c r="H816" s="50" t="n">
        <x:v>0.732649</x:v>
      </x:c>
      <x:c r="I816" s="50" t="n">
        <x:v>0.288966</x:v>
      </x:c>
      <x:c r="J816" s="50" t="n">
        <x:v>0.750603</x:v>
      </x:c>
      <x:c r="K816" s="50" t="n">
        <x:v>0.305105</x:v>
      </x:c>
      <x:c r="L816" s="47" t="n">
        <x:v>842.04</x:v>
      </x:c>
      <x:c r="M816" s="47" t="n">
        <x:v>595.32</x:v>
      </x:c>
      <x:c r="N816" s="28" t="str">
        <x:v>top-left</x:v>
      </x:c>
      <x:c r="O816" s="28" t="str">
        <x:v>PDF points</x:v>
      </x:c>
    </x:row>
    <x:row r="817" ht="22" customHeight="1">
      <x:c r="A817" s="28" t="str">
        <x:v>ANC-SLE-029-01-R19</x:v>
      </x:c>
      <x:c r="B817" s="28" t="str">
        <x:v>ANC-SLE-029-01</x:v>
      </x:c>
      <x:c r="C817" s="28" t="n">
        <x:v>16</x:v>
      </x:c>
      <x:c r="D817" s="47" t="n">
        <x:v>656.52</x:v>
      </x:c>
      <x:c r="E817" s="47" t="n">
        <x:v>172.027</x:v>
      </x:c>
      <x:c r="F817" s="47" t="n">
        <x:v>671.638</x:v>
      </x:c>
      <x:c r="G817" s="47" t="n">
        <x:v>181.635</x:v>
      </x:c>
      <x:c r="H817" s="50" t="n">
        <x:v>0.779678</x:v>
      </x:c>
      <x:c r="I817" s="50" t="n">
        <x:v>0.288966</x:v>
      </x:c>
      <x:c r="J817" s="50" t="n">
        <x:v>0.797632</x:v>
      </x:c>
      <x:c r="K817" s="50" t="n">
        <x:v>0.305105</x:v>
      </x:c>
      <x:c r="L817" s="47" t="n">
        <x:v>842.04</x:v>
      </x:c>
      <x:c r="M817" s="47" t="n">
        <x:v>595.32</x:v>
      </x:c>
      <x:c r="N817" s="28" t="str">
        <x:v>top-left</x:v>
      </x:c>
      <x:c r="O817" s="28" t="str">
        <x:v>PDF points</x:v>
      </x:c>
    </x:row>
    <x:row r="818" ht="22" customHeight="1">
      <x:c r="A818" s="28" t="str">
        <x:v>ANC-SLE-029-01-R20</x:v>
      </x:c>
      <x:c r="B818" s="28" t="str">
        <x:v>ANC-SLE-029-01</x:v>
      </x:c>
      <x:c r="C818" s="28" t="n">
        <x:v>16</x:v>
      </x:c>
      <x:c r="D818" s="47" t="n">
        <x:v>696.004</x:v>
      </x:c>
      <x:c r="E818" s="47" t="n">
        <x:v>172.027</x:v>
      </x:c>
      <x:c r="F818" s="47" t="n">
        <x:v>711.122</x:v>
      </x:c>
      <x:c r="G818" s="47" t="n">
        <x:v>181.635</x:v>
      </x:c>
      <x:c r="H818" s="50" t="n">
        <x:v>0.826569</x:v>
      </x:c>
      <x:c r="I818" s="50" t="n">
        <x:v>0.288966</x:v>
      </x:c>
      <x:c r="J818" s="50" t="n">
        <x:v>0.844523</x:v>
      </x:c>
      <x:c r="K818" s="50" t="n">
        <x:v>0.305105</x:v>
      </x:c>
      <x:c r="L818" s="47" t="n">
        <x:v>842.04</x:v>
      </x:c>
      <x:c r="M818" s="47" t="n">
        <x:v>595.32</x:v>
      </x:c>
      <x:c r="N818" s="28" t="str">
        <x:v>top-left</x:v>
      </x:c>
      <x:c r="O818" s="28" t="str">
        <x:v>PDF points</x:v>
      </x:c>
    </x:row>
    <x:row r="819" ht="22" customHeight="1">
      <x:c r="A819" s="28" t="str">
        <x:v>ANC-SLE-029-01-R21</x:v>
      </x:c>
      <x:c r="B819" s="28" t="str">
        <x:v>ANC-SLE-029-01</x:v>
      </x:c>
      <x:c r="C819" s="28" t="n">
        <x:v>16</x:v>
      </x:c>
      <x:c r="D819" s="47" t="n">
        <x:v>731.887</x:v>
      </x:c>
      <x:c r="E819" s="47" t="n">
        <x:v>172.027</x:v>
      </x:c>
      <x:c r="F819" s="47" t="n">
        <x:v>747.005</x:v>
      </x:c>
      <x:c r="G819" s="47" t="n">
        <x:v>181.635</x:v>
      </x:c>
      <x:c r="H819" s="50" t="n">
        <x:v>0.869183</x:v>
      </x:c>
      <x:c r="I819" s="50" t="n">
        <x:v>0.288966</x:v>
      </x:c>
      <x:c r="J819" s="50" t="n">
        <x:v>0.887137</x:v>
      </x:c>
      <x:c r="K819" s="50" t="n">
        <x:v>0.305105</x:v>
      </x:c>
      <x:c r="L819" s="47" t="n">
        <x:v>842.04</x:v>
      </x:c>
      <x:c r="M819" s="47" t="n">
        <x:v>595.32</x:v>
      </x:c>
      <x:c r="N819" s="28" t="str">
        <x:v>top-left</x:v>
      </x:c>
      <x:c r="O819" s="28" t="str">
        <x:v>PDF points</x:v>
      </x:c>
    </x:row>
    <x:row r="820" ht="22" customHeight="1">
      <x:c r="A820" s="28" t="str">
        <x:v>ANC-SLE-029-01-R22</x:v>
      </x:c>
      <x:c r="B820" s="28" t="str">
        <x:v>ANC-SLE-029-01</x:v>
      </x:c>
      <x:c r="C820" s="28" t="n">
        <x:v>16</x:v>
      </x:c>
      <x:c r="D820" s="47" t="n">
        <x:v>768.011</x:v>
      </x:c>
      <x:c r="E820" s="47" t="n">
        <x:v>172.027</x:v>
      </x:c>
      <x:c r="F820" s="47" t="n">
        <x:v>783.128</x:v>
      </x:c>
      <x:c r="G820" s="47" t="n">
        <x:v>181.635</x:v>
      </x:c>
      <x:c r="H820" s="50" t="n">
        <x:v>0.912083</x:v>
      </x:c>
      <x:c r="I820" s="50" t="n">
        <x:v>0.288966</x:v>
      </x:c>
      <x:c r="J820" s="50" t="n">
        <x:v>0.930037</x:v>
      </x:c>
      <x:c r="K820" s="50" t="n">
        <x:v>0.305105</x:v>
      </x:c>
      <x:c r="L820" s="47" t="n">
        <x:v>842.04</x:v>
      </x:c>
      <x:c r="M820" s="47" t="n">
        <x:v>595.32</x:v>
      </x:c>
      <x:c r="N820" s="28" t="str">
        <x:v>top-left</x:v>
      </x:c>
      <x:c r="O820" s="28" t="str">
        <x:v>PDF points</x:v>
      </x:c>
    </x:row>
    <x:row r="821" ht="22" customHeight="1">
      <x:c r="A821" s="28" t="str">
        <x:v>ANC-SLE-029-01-R23</x:v>
      </x:c>
      <x:c r="B821" s="28" t="str">
        <x:v>ANC-SLE-029-01</x:v>
      </x:c>
      <x:c r="C821" s="28" t="n">
        <x:v>16</x:v>
      </x:c>
      <x:c r="D821" s="47" t="n">
        <x:v>217.32</x:v>
      </x:c>
      <x:c r="E821" s="47" t="n">
        <x:v>188.467</x:v>
      </x:c>
      <x:c r="F821" s="47" t="n">
        <x:v>327.763</x:v>
      </x:c>
      <x:c r="G821" s="47" t="n">
        <x:v>198.075</x:v>
      </x:c>
      <x:c r="H821" s="50" t="n">
        <x:v>0.258088</x:v>
      </x:c>
      <x:c r="I821" s="50" t="n">
        <x:v>0.316582</x:v>
      </x:c>
      <x:c r="J821" s="50" t="n">
        <x:v>0.389249</x:v>
      </x:c>
      <x:c r="K821" s="50" t="n">
        <x:v>0.33272</x:v>
      </x:c>
      <x:c r="L821" s="47" t="n">
        <x:v>842.04</x:v>
      </x:c>
      <x:c r="M821" s="47" t="n">
        <x:v>595.32</x:v>
      </x:c>
      <x:c r="N821" s="28" t="str">
        <x:v>top-left</x:v>
      </x:c>
      <x:c r="O821" s="28" t="str">
        <x:v>PDF points</x:v>
      </x:c>
    </x:row>
    <x:row r="822" ht="22" customHeight="1">
      <x:c r="A822" s="28" t="str">
        <x:v>ANC-SLE-029-01-R24</x:v>
      </x:c>
      <x:c r="B822" s="28" t="str">
        <x:v>ANC-SLE-029-01</x:v>
      </x:c>
      <x:c r="C822" s="28" t="n">
        <x:v>16</x:v>
      </x:c>
      <x:c r="D822" s="47" t="n">
        <x:v>476.28</x:v>
      </x:c>
      <x:c r="E822" s="47" t="n">
        <x:v>191.227</x:v>
      </x:c>
      <x:c r="F822" s="47" t="n">
        <x:v>491.398</x:v>
      </x:c>
      <x:c r="G822" s="47" t="n">
        <x:v>200.835</x:v>
      </x:c>
      <x:c r="H822" s="50" t="n">
        <x:v>0.565626</x:v>
      </x:c>
      <x:c r="I822" s="50" t="n">
        <x:v>0.321218</x:v>
      </x:c>
      <x:c r="J822" s="50" t="n">
        <x:v>0.58358</x:v>
      </x:c>
      <x:c r="K822" s="50" t="n">
        <x:v>0.337357</x:v>
      </x:c>
      <x:c r="L822" s="47" t="n">
        <x:v>842.04</x:v>
      </x:c>
      <x:c r="M822" s="47" t="n">
        <x:v>595.32</x:v>
      </x:c>
      <x:c r="N822" s="28" t="str">
        <x:v>top-left</x:v>
      </x:c>
      <x:c r="O822" s="28" t="str">
        <x:v>PDF points</x:v>
      </x:c>
    </x:row>
    <x:row r="823" ht="22" customHeight="1">
      <x:c r="A823" s="28" t="str">
        <x:v>ANC-SLE-029-01-R25</x:v>
      </x:c>
      <x:c r="B823" s="28" t="str">
        <x:v>ANC-SLE-029-01</x:v>
      </x:c>
      <x:c r="C823" s="28" t="n">
        <x:v>16</x:v>
      </x:c>
      <x:c r="D823" s="47" t="n">
        <x:v>526.924</x:v>
      </x:c>
      <x:c r="E823" s="47" t="n">
        <x:v>191.227</x:v>
      </x:c>
      <x:c r="F823" s="47" t="n">
        <x:v>542.042</x:v>
      </x:c>
      <x:c r="G823" s="47" t="n">
        <x:v>200.835</x:v>
      </x:c>
      <x:c r="H823" s="50" t="n">
        <x:v>0.625771</x:v>
      </x:c>
      <x:c r="I823" s="50" t="n">
        <x:v>0.321218</x:v>
      </x:c>
      <x:c r="J823" s="50" t="n">
        <x:v>0.643724</x:v>
      </x:c>
      <x:c r="K823" s="50" t="n">
        <x:v>0.337357</x:v>
      </x:c>
      <x:c r="L823" s="47" t="n">
        <x:v>842.04</x:v>
      </x:c>
      <x:c r="M823" s="47" t="n">
        <x:v>595.32</x:v>
      </x:c>
      <x:c r="N823" s="28" t="str">
        <x:v>top-left</x:v>
      </x:c>
      <x:c r="O823" s="28" t="str">
        <x:v>PDF points</x:v>
      </x:c>
    </x:row>
    <x:row r="824" ht="22" customHeight="1">
      <x:c r="A824" s="28" t="str">
        <x:v>ANC-SLE-029-01-R26</x:v>
      </x:c>
      <x:c r="B824" s="28" t="str">
        <x:v>ANC-SLE-029-01</x:v>
      </x:c>
      <x:c r="C824" s="28" t="n">
        <x:v>16</x:v>
      </x:c>
      <x:c r="D824" s="47" t="n">
        <x:v>576.482</x:v>
      </x:c>
      <x:c r="E824" s="47" t="n">
        <x:v>191.227</x:v>
      </x:c>
      <x:c r="F824" s="47" t="n">
        <x:v>591.6</x:v>
      </x:c>
      <x:c r="G824" s="47" t="n">
        <x:v>200.835</x:v>
      </x:c>
      <x:c r="H824" s="50" t="n">
        <x:v>0.684626</x:v>
      </x:c>
      <x:c r="I824" s="50" t="n">
        <x:v>0.321218</x:v>
      </x:c>
      <x:c r="J824" s="50" t="n">
        <x:v>0.70258</x:v>
      </x:c>
      <x:c r="K824" s="50" t="n">
        <x:v>0.337357</x:v>
      </x:c>
      <x:c r="L824" s="47" t="n">
        <x:v>842.04</x:v>
      </x:c>
      <x:c r="M824" s="47" t="n">
        <x:v>595.32</x:v>
      </x:c>
      <x:c r="N824" s="28" t="str">
        <x:v>top-left</x:v>
      </x:c>
      <x:c r="O824" s="28" t="str">
        <x:v>PDF points</x:v>
      </x:c>
    </x:row>
    <x:row r="825" ht="22" customHeight="1">
      <x:c r="A825" s="28" t="str">
        <x:v>ANC-SLE-029-01-R27</x:v>
      </x:c>
      <x:c r="B825" s="28" t="str">
        <x:v>ANC-SLE-029-01</x:v>
      </x:c>
      <x:c r="C825" s="28" t="n">
        <x:v>16</x:v>
      </x:c>
      <x:c r="D825" s="47" t="n">
        <x:v>616.92</x:v>
      </x:c>
      <x:c r="E825" s="47" t="n">
        <x:v>191.227</x:v>
      </x:c>
      <x:c r="F825" s="47" t="n">
        <x:v>632.038</x:v>
      </x:c>
      <x:c r="G825" s="47" t="n">
        <x:v>200.835</x:v>
      </x:c>
      <x:c r="H825" s="50" t="n">
        <x:v>0.732649</x:v>
      </x:c>
      <x:c r="I825" s="50" t="n">
        <x:v>0.321218</x:v>
      </x:c>
      <x:c r="J825" s="50" t="n">
        <x:v>0.750603</x:v>
      </x:c>
      <x:c r="K825" s="50" t="n">
        <x:v>0.337357</x:v>
      </x:c>
      <x:c r="L825" s="47" t="n">
        <x:v>842.04</x:v>
      </x:c>
      <x:c r="M825" s="47" t="n">
        <x:v>595.32</x:v>
      </x:c>
      <x:c r="N825" s="28" t="str">
        <x:v>top-left</x:v>
      </x:c>
      <x:c r="O825" s="28" t="str">
        <x:v>PDF points</x:v>
      </x:c>
    </x:row>
    <x:row r="826" ht="22" customHeight="1">
      <x:c r="A826" s="28" t="str">
        <x:v>ANC-SLE-029-01-R28</x:v>
      </x:c>
      <x:c r="B826" s="28" t="str">
        <x:v>ANC-SLE-029-01</x:v>
      </x:c>
      <x:c r="C826" s="28" t="n">
        <x:v>16</x:v>
      </x:c>
      <x:c r="D826" s="47" t="n">
        <x:v>656.52</x:v>
      </x:c>
      <x:c r="E826" s="47" t="n">
        <x:v>191.227</x:v>
      </x:c>
      <x:c r="F826" s="47" t="n">
        <x:v>671.638</x:v>
      </x:c>
      <x:c r="G826" s="47" t="n">
        <x:v>200.835</x:v>
      </x:c>
      <x:c r="H826" s="50" t="n">
        <x:v>0.779678</x:v>
      </x:c>
      <x:c r="I826" s="50" t="n">
        <x:v>0.321218</x:v>
      </x:c>
      <x:c r="J826" s="50" t="n">
        <x:v>0.797632</x:v>
      </x:c>
      <x:c r="K826" s="50" t="n">
        <x:v>0.337357</x:v>
      </x:c>
      <x:c r="L826" s="47" t="n">
        <x:v>842.04</x:v>
      </x:c>
      <x:c r="M826" s="47" t="n">
        <x:v>595.32</x:v>
      </x:c>
      <x:c r="N826" s="28" t="str">
        <x:v>top-left</x:v>
      </x:c>
      <x:c r="O826" s="28" t="str">
        <x:v>PDF points</x:v>
      </x:c>
    </x:row>
    <x:row r="827" ht="22" customHeight="1">
      <x:c r="A827" s="28" t="str">
        <x:v>ANC-SLE-029-01-R29</x:v>
      </x:c>
      <x:c r="B827" s="28" t="str">
        <x:v>ANC-SLE-029-01</x:v>
      </x:c>
      <x:c r="C827" s="28" t="n">
        <x:v>16</x:v>
      </x:c>
      <x:c r="D827" s="47" t="n">
        <x:v>696</x:v>
      </x:c>
      <x:c r="E827" s="47" t="n">
        <x:v>191.227</x:v>
      </x:c>
      <x:c r="F827" s="47" t="n">
        <x:v>711.118</x:v>
      </x:c>
      <x:c r="G827" s="47" t="n">
        <x:v>200.835</x:v>
      </x:c>
      <x:c r="H827" s="50" t="n">
        <x:v>0.826564</x:v>
      </x:c>
      <x:c r="I827" s="50" t="n">
        <x:v>0.321218</x:v>
      </x:c>
      <x:c r="J827" s="50" t="n">
        <x:v>0.844518</x:v>
      </x:c>
      <x:c r="K827" s="50" t="n">
        <x:v>0.337357</x:v>
      </x:c>
      <x:c r="L827" s="47" t="n">
        <x:v>842.04</x:v>
      </x:c>
      <x:c r="M827" s="47" t="n">
        <x:v>595.32</x:v>
      </x:c>
      <x:c r="N827" s="28" t="str">
        <x:v>top-left</x:v>
      </x:c>
      <x:c r="O827" s="28" t="str">
        <x:v>PDF points</x:v>
      </x:c>
    </x:row>
    <x:row r="828" ht="22" customHeight="1">
      <x:c r="A828" s="28" t="str">
        <x:v>ANC-SLE-029-01-R30</x:v>
      </x:c>
      <x:c r="B828" s="28" t="str">
        <x:v>ANC-SLE-029-01</x:v>
      </x:c>
      <x:c r="C828" s="28" t="n">
        <x:v>16</x:v>
      </x:c>
      <x:c r="D828" s="47" t="n">
        <x:v>731.88</x:v>
      </x:c>
      <x:c r="E828" s="47" t="n">
        <x:v>191.227</x:v>
      </x:c>
      <x:c r="F828" s="47" t="n">
        <x:v>746.998</x:v>
      </x:c>
      <x:c r="G828" s="47" t="n">
        <x:v>200.835</x:v>
      </x:c>
      <x:c r="H828" s="50" t="n">
        <x:v>0.869175</x:v>
      </x:c>
      <x:c r="I828" s="50" t="n">
        <x:v>0.321218</x:v>
      </x:c>
      <x:c r="J828" s="50" t="n">
        <x:v>0.887129</x:v>
      </x:c>
      <x:c r="K828" s="50" t="n">
        <x:v>0.337357</x:v>
      </x:c>
      <x:c r="L828" s="47" t="n">
        <x:v>842.04</x:v>
      </x:c>
      <x:c r="M828" s="47" t="n">
        <x:v>595.32</x:v>
      </x:c>
      <x:c r="N828" s="28" t="str">
        <x:v>top-left</x:v>
      </x:c>
      <x:c r="O828" s="28" t="str">
        <x:v>PDF points</x:v>
      </x:c>
    </x:row>
    <x:row r="829" ht="22" customHeight="1">
      <x:c r="A829" s="28" t="str">
        <x:v>ANC-SLE-029-01-R31</x:v>
      </x:c>
      <x:c r="B829" s="28" t="str">
        <x:v>ANC-SLE-029-01</x:v>
      </x:c>
      <x:c r="C829" s="28" t="n">
        <x:v>16</x:v>
      </x:c>
      <x:c r="D829" s="47" t="n">
        <x:v>768</x:v>
      </x:c>
      <x:c r="E829" s="47" t="n">
        <x:v>191.227</x:v>
      </x:c>
      <x:c r="F829" s="47" t="n">
        <x:v>783.118</x:v>
      </x:c>
      <x:c r="G829" s="47" t="n">
        <x:v>200.835</x:v>
      </x:c>
      <x:c r="H829" s="50" t="n">
        <x:v>0.912071</x:v>
      </x:c>
      <x:c r="I829" s="50" t="n">
        <x:v>0.321218</x:v>
      </x:c>
      <x:c r="J829" s="50" t="n">
        <x:v>0.930024</x:v>
      </x:c>
      <x:c r="K829" s="50" t="n">
        <x:v>0.337357</x:v>
      </x:c>
      <x:c r="L829" s="47" t="n">
        <x:v>842.04</x:v>
      </x:c>
      <x:c r="M829" s="47" t="n">
        <x:v>595.32</x:v>
      </x:c>
      <x:c r="N829" s="28" t="str">
        <x:v>top-left</x:v>
      </x:c>
      <x:c r="O829" s="28" t="str">
        <x:v>PDF points</x:v>
      </x:c>
    </x:row>
    <x:row r="830" ht="22" customHeight="1">
      <x:c r="A830" s="28" t="str">
        <x:v>ANC-SLE-029-01-R32</x:v>
      </x:c>
      <x:c r="B830" s="28" t="str">
        <x:v>ANC-SLE-029-01</x:v>
      </x:c>
      <x:c r="C830" s="28" t="n">
        <x:v>16</x:v>
      </x:c>
      <x:c r="D830" s="47" t="n">
        <x:v>122.88</x:v>
      </x:c>
      <x:c r="E830" s="47" t="n">
        <x:v>203.227</x:v>
      </x:c>
      <x:c r="F830" s="47" t="n">
        <x:v>199.402</x:v>
      </x:c>
      <x:c r="G830" s="47" t="n">
        <x:v>212.835</x:v>
      </x:c>
      <x:c r="H830" s="50" t="n">
        <x:v>0.145931</x:v>
      </x:c>
      <x:c r="I830" s="50" t="n">
        <x:v>0.341375</x:v>
      </x:c>
      <x:c r="J830" s="50" t="n">
        <x:v>0.236809</x:v>
      </x:c>
      <x:c r="K830" s="50" t="n">
        <x:v>0.357514</x:v>
      </x:c>
      <x:c r="L830" s="47" t="n">
        <x:v>842.04</x:v>
      </x:c>
      <x:c r="M830" s="47" t="n">
        <x:v>595.32</x:v>
      </x:c>
      <x:c r="N830" s="28" t="str">
        <x:v>top-left</x:v>
      </x:c>
      <x:c r="O830" s="28" t="str">
        <x:v>PDF points</x:v>
      </x:c>
    </x:row>
    <x:row r="831" ht="22" customHeight="1">
      <x:c r="A831" s="28" t="str">
        <x:v>ANC-SLE-029-01-R33</x:v>
      </x:c>
      <x:c r="B831" s="28" t="str">
        <x:v>ANC-SLE-029-01</x:v>
      </x:c>
      <x:c r="C831" s="28" t="n">
        <x:v>16</x:v>
      </x:c>
      <x:c r="D831" s="47" t="n">
        <x:v>122.88</x:v>
      </x:c>
      <x:c r="E831" s="47" t="n">
        <x:v>211.987</x:v>
      </x:c>
      <x:c r="F831" s="47" t="n">
        <x:v>204.723</x:v>
      </x:c>
      <x:c r="G831" s="47" t="n">
        <x:v>221.595</x:v>
      </x:c>
      <x:c r="H831" s="50" t="n">
        <x:v>0.145931</x:v>
      </x:c>
      <x:c r="I831" s="50" t="n">
        <x:v>0.35609</x:v>
      </x:c>
      <x:c r="J831" s="50" t="n">
        <x:v>0.243128</x:v>
      </x:c>
      <x:c r="K831" s="50" t="n">
        <x:v>0.372229</x:v>
      </x:c>
      <x:c r="L831" s="47" t="n">
        <x:v>842.04</x:v>
      </x:c>
      <x:c r="M831" s="47" t="n">
        <x:v>595.32</x:v>
      </x:c>
      <x:c r="N831" s="28" t="str">
        <x:v>top-left</x:v>
      </x:c>
      <x:c r="O831" s="28" t="str">
        <x:v>PDF points</x:v>
      </x:c>
    </x:row>
    <x:row r="832" ht="22" customHeight="1">
      <x:c r="A832" s="28" t="str">
        <x:v>ANC-SLE-029-01-R34</x:v>
      </x:c>
      <x:c r="B832" s="28" t="str">
        <x:v>ANC-SLE-029-01</x:v>
      </x:c>
      <x:c r="C832" s="28" t="n">
        <x:v>16</x:v>
      </x:c>
      <x:c r="D832" s="47" t="n">
        <x:v>217.32</x:v>
      </x:c>
      <x:c r="E832" s="47" t="n">
        <x:v>203.227</x:v>
      </x:c>
      <x:c r="F832" s="47" t="n">
        <x:v>437.544</x:v>
      </x:c>
      <x:c r="G832" s="47" t="n">
        <x:v>212.835</x:v>
      </x:c>
      <x:c r="H832" s="50" t="n">
        <x:v>0.258088</x:v>
      </x:c>
      <x:c r="I832" s="50" t="n">
        <x:v>0.341375</x:v>
      </x:c>
      <x:c r="J832" s="50" t="n">
        <x:v>0.519623</x:v>
      </x:c>
      <x:c r="K832" s="50" t="n">
        <x:v>0.357514</x:v>
      </x:c>
      <x:c r="L832" s="47" t="n">
        <x:v>842.04</x:v>
      </x:c>
      <x:c r="M832" s="47" t="n">
        <x:v>595.32</x:v>
      </x:c>
      <x:c r="N832" s="28" t="str">
        <x:v>top-left</x:v>
      </x:c>
      <x:c r="O832" s="28" t="str">
        <x:v>PDF points</x:v>
      </x:c>
    </x:row>
    <x:row r="833" ht="22" customHeight="1">
      <x:c r="A833" s="28" t="str">
        <x:v>ANC-SLE-030-01-R01</x:v>
      </x:c>
      <x:c r="B833" s="28" t="str">
        <x:v>ANC-SLE-030-01</x:v>
      </x:c>
      <x:c r="C833" s="28" t="n">
        <x:v>16</x:v>
      </x:c>
      <x:c r="D833" s="47" t="n">
        <x:v>526.924</x:v>
      </x:c>
      <x:c r="E833" s="47" t="n">
        <x:v>191.227</x:v>
      </x:c>
      <x:c r="F833" s="47" t="n">
        <x:v>542.042</x:v>
      </x:c>
      <x:c r="G833" s="47" t="n">
        <x:v>200.835</x:v>
      </x:c>
      <x:c r="H833" s="50" t="n">
        <x:v>0.625771</x:v>
      </x:c>
      <x:c r="I833" s="50" t="n">
        <x:v>0.321218</x:v>
      </x:c>
      <x:c r="J833" s="50" t="n">
        <x:v>0.643724</x:v>
      </x:c>
      <x:c r="K833" s="50" t="n">
        <x:v>0.337357</x:v>
      </x:c>
      <x:c r="L833" s="47" t="n">
        <x:v>842.04</x:v>
      </x:c>
      <x:c r="M833" s="47" t="n">
        <x:v>595.32</x:v>
      </x:c>
      <x:c r="N833" s="28" t="str">
        <x:v>top-left</x:v>
      </x:c>
      <x:c r="O833" s="28" t="str">
        <x:v>PDF points</x:v>
      </x:c>
    </x:row>
    <x:row r="834" ht="22" customHeight="1">
      <x:c r="A834" s="28" t="str">
        <x:v>ANC-SLE-030-01-R02</x:v>
      </x:c>
      <x:c r="B834" s="28" t="str">
        <x:v>ANC-SLE-030-01</x:v>
      </x:c>
      <x:c r="C834" s="28" t="n">
        <x:v>16</x:v>
      </x:c>
      <x:c r="D834" s="47" t="n">
        <x:v>576.482</x:v>
      </x:c>
      <x:c r="E834" s="47" t="n">
        <x:v>191.227</x:v>
      </x:c>
      <x:c r="F834" s="47" t="n">
        <x:v>591.6</x:v>
      </x:c>
      <x:c r="G834" s="47" t="n">
        <x:v>200.835</x:v>
      </x:c>
      <x:c r="H834" s="50" t="n">
        <x:v>0.684626</x:v>
      </x:c>
      <x:c r="I834" s="50" t="n">
        <x:v>0.321218</x:v>
      </x:c>
      <x:c r="J834" s="50" t="n">
        <x:v>0.70258</x:v>
      </x:c>
      <x:c r="K834" s="50" t="n">
        <x:v>0.337357</x:v>
      </x:c>
      <x:c r="L834" s="47" t="n">
        <x:v>842.04</x:v>
      </x:c>
      <x:c r="M834" s="47" t="n">
        <x:v>595.32</x:v>
      </x:c>
      <x:c r="N834" s="28" t="str">
        <x:v>top-left</x:v>
      </x:c>
      <x:c r="O834" s="28" t="str">
        <x:v>PDF points</x:v>
      </x:c>
    </x:row>
    <x:row r="835" ht="22" customHeight="1">
      <x:c r="A835" s="28" t="str">
        <x:v>ANC-SLE-030-01-R03</x:v>
      </x:c>
      <x:c r="B835" s="28" t="str">
        <x:v>ANC-SLE-030-01</x:v>
      </x:c>
      <x:c r="C835" s="28" t="n">
        <x:v>16</x:v>
      </x:c>
      <x:c r="D835" s="47" t="n">
        <x:v>616.92</x:v>
      </x:c>
      <x:c r="E835" s="47" t="n">
        <x:v>191.227</x:v>
      </x:c>
      <x:c r="F835" s="47" t="n">
        <x:v>632.038</x:v>
      </x:c>
      <x:c r="G835" s="47" t="n">
        <x:v>200.835</x:v>
      </x:c>
      <x:c r="H835" s="50" t="n">
        <x:v>0.732649</x:v>
      </x:c>
      <x:c r="I835" s="50" t="n">
        <x:v>0.321218</x:v>
      </x:c>
      <x:c r="J835" s="50" t="n">
        <x:v>0.750603</x:v>
      </x:c>
      <x:c r="K835" s="50" t="n">
        <x:v>0.337357</x:v>
      </x:c>
      <x:c r="L835" s="47" t="n">
        <x:v>842.04</x:v>
      </x:c>
      <x:c r="M835" s="47" t="n">
        <x:v>595.32</x:v>
      </x:c>
      <x:c r="N835" s="28" t="str">
        <x:v>top-left</x:v>
      </x:c>
      <x:c r="O835" s="28" t="str">
        <x:v>PDF points</x:v>
      </x:c>
    </x:row>
    <x:row r="836" ht="22" customHeight="1">
      <x:c r="A836" s="28" t="str">
        <x:v>ANC-SLE-030-01-R04</x:v>
      </x:c>
      <x:c r="B836" s="28" t="str">
        <x:v>ANC-SLE-030-01</x:v>
      </x:c>
      <x:c r="C836" s="28" t="n">
        <x:v>16</x:v>
      </x:c>
      <x:c r="D836" s="47" t="n">
        <x:v>656.52</x:v>
      </x:c>
      <x:c r="E836" s="47" t="n">
        <x:v>191.227</x:v>
      </x:c>
      <x:c r="F836" s="47" t="n">
        <x:v>671.638</x:v>
      </x:c>
      <x:c r="G836" s="47" t="n">
        <x:v>200.835</x:v>
      </x:c>
      <x:c r="H836" s="50" t="n">
        <x:v>0.779678</x:v>
      </x:c>
      <x:c r="I836" s="50" t="n">
        <x:v>0.321218</x:v>
      </x:c>
      <x:c r="J836" s="50" t="n">
        <x:v>0.797632</x:v>
      </x:c>
      <x:c r="K836" s="50" t="n">
        <x:v>0.337357</x:v>
      </x:c>
      <x:c r="L836" s="47" t="n">
        <x:v>842.04</x:v>
      </x:c>
      <x:c r="M836" s="47" t="n">
        <x:v>595.32</x:v>
      </x:c>
      <x:c r="N836" s="28" t="str">
        <x:v>top-left</x:v>
      </x:c>
      <x:c r="O836" s="28" t="str">
        <x:v>PDF points</x:v>
      </x:c>
    </x:row>
    <x:row r="837" ht="22" customHeight="1">
      <x:c r="A837" s="28" t="str">
        <x:v>ANC-SLE-030-01-R05</x:v>
      </x:c>
      <x:c r="B837" s="28" t="str">
        <x:v>ANC-SLE-030-01</x:v>
      </x:c>
      <x:c r="C837" s="28" t="n">
        <x:v>16</x:v>
      </x:c>
      <x:c r="D837" s="47" t="n">
        <x:v>696</x:v>
      </x:c>
      <x:c r="E837" s="47" t="n">
        <x:v>191.227</x:v>
      </x:c>
      <x:c r="F837" s="47" t="n">
        <x:v>711.118</x:v>
      </x:c>
      <x:c r="G837" s="47" t="n">
        <x:v>200.835</x:v>
      </x:c>
      <x:c r="H837" s="50" t="n">
        <x:v>0.826564</x:v>
      </x:c>
      <x:c r="I837" s="50" t="n">
        <x:v>0.321218</x:v>
      </x:c>
      <x:c r="J837" s="50" t="n">
        <x:v>0.844518</x:v>
      </x:c>
      <x:c r="K837" s="50" t="n">
        <x:v>0.337357</x:v>
      </x:c>
      <x:c r="L837" s="47" t="n">
        <x:v>842.04</x:v>
      </x:c>
      <x:c r="M837" s="47" t="n">
        <x:v>595.32</x:v>
      </x:c>
      <x:c r="N837" s="28" t="str">
        <x:v>top-left</x:v>
      </x:c>
      <x:c r="O837" s="28" t="str">
        <x:v>PDF points</x:v>
      </x:c>
    </x:row>
    <x:row r="838" ht="22" customHeight="1">
      <x:c r="A838" s="28" t="str">
        <x:v>ANC-SLE-030-01-R06</x:v>
      </x:c>
      <x:c r="B838" s="28" t="str">
        <x:v>ANC-SLE-030-01</x:v>
      </x:c>
      <x:c r="C838" s="28" t="n">
        <x:v>16</x:v>
      </x:c>
      <x:c r="D838" s="47" t="n">
        <x:v>731.88</x:v>
      </x:c>
      <x:c r="E838" s="47" t="n">
        <x:v>191.227</x:v>
      </x:c>
      <x:c r="F838" s="47" t="n">
        <x:v>746.998</x:v>
      </x:c>
      <x:c r="G838" s="47" t="n">
        <x:v>200.835</x:v>
      </x:c>
      <x:c r="H838" s="50" t="n">
        <x:v>0.869175</x:v>
      </x:c>
      <x:c r="I838" s="50" t="n">
        <x:v>0.321218</x:v>
      </x:c>
      <x:c r="J838" s="50" t="n">
        <x:v>0.887129</x:v>
      </x:c>
      <x:c r="K838" s="50" t="n">
        <x:v>0.337357</x:v>
      </x:c>
      <x:c r="L838" s="47" t="n">
        <x:v>842.04</x:v>
      </x:c>
      <x:c r="M838" s="47" t="n">
        <x:v>595.32</x:v>
      </x:c>
      <x:c r="N838" s="28" t="str">
        <x:v>top-left</x:v>
      </x:c>
      <x:c r="O838" s="28" t="str">
        <x:v>PDF points</x:v>
      </x:c>
    </x:row>
    <x:row r="839" ht="22" customHeight="1">
      <x:c r="A839" s="28" t="str">
        <x:v>ANC-SLE-030-01-R07</x:v>
      </x:c>
      <x:c r="B839" s="28" t="str">
        <x:v>ANC-SLE-030-01</x:v>
      </x:c>
      <x:c r="C839" s="28" t="n">
        <x:v>16</x:v>
      </x:c>
      <x:c r="D839" s="47" t="n">
        <x:v>768</x:v>
      </x:c>
      <x:c r="E839" s="47" t="n">
        <x:v>191.227</x:v>
      </x:c>
      <x:c r="F839" s="47" t="n">
        <x:v>783.118</x:v>
      </x:c>
      <x:c r="G839" s="47" t="n">
        <x:v>200.835</x:v>
      </x:c>
      <x:c r="H839" s="50" t="n">
        <x:v>0.912071</x:v>
      </x:c>
      <x:c r="I839" s="50" t="n">
        <x:v>0.321218</x:v>
      </x:c>
      <x:c r="J839" s="50" t="n">
        <x:v>0.930024</x:v>
      </x:c>
      <x:c r="K839" s="50" t="n">
        <x:v>0.337357</x:v>
      </x:c>
      <x:c r="L839" s="47" t="n">
        <x:v>842.04</x:v>
      </x:c>
      <x:c r="M839" s="47" t="n">
        <x:v>595.32</x:v>
      </x:c>
      <x:c r="N839" s="28" t="str">
        <x:v>top-left</x:v>
      </x:c>
      <x:c r="O839" s="28" t="str">
        <x:v>PDF points</x:v>
      </x:c>
    </x:row>
    <x:row r="840" ht="22" customHeight="1">
      <x:c r="A840" s="28" t="str">
        <x:v>ANC-SLE-030-01-R08</x:v>
      </x:c>
      <x:c r="B840" s="28" t="str">
        <x:v>ANC-SLE-030-01</x:v>
      </x:c>
      <x:c r="C840" s="28" t="n">
        <x:v>16</x:v>
      </x:c>
      <x:c r="D840" s="47" t="n">
        <x:v>122.88</x:v>
      </x:c>
      <x:c r="E840" s="47" t="n">
        <x:v>203.227</x:v>
      </x:c>
      <x:c r="F840" s="47" t="n">
        <x:v>199.402</x:v>
      </x:c>
      <x:c r="G840" s="47" t="n">
        <x:v>212.835</x:v>
      </x:c>
      <x:c r="H840" s="50" t="n">
        <x:v>0.145931</x:v>
      </x:c>
      <x:c r="I840" s="50" t="n">
        <x:v>0.341375</x:v>
      </x:c>
      <x:c r="J840" s="50" t="n">
        <x:v>0.236809</x:v>
      </x:c>
      <x:c r="K840" s="50" t="n">
        <x:v>0.357514</x:v>
      </x:c>
      <x:c r="L840" s="47" t="n">
        <x:v>842.04</x:v>
      </x:c>
      <x:c r="M840" s="47" t="n">
        <x:v>595.32</x:v>
      </x:c>
      <x:c r="N840" s="28" t="str">
        <x:v>top-left</x:v>
      </x:c>
      <x:c r="O840" s="28" t="str">
        <x:v>PDF points</x:v>
      </x:c>
    </x:row>
    <x:row r="841" ht="22" customHeight="1">
      <x:c r="A841" s="28" t="str">
        <x:v>ANC-SLE-030-01-R09</x:v>
      </x:c>
      <x:c r="B841" s="28" t="str">
        <x:v>ANC-SLE-030-01</x:v>
      </x:c>
      <x:c r="C841" s="28" t="n">
        <x:v>16</x:v>
      </x:c>
      <x:c r="D841" s="47" t="n">
        <x:v>122.88</x:v>
      </x:c>
      <x:c r="E841" s="47" t="n">
        <x:v>211.987</x:v>
      </x:c>
      <x:c r="F841" s="47" t="n">
        <x:v>204.723</x:v>
      </x:c>
      <x:c r="G841" s="47" t="n">
        <x:v>221.595</x:v>
      </x:c>
      <x:c r="H841" s="50" t="n">
        <x:v>0.145931</x:v>
      </x:c>
      <x:c r="I841" s="50" t="n">
        <x:v>0.35609</x:v>
      </x:c>
      <x:c r="J841" s="50" t="n">
        <x:v>0.243128</x:v>
      </x:c>
      <x:c r="K841" s="50" t="n">
        <x:v>0.372229</x:v>
      </x:c>
      <x:c r="L841" s="47" t="n">
        <x:v>842.04</x:v>
      </x:c>
      <x:c r="M841" s="47" t="n">
        <x:v>595.32</x:v>
      </x:c>
      <x:c r="N841" s="28" t="str">
        <x:v>top-left</x:v>
      </x:c>
      <x:c r="O841" s="28" t="str">
        <x:v>PDF points</x:v>
      </x:c>
    </x:row>
    <x:row r="842" ht="22" customHeight="1">
      <x:c r="A842" s="28" t="str">
        <x:v>ANC-SLE-030-01-R10</x:v>
      </x:c>
      <x:c r="B842" s="28" t="str">
        <x:v>ANC-SLE-030-01</x:v>
      </x:c>
      <x:c r="C842" s="28" t="n">
        <x:v>16</x:v>
      </x:c>
      <x:c r="D842" s="47" t="n">
        <x:v>122.88</x:v>
      </x:c>
      <x:c r="E842" s="47" t="n">
        <x:v>220.63</x:v>
      </x:c>
      <x:c r="F842" s="47" t="n">
        <x:v>173.325</x:v>
      </x:c>
      <x:c r="G842" s="47" t="n">
        <x:v>230.238</x:v>
      </x:c>
      <x:c r="H842" s="50" t="n">
        <x:v>0.145931</x:v>
      </x:c>
      <x:c r="I842" s="50" t="n">
        <x:v>0.370608</x:v>
      </x:c>
      <x:c r="J842" s="50" t="n">
        <x:v>0.205839</x:v>
      </x:c>
      <x:c r="K842" s="50" t="n">
        <x:v>0.386747</x:v>
      </x:c>
      <x:c r="L842" s="47" t="n">
        <x:v>842.04</x:v>
      </x:c>
      <x:c r="M842" s="47" t="n">
        <x:v>595.32</x:v>
      </x:c>
      <x:c r="N842" s="28" t="str">
        <x:v>top-left</x:v>
      </x:c>
      <x:c r="O842" s="28" t="str">
        <x:v>PDF points</x:v>
      </x:c>
    </x:row>
    <x:row r="843" ht="22" customHeight="1">
      <x:c r="A843" s="28" t="str">
        <x:v>ANC-SLE-030-01-R11</x:v>
      </x:c>
      <x:c r="B843" s="28" t="str">
        <x:v>ANC-SLE-030-01</x:v>
      </x:c>
      <x:c r="C843" s="28" t="n">
        <x:v>16</x:v>
      </x:c>
      <x:c r="D843" s="47" t="n">
        <x:v>122.88</x:v>
      </x:c>
      <x:c r="E843" s="47" t="n">
        <x:v>229.387</x:v>
      </x:c>
      <x:c r="F843" s="47" t="n">
        <x:v>164.062</x:v>
      </x:c>
      <x:c r="G843" s="47" t="n">
        <x:v>238.995</x:v>
      </x:c>
      <x:c r="H843" s="50" t="n">
        <x:v>0.145931</x:v>
      </x:c>
      <x:c r="I843" s="50" t="n">
        <x:v>0.385318</x:v>
      </x:c>
      <x:c r="J843" s="50" t="n">
        <x:v>0.194839</x:v>
      </x:c>
      <x:c r="K843" s="50" t="n">
        <x:v>0.401457</x:v>
      </x:c>
      <x:c r="L843" s="47" t="n">
        <x:v>842.04</x:v>
      </x:c>
      <x:c r="M843" s="47" t="n">
        <x:v>595.32</x:v>
      </x:c>
      <x:c r="N843" s="28" t="str">
        <x:v>top-left</x:v>
      </x:c>
      <x:c r="O843" s="28" t="str">
        <x:v>PDF points</x:v>
      </x:c>
    </x:row>
    <x:row r="844" ht="22" customHeight="1">
      <x:c r="A844" s="28" t="str">
        <x:v>ANC-SLE-030-01-R12</x:v>
      </x:c>
      <x:c r="B844" s="28" t="str">
        <x:v>ANC-SLE-030-01</x:v>
      </x:c>
      <x:c r="C844" s="28" t="n">
        <x:v>16</x:v>
      </x:c>
      <x:c r="D844" s="47" t="n">
        <x:v>217.32</x:v>
      </x:c>
      <x:c r="E844" s="47" t="n">
        <x:v>203.227</x:v>
      </x:c>
      <x:c r="F844" s="47" t="n">
        <x:v>437.544</x:v>
      </x:c>
      <x:c r="G844" s="47" t="n">
        <x:v>212.835</x:v>
      </x:c>
      <x:c r="H844" s="50" t="n">
        <x:v>0.258088</x:v>
      </x:c>
      <x:c r="I844" s="50" t="n">
        <x:v>0.341375</x:v>
      </x:c>
      <x:c r="J844" s="50" t="n">
        <x:v>0.519623</x:v>
      </x:c>
      <x:c r="K844" s="50" t="n">
        <x:v>0.357514</x:v>
      </x:c>
      <x:c r="L844" s="47" t="n">
        <x:v>842.04</x:v>
      </x:c>
      <x:c r="M844" s="47" t="n">
        <x:v>595.32</x:v>
      </x:c>
      <x:c r="N844" s="28" t="str">
        <x:v>top-left</x:v>
      </x:c>
      <x:c r="O844" s="28" t="str">
        <x:v>PDF points</x:v>
      </x:c>
    </x:row>
    <x:row r="845" ht="22" customHeight="1">
      <x:c r="A845" s="28" t="str">
        <x:v>ANC-SLE-030-01-R13</x:v>
      </x:c>
      <x:c r="B845" s="28" t="str">
        <x:v>ANC-SLE-030-01</x:v>
      </x:c>
      <x:c r="C845" s="28" t="n">
        <x:v>16</x:v>
      </x:c>
      <x:c r="D845" s="47" t="n">
        <x:v>217.32</x:v>
      </x:c>
      <x:c r="E845" s="47" t="n">
        <x:v>211.987</x:v>
      </x:c>
      <x:c r="F845" s="47" t="n">
        <x:v>451.573</x:v>
      </x:c>
      <x:c r="G845" s="47" t="n">
        <x:v>221.595</x:v>
      </x:c>
      <x:c r="H845" s="50" t="n">
        <x:v>0.258088</x:v>
      </x:c>
      <x:c r="I845" s="50" t="n">
        <x:v>0.35609</x:v>
      </x:c>
      <x:c r="J845" s="50" t="n">
        <x:v>0.536285</x:v>
      </x:c>
      <x:c r="K845" s="50" t="n">
        <x:v>0.372229</x:v>
      </x:c>
      <x:c r="L845" s="47" t="n">
        <x:v>842.04</x:v>
      </x:c>
      <x:c r="M845" s="47" t="n">
        <x:v>595.32</x:v>
      </x:c>
      <x:c r="N845" s="28" t="str">
        <x:v>top-left</x:v>
      </x:c>
      <x:c r="O845" s="28" t="str">
        <x:v>PDF points</x:v>
      </x:c>
    </x:row>
    <x:row r="846" ht="22" customHeight="1">
      <x:c r="A846" s="28" t="str">
        <x:v>ANC-SLE-030-01-R14</x:v>
      </x:c>
      <x:c r="B846" s="28" t="str">
        <x:v>ANC-SLE-030-01</x:v>
      </x:c>
      <x:c r="C846" s="28" t="n">
        <x:v>16</x:v>
      </x:c>
      <x:c r="D846" s="47" t="n">
        <x:v>217.32</x:v>
      </x:c>
      <x:c r="E846" s="47" t="n">
        <x:v>220.627</x:v>
      </x:c>
      <x:c r="F846" s="47" t="n">
        <x:v>288.526</x:v>
      </x:c>
      <x:c r="G846" s="47" t="n">
        <x:v>230.235</x:v>
      </x:c>
      <x:c r="H846" s="50" t="n">
        <x:v>0.258088</x:v>
      </x:c>
      <x:c r="I846" s="50" t="n">
        <x:v>0.370603</x:v>
      </x:c>
      <x:c r="J846" s="50" t="n">
        <x:v>0.342651</x:v>
      </x:c>
      <x:c r="K846" s="50" t="n">
        <x:v>0.386742</x:v>
      </x:c>
      <x:c r="L846" s="47" t="n">
        <x:v>842.04</x:v>
      </x:c>
      <x:c r="M846" s="47" t="n">
        <x:v>595.32</x:v>
      </x:c>
      <x:c r="N846" s="28" t="str">
        <x:v>top-left</x:v>
      </x:c>
      <x:c r="O846" s="28" t="str">
        <x:v>PDF points</x:v>
      </x:c>
    </x:row>
    <x:row r="847" ht="22" customHeight="1">
      <x:c r="A847" s="28" t="str">
        <x:v>ANC-SLE-030-01-R15</x:v>
      </x:c>
      <x:c r="B847" s="28" t="str">
        <x:v>ANC-SLE-030-01</x:v>
      </x:c>
      <x:c r="C847" s="28" t="n">
        <x:v>16</x:v>
      </x:c>
      <x:c r="D847" s="47" t="n">
        <x:v>476.28</x:v>
      </x:c>
      <x:c r="E847" s="47" t="n">
        <x:v>211.987</x:v>
      </x:c>
      <x:c r="F847" s="47" t="n">
        <x:v>491.398</x:v>
      </x:c>
      <x:c r="G847" s="47" t="n">
        <x:v>221.595</x:v>
      </x:c>
      <x:c r="H847" s="50" t="n">
        <x:v>0.565626</x:v>
      </x:c>
      <x:c r="I847" s="50" t="n">
        <x:v>0.35609</x:v>
      </x:c>
      <x:c r="J847" s="50" t="n">
        <x:v>0.58358</x:v>
      </x:c>
      <x:c r="K847" s="50" t="n">
        <x:v>0.372229</x:v>
      </x:c>
      <x:c r="L847" s="47" t="n">
        <x:v>842.04</x:v>
      </x:c>
      <x:c r="M847" s="47" t="n">
        <x:v>595.32</x:v>
      </x:c>
      <x:c r="N847" s="28" t="str">
        <x:v>top-left</x:v>
      </x:c>
      <x:c r="O847" s="28" t="str">
        <x:v>PDF points</x:v>
      </x:c>
    </x:row>
    <x:row r="848" ht="22" customHeight="1">
      <x:c r="A848" s="28" t="str">
        <x:v>ANC-SLE-030-01-R16</x:v>
      </x:c>
      <x:c r="B848" s="28" t="str">
        <x:v>ANC-SLE-030-01</x:v>
      </x:c>
      <x:c r="C848" s="28" t="n">
        <x:v>16</x:v>
      </x:c>
      <x:c r="D848" s="47" t="n">
        <x:v>526.924</x:v>
      </x:c>
      <x:c r="E848" s="47" t="n">
        <x:v>211.987</x:v>
      </x:c>
      <x:c r="F848" s="47" t="n">
        <x:v>542.042</x:v>
      </x:c>
      <x:c r="G848" s="47" t="n">
        <x:v>221.595</x:v>
      </x:c>
      <x:c r="H848" s="50" t="n">
        <x:v>0.625771</x:v>
      </x:c>
      <x:c r="I848" s="50" t="n">
        <x:v>0.35609</x:v>
      </x:c>
      <x:c r="J848" s="50" t="n">
        <x:v>0.643724</x:v>
      </x:c>
      <x:c r="K848" s="50" t="n">
        <x:v>0.372229</x:v>
      </x:c>
      <x:c r="L848" s="47" t="n">
        <x:v>842.04</x:v>
      </x:c>
      <x:c r="M848" s="47" t="n">
        <x:v>595.32</x:v>
      </x:c>
      <x:c r="N848" s="28" t="str">
        <x:v>top-left</x:v>
      </x:c>
      <x:c r="O848" s="28" t="str">
        <x:v>PDF points</x:v>
      </x:c>
    </x:row>
    <x:row r="849" ht="22" customHeight="1">
      <x:c r="A849" s="28" t="str">
        <x:v>ANC-SLE-030-01-R17</x:v>
      </x:c>
      <x:c r="B849" s="28" t="str">
        <x:v>ANC-SLE-030-01</x:v>
      </x:c>
      <x:c r="C849" s="28" t="n">
        <x:v>16</x:v>
      </x:c>
      <x:c r="D849" s="47" t="n">
        <x:v>576.482</x:v>
      </x:c>
      <x:c r="E849" s="47" t="n">
        <x:v>211.987</x:v>
      </x:c>
      <x:c r="F849" s="47" t="n">
        <x:v>591.6</x:v>
      </x:c>
      <x:c r="G849" s="47" t="n">
        <x:v>221.595</x:v>
      </x:c>
      <x:c r="H849" s="50" t="n">
        <x:v>0.684626</x:v>
      </x:c>
      <x:c r="I849" s="50" t="n">
        <x:v>0.35609</x:v>
      </x:c>
      <x:c r="J849" s="50" t="n">
        <x:v>0.70258</x:v>
      </x:c>
      <x:c r="K849" s="50" t="n">
        <x:v>0.372229</x:v>
      </x:c>
      <x:c r="L849" s="47" t="n">
        <x:v>842.04</x:v>
      </x:c>
      <x:c r="M849" s="47" t="n">
        <x:v>595.32</x:v>
      </x:c>
      <x:c r="N849" s="28" t="str">
        <x:v>top-left</x:v>
      </x:c>
      <x:c r="O849" s="28" t="str">
        <x:v>PDF points</x:v>
      </x:c>
    </x:row>
    <x:row r="850" ht="22" customHeight="1">
      <x:c r="A850" s="28" t="str">
        <x:v>ANC-SLE-030-01-R18</x:v>
      </x:c>
      <x:c r="B850" s="28" t="str">
        <x:v>ANC-SLE-030-01</x:v>
      </x:c>
      <x:c r="C850" s="28" t="n">
        <x:v>16</x:v>
      </x:c>
      <x:c r="D850" s="47" t="n">
        <x:v>616.92</x:v>
      </x:c>
      <x:c r="E850" s="47" t="n">
        <x:v>211.987</x:v>
      </x:c>
      <x:c r="F850" s="47" t="n">
        <x:v>632.038</x:v>
      </x:c>
      <x:c r="G850" s="47" t="n">
        <x:v>221.595</x:v>
      </x:c>
      <x:c r="H850" s="50" t="n">
        <x:v>0.732649</x:v>
      </x:c>
      <x:c r="I850" s="50" t="n">
        <x:v>0.35609</x:v>
      </x:c>
      <x:c r="J850" s="50" t="n">
        <x:v>0.750603</x:v>
      </x:c>
      <x:c r="K850" s="50" t="n">
        <x:v>0.372229</x:v>
      </x:c>
      <x:c r="L850" s="47" t="n">
        <x:v>842.04</x:v>
      </x:c>
      <x:c r="M850" s="47" t="n">
        <x:v>595.32</x:v>
      </x:c>
      <x:c r="N850" s="28" t="str">
        <x:v>top-left</x:v>
      </x:c>
      <x:c r="O850" s="28" t="str">
        <x:v>PDF points</x:v>
      </x:c>
    </x:row>
    <x:row r="851" ht="22" customHeight="1">
      <x:c r="A851" s="28" t="str">
        <x:v>ANC-SLE-030-01-R19</x:v>
      </x:c>
      <x:c r="B851" s="28" t="str">
        <x:v>ANC-SLE-030-01</x:v>
      </x:c>
      <x:c r="C851" s="28" t="n">
        <x:v>16</x:v>
      </x:c>
      <x:c r="D851" s="47" t="n">
        <x:v>656.52</x:v>
      </x:c>
      <x:c r="E851" s="47" t="n">
        <x:v>211.987</x:v>
      </x:c>
      <x:c r="F851" s="47" t="n">
        <x:v>671.638</x:v>
      </x:c>
      <x:c r="G851" s="47" t="n">
        <x:v>221.595</x:v>
      </x:c>
      <x:c r="H851" s="50" t="n">
        <x:v>0.779678</x:v>
      </x:c>
      <x:c r="I851" s="50" t="n">
        <x:v>0.35609</x:v>
      </x:c>
      <x:c r="J851" s="50" t="n">
        <x:v>0.797632</x:v>
      </x:c>
      <x:c r="K851" s="50" t="n">
        <x:v>0.372229</x:v>
      </x:c>
      <x:c r="L851" s="47" t="n">
        <x:v>842.04</x:v>
      </x:c>
      <x:c r="M851" s="47" t="n">
        <x:v>595.32</x:v>
      </x:c>
      <x:c r="N851" s="28" t="str">
        <x:v>top-left</x:v>
      </x:c>
      <x:c r="O851" s="28" t="str">
        <x:v>PDF points</x:v>
      </x:c>
    </x:row>
    <x:row r="852" ht="22" customHeight="1">
      <x:c r="A852" s="28" t="str">
        <x:v>ANC-SLE-030-01-R20</x:v>
      </x:c>
      <x:c r="B852" s="28" t="str">
        <x:v>ANC-SLE-030-01</x:v>
      </x:c>
      <x:c r="C852" s="28" t="n">
        <x:v>16</x:v>
      </x:c>
      <x:c r="D852" s="47" t="n">
        <x:v>696</x:v>
      </x:c>
      <x:c r="E852" s="47" t="n">
        <x:v>211.987</x:v>
      </x:c>
      <x:c r="F852" s="47" t="n">
        <x:v>711.118</x:v>
      </x:c>
      <x:c r="G852" s="47" t="n">
        <x:v>221.595</x:v>
      </x:c>
      <x:c r="H852" s="50" t="n">
        <x:v>0.826564</x:v>
      </x:c>
      <x:c r="I852" s="50" t="n">
        <x:v>0.35609</x:v>
      </x:c>
      <x:c r="J852" s="50" t="n">
        <x:v>0.844518</x:v>
      </x:c>
      <x:c r="K852" s="50" t="n">
        <x:v>0.372229</x:v>
      </x:c>
      <x:c r="L852" s="47" t="n">
        <x:v>842.04</x:v>
      </x:c>
      <x:c r="M852" s="47" t="n">
        <x:v>595.32</x:v>
      </x:c>
      <x:c r="N852" s="28" t="str">
        <x:v>top-left</x:v>
      </x:c>
      <x:c r="O852" s="28" t="str">
        <x:v>PDF points</x:v>
      </x:c>
    </x:row>
    <x:row r="853" ht="22" customHeight="1">
      <x:c r="A853" s="28" t="str">
        <x:v>ANC-SLE-030-01-R21</x:v>
      </x:c>
      <x:c r="B853" s="28" t="str">
        <x:v>ANC-SLE-030-01</x:v>
      </x:c>
      <x:c r="C853" s="28" t="n">
        <x:v>16</x:v>
      </x:c>
      <x:c r="D853" s="47" t="n">
        <x:v>731.88</x:v>
      </x:c>
      <x:c r="E853" s="47" t="n">
        <x:v>211.987</x:v>
      </x:c>
      <x:c r="F853" s="47" t="n">
        <x:v>746.998</x:v>
      </x:c>
      <x:c r="G853" s="47" t="n">
        <x:v>221.595</x:v>
      </x:c>
      <x:c r="H853" s="50" t="n">
        <x:v>0.869175</x:v>
      </x:c>
      <x:c r="I853" s="50" t="n">
        <x:v>0.35609</x:v>
      </x:c>
      <x:c r="J853" s="50" t="n">
        <x:v>0.887129</x:v>
      </x:c>
      <x:c r="K853" s="50" t="n">
        <x:v>0.372229</x:v>
      </x:c>
      <x:c r="L853" s="47" t="n">
        <x:v>842.04</x:v>
      </x:c>
      <x:c r="M853" s="47" t="n">
        <x:v>595.32</x:v>
      </x:c>
      <x:c r="N853" s="28" t="str">
        <x:v>top-left</x:v>
      </x:c>
      <x:c r="O853" s="28" t="str">
        <x:v>PDF points</x:v>
      </x:c>
    </x:row>
    <x:row r="854" ht="22" customHeight="1">
      <x:c r="A854" s="28" t="str">
        <x:v>ANC-SLE-030-01-R22</x:v>
      </x:c>
      <x:c r="B854" s="28" t="str">
        <x:v>ANC-SLE-030-01</x:v>
      </x:c>
      <x:c r="C854" s="28" t="n">
        <x:v>16</x:v>
      </x:c>
      <x:c r="D854" s="47" t="n">
        <x:v>768.004</x:v>
      </x:c>
      <x:c r="E854" s="47" t="n">
        <x:v>211.987</x:v>
      </x:c>
      <x:c r="F854" s="47" t="n">
        <x:v>783.121</x:v>
      </x:c>
      <x:c r="G854" s="47" t="n">
        <x:v>221.595</x:v>
      </x:c>
      <x:c r="H854" s="50" t="n">
        <x:v>0.912075</x:v>
      </x:c>
      <x:c r="I854" s="50" t="n">
        <x:v>0.35609</x:v>
      </x:c>
      <x:c r="J854" s="50" t="n">
        <x:v>0.930029</x:v>
      </x:c>
      <x:c r="K854" s="50" t="n">
        <x:v>0.372229</x:v>
      </x:c>
      <x:c r="L854" s="47" t="n">
        <x:v>842.04</x:v>
      </x:c>
      <x:c r="M854" s="47" t="n">
        <x:v>595.32</x:v>
      </x:c>
      <x:c r="N854" s="28" t="str">
        <x:v>top-left</x:v>
      </x:c>
      <x:c r="O854" s="28" t="str">
        <x:v>PDF points</x:v>
      </x:c>
    </x:row>
    <x:row r="855" ht="22" customHeight="1">
      <x:c r="A855" s="28" t="str">
        <x:v>ANC-SLE-030-01-R23</x:v>
      </x:c>
      <x:c r="B855" s="28" t="str">
        <x:v>ANC-SLE-030-01</x:v>
      </x:c>
      <x:c r="C855" s="28" t="n">
        <x:v>16</x:v>
      </x:c>
      <x:c r="D855" s="47" t="n">
        <x:v>217.32</x:v>
      </x:c>
      <x:c r="E855" s="47" t="n">
        <x:v>229.867</x:v>
      </x:c>
      <x:c r="F855" s="47" t="n">
        <x:v>432.843</x:v>
      </x:c>
      <x:c r="G855" s="47" t="n">
        <x:v>239.475</x:v>
      </x:c>
      <x:c r="H855" s="50" t="n">
        <x:v>0.258088</x:v>
      </x:c>
      <x:c r="I855" s="50" t="n">
        <x:v>0.386124</x:v>
      </x:c>
      <x:c r="J855" s="50" t="n">
        <x:v>0.514041</x:v>
      </x:c>
      <x:c r="K855" s="50" t="n">
        <x:v>0.402263</x:v>
      </x:c>
      <x:c r="L855" s="47" t="n">
        <x:v>842.04</x:v>
      </x:c>
      <x:c r="M855" s="47" t="n">
        <x:v>595.32</x:v>
      </x:c>
      <x:c r="N855" s="28" t="str">
        <x:v>top-left</x:v>
      </x:c>
      <x:c r="O855" s="28" t="str">
        <x:v>PDF points</x:v>
      </x:c>
    </x:row>
    <x:row r="856" ht="22" customHeight="1">
      <x:c r="A856" s="28" t="str">
        <x:v>ANC-SLE-030-01-R24</x:v>
      </x:c>
      <x:c r="B856" s="28" t="str">
        <x:v>ANC-SLE-030-01</x:v>
      </x:c>
      <x:c r="C856" s="28" t="n">
        <x:v>16</x:v>
      </x:c>
      <x:c r="D856" s="47" t="n">
        <x:v>217.32</x:v>
      </x:c>
      <x:c r="E856" s="47" t="n">
        <x:v>238.627</x:v>
      </x:c>
      <x:c r="F856" s="47" t="n">
        <x:v>246</x:v>
      </x:c>
      <x:c r="G856" s="47" t="n">
        <x:v>248.235</x:v>
      </x:c>
      <x:c r="H856" s="50" t="n">
        <x:v>0.258088</x:v>
      </x:c>
      <x:c r="I856" s="50" t="n">
        <x:v>0.400839</x:v>
      </x:c>
      <x:c r="J856" s="50" t="n">
        <x:v>0.292147</x:v>
      </x:c>
      <x:c r="K856" s="50" t="n">
        <x:v>0.416978</x:v>
      </x:c>
      <x:c r="L856" s="47" t="n">
        <x:v>842.04</x:v>
      </x:c>
      <x:c r="M856" s="47" t="n">
        <x:v>595.32</x:v>
      </x:c>
      <x:c r="N856" s="28" t="str">
        <x:v>top-left</x:v>
      </x:c>
      <x:c r="O856" s="28" t="str">
        <x:v>PDF points</x:v>
      </x:c>
    </x:row>
    <x:row r="857" ht="22" customHeight="1">
      <x:c r="A857" s="28" t="str">
        <x:v>ANC-SLE-030-01-R25</x:v>
      </x:c>
      <x:c r="B857" s="28" t="str">
        <x:v>ANC-SLE-030-01</x:v>
      </x:c>
      <x:c r="C857" s="28" t="n">
        <x:v>16</x:v>
      </x:c>
      <x:c r="D857" s="47" t="n">
        <x:v>476.28</x:v>
      </x:c>
      <x:c r="E857" s="47" t="n">
        <x:v>236.227</x:v>
      </x:c>
      <x:c r="F857" s="47" t="n">
        <x:v>491.398</x:v>
      </x:c>
      <x:c r="G857" s="47" t="n">
        <x:v>245.835</x:v>
      </x:c>
      <x:c r="H857" s="50" t="n">
        <x:v>0.565626</x:v>
      </x:c>
      <x:c r="I857" s="50" t="n">
        <x:v>0.396807</x:v>
      </x:c>
      <x:c r="J857" s="50" t="n">
        <x:v>0.58358</x:v>
      </x:c>
      <x:c r="K857" s="50" t="n">
        <x:v>0.412946</x:v>
      </x:c>
      <x:c r="L857" s="47" t="n">
        <x:v>842.04</x:v>
      </x:c>
      <x:c r="M857" s="47" t="n">
        <x:v>595.32</x:v>
      </x:c>
      <x:c r="N857" s="28" t="str">
        <x:v>top-left</x:v>
      </x:c>
      <x:c r="O857" s="28" t="str">
        <x:v>PDF points</x:v>
      </x:c>
    </x:row>
    <x:row r="858" ht="22" customHeight="1">
      <x:c r="A858" s="28" t="str">
        <x:v>ANC-SLE-030-01-R26</x:v>
      </x:c>
      <x:c r="B858" s="28" t="str">
        <x:v>ANC-SLE-030-01</x:v>
      </x:c>
      <x:c r="C858" s="28" t="n">
        <x:v>16</x:v>
      </x:c>
      <x:c r="D858" s="47" t="n">
        <x:v>526.924</x:v>
      </x:c>
      <x:c r="E858" s="47" t="n">
        <x:v>236.227</x:v>
      </x:c>
      <x:c r="F858" s="47" t="n">
        <x:v>542.042</x:v>
      </x:c>
      <x:c r="G858" s="47" t="n">
        <x:v>245.835</x:v>
      </x:c>
      <x:c r="H858" s="50" t="n">
        <x:v>0.625771</x:v>
      </x:c>
      <x:c r="I858" s="50" t="n">
        <x:v>0.396807</x:v>
      </x:c>
      <x:c r="J858" s="50" t="n">
        <x:v>0.643724</x:v>
      </x:c>
      <x:c r="K858" s="50" t="n">
        <x:v>0.412946</x:v>
      </x:c>
      <x:c r="L858" s="47" t="n">
        <x:v>842.04</x:v>
      </x:c>
      <x:c r="M858" s="47" t="n">
        <x:v>595.32</x:v>
      </x:c>
      <x:c r="N858" s="28" t="str">
        <x:v>top-left</x:v>
      </x:c>
      <x:c r="O858" s="28" t="str">
        <x:v>PDF points</x:v>
      </x:c>
    </x:row>
    <x:row r="859" ht="22" customHeight="1">
      <x:c r="A859" s="28" t="str">
        <x:v>ANC-SLE-030-01-R27</x:v>
      </x:c>
      <x:c r="B859" s="28" t="str">
        <x:v>ANC-SLE-030-01</x:v>
      </x:c>
      <x:c r="C859" s="28" t="n">
        <x:v>16</x:v>
      </x:c>
      <x:c r="D859" s="47" t="n">
        <x:v>576.482</x:v>
      </x:c>
      <x:c r="E859" s="47" t="n">
        <x:v>236.227</x:v>
      </x:c>
      <x:c r="F859" s="47" t="n">
        <x:v>591.6</x:v>
      </x:c>
      <x:c r="G859" s="47" t="n">
        <x:v>245.835</x:v>
      </x:c>
      <x:c r="H859" s="50" t="n">
        <x:v>0.684626</x:v>
      </x:c>
      <x:c r="I859" s="50" t="n">
        <x:v>0.396807</x:v>
      </x:c>
      <x:c r="J859" s="50" t="n">
        <x:v>0.70258</x:v>
      </x:c>
      <x:c r="K859" s="50" t="n">
        <x:v>0.412946</x:v>
      </x:c>
      <x:c r="L859" s="47" t="n">
        <x:v>842.04</x:v>
      </x:c>
      <x:c r="M859" s="47" t="n">
        <x:v>595.32</x:v>
      </x:c>
      <x:c r="N859" s="28" t="str">
        <x:v>top-left</x:v>
      </x:c>
      <x:c r="O859" s="28" t="str">
        <x:v>PDF points</x:v>
      </x:c>
    </x:row>
    <x:row r="860" ht="22" customHeight="1">
      <x:c r="A860" s="28" t="str">
        <x:v>ANC-SLE-030-01-R28</x:v>
      </x:c>
      <x:c r="B860" s="28" t="str">
        <x:v>ANC-SLE-030-01</x:v>
      </x:c>
      <x:c r="C860" s="28" t="n">
        <x:v>16</x:v>
      </x:c>
      <x:c r="D860" s="47" t="n">
        <x:v>616.92</x:v>
      </x:c>
      <x:c r="E860" s="47" t="n">
        <x:v>236.227</x:v>
      </x:c>
      <x:c r="F860" s="47" t="n">
        <x:v>632.038</x:v>
      </x:c>
      <x:c r="G860" s="47" t="n">
        <x:v>245.835</x:v>
      </x:c>
      <x:c r="H860" s="50" t="n">
        <x:v>0.732649</x:v>
      </x:c>
      <x:c r="I860" s="50" t="n">
        <x:v>0.396807</x:v>
      </x:c>
      <x:c r="J860" s="50" t="n">
        <x:v>0.750603</x:v>
      </x:c>
      <x:c r="K860" s="50" t="n">
        <x:v>0.412946</x:v>
      </x:c>
      <x:c r="L860" s="47" t="n">
        <x:v>842.04</x:v>
      </x:c>
      <x:c r="M860" s="47" t="n">
        <x:v>595.32</x:v>
      </x:c>
      <x:c r="N860" s="28" t="str">
        <x:v>top-left</x:v>
      </x:c>
      <x:c r="O860" s="28" t="str">
        <x:v>PDF points</x:v>
      </x:c>
    </x:row>
    <x:row r="861" ht="22" customHeight="1">
      <x:c r="A861" s="28" t="str">
        <x:v>ANC-SLE-030-01-R29</x:v>
      </x:c>
      <x:c r="B861" s="28" t="str">
        <x:v>ANC-SLE-030-01</x:v>
      </x:c>
      <x:c r="C861" s="28" t="n">
        <x:v>16</x:v>
      </x:c>
      <x:c r="D861" s="47" t="n">
        <x:v>656.52</x:v>
      </x:c>
      <x:c r="E861" s="47" t="n">
        <x:v>236.227</x:v>
      </x:c>
      <x:c r="F861" s="47" t="n">
        <x:v>671.638</x:v>
      </x:c>
      <x:c r="G861" s="47" t="n">
        <x:v>245.835</x:v>
      </x:c>
      <x:c r="H861" s="50" t="n">
        <x:v>0.779678</x:v>
      </x:c>
      <x:c r="I861" s="50" t="n">
        <x:v>0.396807</x:v>
      </x:c>
      <x:c r="J861" s="50" t="n">
        <x:v>0.797632</x:v>
      </x:c>
      <x:c r="K861" s="50" t="n">
        <x:v>0.412946</x:v>
      </x:c>
      <x:c r="L861" s="47" t="n">
        <x:v>842.04</x:v>
      </x:c>
      <x:c r="M861" s="47" t="n">
        <x:v>595.32</x:v>
      </x:c>
      <x:c r="N861" s="28" t="str">
        <x:v>top-left</x:v>
      </x:c>
      <x:c r="O861" s="28" t="str">
        <x:v>PDF points</x:v>
      </x:c>
    </x:row>
    <x:row r="862" ht="22" customHeight="1">
      <x:c r="A862" s="28" t="str">
        <x:v>ANC-SLE-030-01-R30</x:v>
      </x:c>
      <x:c r="B862" s="28" t="str">
        <x:v>ANC-SLE-030-01</x:v>
      </x:c>
      <x:c r="C862" s="28" t="n">
        <x:v>16</x:v>
      </x:c>
      <x:c r="D862" s="47" t="n">
        <x:v>696</x:v>
      </x:c>
      <x:c r="E862" s="47" t="n">
        <x:v>236.227</x:v>
      </x:c>
      <x:c r="F862" s="47" t="n">
        <x:v>711.118</x:v>
      </x:c>
      <x:c r="G862" s="47" t="n">
        <x:v>245.835</x:v>
      </x:c>
      <x:c r="H862" s="50" t="n">
        <x:v>0.826564</x:v>
      </x:c>
      <x:c r="I862" s="50" t="n">
        <x:v>0.396807</x:v>
      </x:c>
      <x:c r="J862" s="50" t="n">
        <x:v>0.844518</x:v>
      </x:c>
      <x:c r="K862" s="50" t="n">
        <x:v>0.412946</x:v>
      </x:c>
      <x:c r="L862" s="47" t="n">
        <x:v>842.04</x:v>
      </x:c>
      <x:c r="M862" s="47" t="n">
        <x:v>595.32</x:v>
      </x:c>
      <x:c r="N862" s="28" t="str">
        <x:v>top-left</x:v>
      </x:c>
      <x:c r="O862" s="28" t="str">
        <x:v>PDF points</x:v>
      </x:c>
    </x:row>
    <x:row r="863" ht="22" customHeight="1">
      <x:c r="A863" s="28" t="str">
        <x:v>ANC-SLE-030-01-R31</x:v>
      </x:c>
      <x:c r="B863" s="28" t="str">
        <x:v>ANC-SLE-030-01</x:v>
      </x:c>
      <x:c r="C863" s="28" t="n">
        <x:v>16</x:v>
      </x:c>
      <x:c r="D863" s="47" t="n">
        <x:v>731.88</x:v>
      </x:c>
      <x:c r="E863" s="47" t="n">
        <x:v>236.227</x:v>
      </x:c>
      <x:c r="F863" s="47" t="n">
        <x:v>746.998</x:v>
      </x:c>
      <x:c r="G863" s="47" t="n">
        <x:v>245.835</x:v>
      </x:c>
      <x:c r="H863" s="50" t="n">
        <x:v>0.869175</x:v>
      </x:c>
      <x:c r="I863" s="50" t="n">
        <x:v>0.396807</x:v>
      </x:c>
      <x:c r="J863" s="50" t="n">
        <x:v>0.887129</x:v>
      </x:c>
      <x:c r="K863" s="50" t="n">
        <x:v>0.412946</x:v>
      </x:c>
      <x:c r="L863" s="47" t="n">
        <x:v>842.04</x:v>
      </x:c>
      <x:c r="M863" s="47" t="n">
        <x:v>595.32</x:v>
      </x:c>
      <x:c r="N863" s="28" t="str">
        <x:v>top-left</x:v>
      </x:c>
      <x:c r="O863" s="28" t="str">
        <x:v>PDF points</x:v>
      </x:c>
    </x:row>
    <x:row r="864" ht="22" customHeight="1">
      <x:c r="A864" s="28" t="str">
        <x:v>ANC-SLE-030-01-R32</x:v>
      </x:c>
      <x:c r="B864" s="28" t="str">
        <x:v>ANC-SLE-030-01</x:v>
      </x:c>
      <x:c r="C864" s="28" t="n">
        <x:v>16</x:v>
      </x:c>
      <x:c r="D864" s="47" t="n">
        <x:v>768</x:v>
      </x:c>
      <x:c r="E864" s="47" t="n">
        <x:v>236.227</x:v>
      </x:c>
      <x:c r="F864" s="47" t="n">
        <x:v>783.118</x:v>
      </x:c>
      <x:c r="G864" s="47" t="n">
        <x:v>245.835</x:v>
      </x:c>
      <x:c r="H864" s="50" t="n">
        <x:v>0.912071</x:v>
      </x:c>
      <x:c r="I864" s="50" t="n">
        <x:v>0.396807</x:v>
      </x:c>
      <x:c r="J864" s="50" t="n">
        <x:v>0.930024</x:v>
      </x:c>
      <x:c r="K864" s="50" t="n">
        <x:v>0.412946</x:v>
      </x:c>
      <x:c r="L864" s="47" t="n">
        <x:v>842.04</x:v>
      </x:c>
      <x:c r="M864" s="47" t="n">
        <x:v>595.32</x:v>
      </x:c>
      <x:c r="N864" s="28" t="str">
        <x:v>top-left</x:v>
      </x:c>
      <x:c r="O864" s="28" t="str">
        <x:v>PDF points</x:v>
      </x:c>
    </x:row>
    <x:row r="865" ht="22" customHeight="1">
      <x:c r="A865" s="28" t="str">
        <x:v>ANC-SLE-030-01-R33</x:v>
      </x:c>
      <x:c r="B865" s="28" t="str">
        <x:v>ANC-SLE-030-01</x:v>
      </x:c>
      <x:c r="C865" s="28" t="n">
        <x:v>16</x:v>
      </x:c>
      <x:c r="D865" s="47" t="n">
        <x:v>125.16</x:v>
      </x:c>
      <x:c r="E865" s="47" t="n">
        <x:v>251.707</x:v>
      </x:c>
      <x:c r="F865" s="47" t="n">
        <x:v>190.844</x:v>
      </x:c>
      <x:c r="G865" s="47" t="n">
        <x:v>261.315</x:v>
      </x:c>
      <x:c r="H865" s="50" t="n">
        <x:v>0.148639</x:v>
      </x:c>
      <x:c r="I865" s="50" t="n">
        <x:v>0.42281</x:v>
      </x:c>
      <x:c r="J865" s="50" t="n">
        <x:v>0.226645</x:v>
      </x:c>
      <x:c r="K865" s="50" t="n">
        <x:v>0.438949</x:v>
      </x:c>
      <x:c r="L865" s="47" t="n">
        <x:v>842.04</x:v>
      </x:c>
      <x:c r="M865" s="47" t="n">
        <x:v>595.32</x:v>
      </x:c>
      <x:c r="N865" s="28" t="str">
        <x:v>top-left</x:v>
      </x:c>
      <x:c r="O865" s="28" t="str">
        <x:v>PDF points</x:v>
      </x:c>
    </x:row>
    <x:row r="866" ht="22" customHeight="1">
      <x:c r="A866" s="28" t="str">
        <x:v>ANC-SLE-030-01-R34</x:v>
      </x:c>
      <x:c r="B866" s="28" t="str">
        <x:v>ANC-SLE-030-01</x:v>
      </x:c>
      <x:c r="C866" s="28" t="n">
        <x:v>16</x:v>
      </x:c>
      <x:c r="D866" s="47" t="n">
        <x:v>217.32</x:v>
      </x:c>
      <x:c r="E866" s="47" t="n">
        <x:v>251.707</x:v>
      </x:c>
      <x:c r="F866" s="47" t="n">
        <x:v>375.29</x:v>
      </x:c>
      <x:c r="G866" s="47" t="n">
        <x:v>261.315</x:v>
      </x:c>
      <x:c r="H866" s="50" t="n">
        <x:v>0.258088</x:v>
      </x:c>
      <x:c r="I866" s="50" t="n">
        <x:v>0.42281</x:v>
      </x:c>
      <x:c r="J866" s="50" t="n">
        <x:v>0.445691</x:v>
      </x:c>
      <x:c r="K866" s="50" t="n">
        <x:v>0.438949</x:v>
      </x:c>
      <x:c r="L866" s="47" t="n">
        <x:v>842.04</x:v>
      </x:c>
      <x:c r="M866" s="47" t="n">
        <x:v>595.32</x:v>
      </x:c>
      <x:c r="N866" s="28" t="str">
        <x:v>top-left</x:v>
      </x:c>
      <x:c r="O866" s="28" t="str">
        <x:v>PDF points</x:v>
      </x:c>
    </x:row>
    <x:row r="867" ht="22" customHeight="1">
      <x:c r="A867" s="28" t="str">
        <x:v>ANC-SLE-031-01-R01</x:v>
      </x:c>
      <x:c r="B867" s="28" t="str">
        <x:v>ANC-SLE-031-01</x:v>
      </x:c>
      <x:c r="C867" s="28" t="n">
        <x:v>16</x:v>
      </x:c>
      <x:c r="D867" s="47" t="n">
        <x:v>217.32</x:v>
      </x:c>
      <x:c r="E867" s="47" t="n">
        <x:v>323.827</x:v>
      </x:c>
      <x:c r="F867" s="47" t="n">
        <x:v>439.016</x:v>
      </x:c>
      <x:c r="G867" s="47" t="n">
        <x:v>333.435</x:v>
      </x:c>
      <x:c r="H867" s="50" t="n">
        <x:v>0.258088</x:v>
      </x:c>
      <x:c r="I867" s="50" t="n">
        <x:v>0.543955</x:v>
      </x:c>
      <x:c r="J867" s="50" t="n">
        <x:v>0.521372</x:v>
      </x:c>
      <x:c r="K867" s="50" t="n">
        <x:v>0.560094</x:v>
      </x:c>
      <x:c r="L867" s="47" t="n">
        <x:v>842.04</x:v>
      </x:c>
      <x:c r="M867" s="47" t="n">
        <x:v>595.32</x:v>
      </x:c>
      <x:c r="N867" s="28" t="str">
        <x:v>top-left</x:v>
      </x:c>
      <x:c r="O867" s="28" t="str">
        <x:v>PDF points</x:v>
      </x:c>
    </x:row>
    <x:row r="868" ht="22" customHeight="1">
      <x:c r="A868" s="28" t="str">
        <x:v>ANC-SLE-031-01-R02</x:v>
      </x:c>
      <x:c r="B868" s="28" t="str">
        <x:v>ANC-SLE-031-01</x:v>
      </x:c>
      <x:c r="C868" s="28" t="n">
        <x:v>16</x:v>
      </x:c>
      <x:c r="D868" s="47" t="n">
        <x:v>217.32</x:v>
      </x:c>
      <x:c r="E868" s="47" t="n">
        <x:v>332.591</x:v>
      </x:c>
      <x:c r="F868" s="47" t="n">
        <x:v>360.648</x:v>
      </x:c>
      <x:c r="G868" s="47" t="n">
        <x:v>342.199</x:v>
      </x:c>
      <x:c r="H868" s="50" t="n">
        <x:v>0.258088</x:v>
      </x:c>
      <x:c r="I868" s="50" t="n">
        <x:v>0.558676</x:v>
      </x:c>
      <x:c r="J868" s="50" t="n">
        <x:v>0.428303</x:v>
      </x:c>
      <x:c r="K868" s="50" t="n">
        <x:v>0.574815</x:v>
      </x:c>
      <x:c r="L868" s="47" t="n">
        <x:v>842.04</x:v>
      </x:c>
      <x:c r="M868" s="47" t="n">
        <x:v>595.32</x:v>
      </x:c>
      <x:c r="N868" s="28" t="str">
        <x:v>top-left</x:v>
      </x:c>
      <x:c r="O868" s="28" t="str">
        <x:v>PDF points</x:v>
      </x:c>
    </x:row>
    <x:row r="869" ht="22" customHeight="1">
      <x:c r="A869" s="28" t="str">
        <x:v>ANC-SLE-032-01-R01</x:v>
      </x:c>
      <x:c r="B869" s="28" t="str">
        <x:v>ANC-SLE-032-01</x:v>
      </x:c>
      <x:c r="C869" s="28" t="n">
        <x:v>16</x:v>
      </x:c>
      <x:c r="D869" s="47" t="n">
        <x:v>217.32</x:v>
      </x:c>
      <x:c r="E869" s="47" t="n">
        <x:v>491.107</x:v>
      </x:c>
      <x:c r="F869" s="47" t="n">
        <x:v>437.584</x:v>
      </x:c>
      <x:c r="G869" s="47" t="n">
        <x:v>500.715</x:v>
      </x:c>
      <x:c r="H869" s="50" t="n">
        <x:v>0.258088</x:v>
      </x:c>
      <x:c r="I869" s="50" t="n">
        <x:v>0.824947</x:v>
      </x:c>
      <x:c r="J869" s="50" t="n">
        <x:v>0.519671</x:v>
      </x:c>
      <x:c r="K869" s="50" t="n">
        <x:v>0.841086</x:v>
      </x:c>
      <x:c r="L869" s="47" t="n">
        <x:v>842.04</x:v>
      </x:c>
      <x:c r="M869" s="47" t="n">
        <x:v>595.32</x:v>
      </x:c>
      <x:c r="N869" s="28" t="str">
        <x:v>top-left</x:v>
      </x:c>
      <x:c r="O869" s="28" t="str">
        <x:v>PDF points</x:v>
      </x:c>
    </x:row>
    <x:row r="870" ht="22" customHeight="1">
      <x:c r="A870" s="28" t="str">
        <x:v>ANC-SLE-032-01-R02</x:v>
      </x:c>
      <x:c r="B870" s="28" t="str">
        <x:v>ANC-SLE-032-01</x:v>
      </x:c>
      <x:c r="C870" s="28" t="n">
        <x:v>16</x:v>
      </x:c>
      <x:c r="D870" s="47" t="n">
        <x:v>217.32</x:v>
      </x:c>
      <x:c r="E870" s="47" t="n">
        <x:v>499.747</x:v>
      </x:c>
      <x:c r="F870" s="47" t="n">
        <x:v>277.036</x:v>
      </x:c>
      <x:c r="G870" s="47" t="n">
        <x:v>509.355</x:v>
      </x:c>
      <x:c r="H870" s="50" t="n">
        <x:v>0.258088</x:v>
      </x:c>
      <x:c r="I870" s="50" t="n">
        <x:v>0.83946</x:v>
      </x:c>
      <x:c r="J870" s="50" t="n">
        <x:v>0.329006</x:v>
      </x:c>
      <x:c r="K870" s="50" t="n">
        <x:v>0.855599</x:v>
      </x:c>
      <x:c r="L870" s="47" t="n">
        <x:v>842.04</x:v>
      </x:c>
      <x:c r="M870" s="47" t="n">
        <x:v>595.32</x:v>
      </x:c>
      <x:c r="N870" s="28" t="str">
        <x:v>top-left</x:v>
      </x:c>
      <x:c r="O870" s="28" t="str">
        <x:v>PDF points</x:v>
      </x:c>
    </x:row>
    <x:row r="871" ht="22" customHeight="1">
      <x:c r="A871" s="28" t="str">
        <x:v>ANC-SLE-033-01-R01</x:v>
      </x:c>
      <x:c r="B871" s="28" t="str">
        <x:v>ANC-SLE-033-01</x:v>
      </x:c>
      <x:c r="C871" s="28" t="n">
        <x:v>16</x:v>
      </x:c>
      <x:c r="D871" s="47" t="n">
        <x:v>122.88</x:v>
      </x:c>
      <x:c r="E871" s="47" t="n">
        <x:v>491.107</x:v>
      </x:c>
      <x:c r="F871" s="47" t="n">
        <x:v>188.681</x:v>
      </x:c>
      <x:c r="G871" s="47" t="n">
        <x:v>500.715</x:v>
      </x:c>
      <x:c r="H871" s="50" t="n">
        <x:v>0.145931</x:v>
      </x:c>
      <x:c r="I871" s="50" t="n">
        <x:v>0.824947</x:v>
      </x:c>
      <x:c r="J871" s="50" t="n">
        <x:v>0.224076</x:v>
      </x:c>
      <x:c r="K871" s="50" t="n">
        <x:v>0.841086</x:v>
      </x:c>
      <x:c r="L871" s="47" t="n">
        <x:v>842.04</x:v>
      </x:c>
      <x:c r="M871" s="47" t="n">
        <x:v>595.32</x:v>
      </x:c>
      <x:c r="N871" s="28" t="str">
        <x:v>top-left</x:v>
      </x:c>
      <x:c r="O871" s="28" t="str">
        <x:v>PDF points</x:v>
      </x:c>
    </x:row>
    <x:row r="872" ht="22" customHeight="1">
      <x:c r="A872" s="28" t="str">
        <x:v>ANC-SLE-033-01-R02</x:v>
      </x:c>
      <x:c r="B872" s="28" t="str">
        <x:v>ANC-SLE-033-01</x:v>
      </x:c>
      <x:c r="C872" s="28" t="n">
        <x:v>16</x:v>
      </x:c>
      <x:c r="D872" s="47" t="n">
        <x:v>122.88</x:v>
      </x:c>
      <x:c r="E872" s="47" t="n">
        <x:v>499.747</x:v>
      </x:c>
      <x:c r="F872" s="47" t="n">
        <x:v>199.605</x:v>
      </x:c>
      <x:c r="G872" s="47" t="n">
        <x:v>509.355</x:v>
      </x:c>
      <x:c r="H872" s="50" t="n">
        <x:v>0.145931</x:v>
      </x:c>
      <x:c r="I872" s="50" t="n">
        <x:v>0.83946</x:v>
      </x:c>
      <x:c r="J872" s="50" t="n">
        <x:v>0.237049</x:v>
      </x:c>
      <x:c r="K872" s="50" t="n">
        <x:v>0.855599</x:v>
      </x:c>
      <x:c r="L872" s="47" t="n">
        <x:v>842.04</x:v>
      </x:c>
      <x:c r="M872" s="47" t="n">
        <x:v>595.32</x:v>
      </x:c>
      <x:c r="N872" s="28" t="str">
        <x:v>top-left</x:v>
      </x:c>
      <x:c r="O872" s="28" t="str">
        <x:v>PDF points</x:v>
      </x:c>
    </x:row>
    <x:row r="873" ht="22" customHeight="1">
      <x:c r="A873" s="28" t="str">
        <x:v>ANC-SLE-033-01-R03</x:v>
      </x:c>
      <x:c r="B873" s="28" t="str">
        <x:v>ANC-SLE-033-01</x:v>
      </x:c>
      <x:c r="C873" s="28" t="n">
        <x:v>16</x:v>
      </x:c>
      <x:c r="D873" s="47" t="n">
        <x:v>217.32</x:v>
      </x:c>
      <x:c r="E873" s="47" t="n">
        <x:v>491.107</x:v>
      </x:c>
      <x:c r="F873" s="47" t="n">
        <x:v>437.584</x:v>
      </x:c>
      <x:c r="G873" s="47" t="n">
        <x:v>500.715</x:v>
      </x:c>
      <x:c r="H873" s="50" t="n">
        <x:v>0.258088</x:v>
      </x:c>
      <x:c r="I873" s="50" t="n">
        <x:v>0.824947</x:v>
      </x:c>
      <x:c r="J873" s="50" t="n">
        <x:v>0.519671</x:v>
      </x:c>
      <x:c r="K873" s="50" t="n">
        <x:v>0.841086</x:v>
      </x:c>
      <x:c r="L873" s="47" t="n">
        <x:v>842.04</x:v>
      </x:c>
      <x:c r="M873" s="47" t="n">
        <x:v>595.32</x:v>
      </x:c>
      <x:c r="N873" s="28" t="str">
        <x:v>top-left</x:v>
      </x:c>
      <x:c r="O873" s="28" t="str">
        <x:v>PDF points</x:v>
      </x:c>
    </x:row>
    <x:row r="874" ht="22" customHeight="1">
      <x:c r="A874" s="28" t="str">
        <x:v>ANC-SLE-033-01-R04</x:v>
      </x:c>
      <x:c r="B874" s="28" t="str">
        <x:v>ANC-SLE-033-01</x:v>
      </x:c>
      <x:c r="C874" s="28" t="n">
        <x:v>16</x:v>
      </x:c>
      <x:c r="D874" s="47" t="n">
        <x:v>217.32</x:v>
      </x:c>
      <x:c r="E874" s="47" t="n">
        <x:v>499.747</x:v>
      </x:c>
      <x:c r="F874" s="47" t="n">
        <x:v>277.036</x:v>
      </x:c>
      <x:c r="G874" s="47" t="n">
        <x:v>509.355</x:v>
      </x:c>
      <x:c r="H874" s="50" t="n">
        <x:v>0.258088</x:v>
      </x:c>
      <x:c r="I874" s="50" t="n">
        <x:v>0.83946</x:v>
      </x:c>
      <x:c r="J874" s="50" t="n">
        <x:v>0.329006</x:v>
      </x:c>
      <x:c r="K874" s="50" t="n">
        <x:v>0.855599</x:v>
      </x:c>
      <x:c r="L874" s="47" t="n">
        <x:v>842.04</x:v>
      </x:c>
      <x:c r="M874" s="47" t="n">
        <x:v>595.32</x:v>
      </x:c>
      <x:c r="N874" s="28" t="str">
        <x:v>top-left</x:v>
      </x:c>
      <x:c r="O874" s="28" t="str">
        <x:v>PDF points</x:v>
      </x:c>
    </x:row>
    <x:row r="875" ht="22" customHeight="1">
      <x:c r="A875" s="28" t="str">
        <x:v>ANC-SLE-033-01-R05</x:v>
      </x:c>
      <x:c r="B875" s="28" t="str">
        <x:v>ANC-SLE-033-01</x:v>
      </x:c>
      <x:c r="C875" s="28" t="n">
        <x:v>16</x:v>
      </x:c>
      <x:c r="D875" s="47" t="n">
        <x:v>476.28</x:v>
      </x:c>
      <x:c r="E875" s="47" t="n">
        <x:v>495.427</x:v>
      </x:c>
      <x:c r="F875" s="47" t="n">
        <x:v>491.398</x:v>
      </x:c>
      <x:c r="G875" s="47" t="n">
        <x:v>505.035</x:v>
      </x:c>
      <x:c r="H875" s="50" t="n">
        <x:v>0.565626</x:v>
      </x:c>
      <x:c r="I875" s="50" t="n">
        <x:v>0.832203</x:v>
      </x:c>
      <x:c r="J875" s="50" t="n">
        <x:v>0.58358</x:v>
      </x:c>
      <x:c r="K875" s="50" t="n">
        <x:v>0.848342</x:v>
      </x:c>
      <x:c r="L875" s="47" t="n">
        <x:v>842.04</x:v>
      </x:c>
      <x:c r="M875" s="47" t="n">
        <x:v>595.32</x:v>
      </x:c>
      <x:c r="N875" s="28" t="str">
        <x:v>top-left</x:v>
      </x:c>
      <x:c r="O875" s="28" t="str">
        <x:v>PDF points</x:v>
      </x:c>
    </x:row>
    <x:row r="876" ht="22" customHeight="1">
      <x:c r="A876" s="28" t="str">
        <x:v>ANC-SLE-033-01-R06</x:v>
      </x:c>
      <x:c r="B876" s="28" t="str">
        <x:v>ANC-SLE-033-01</x:v>
      </x:c>
      <x:c r="C876" s="28" t="n">
        <x:v>16</x:v>
      </x:c>
      <x:c r="D876" s="47" t="n">
        <x:v>526.924</x:v>
      </x:c>
      <x:c r="E876" s="47" t="n">
        <x:v>495.427</x:v>
      </x:c>
      <x:c r="F876" s="47" t="n">
        <x:v>542.042</x:v>
      </x:c>
      <x:c r="G876" s="47" t="n">
        <x:v>505.035</x:v>
      </x:c>
      <x:c r="H876" s="50" t="n">
        <x:v>0.625771</x:v>
      </x:c>
      <x:c r="I876" s="50" t="n">
        <x:v>0.832203</x:v>
      </x:c>
      <x:c r="J876" s="50" t="n">
        <x:v>0.643724</x:v>
      </x:c>
      <x:c r="K876" s="50" t="n">
        <x:v>0.848342</x:v>
      </x:c>
      <x:c r="L876" s="47" t="n">
        <x:v>842.04</x:v>
      </x:c>
      <x:c r="M876" s="47" t="n">
        <x:v>595.32</x:v>
      </x:c>
      <x:c r="N876" s="28" t="str">
        <x:v>top-left</x:v>
      </x:c>
      <x:c r="O876" s="28" t="str">
        <x:v>PDF points</x:v>
      </x:c>
    </x:row>
    <x:row r="877" ht="22" customHeight="1">
      <x:c r="A877" s="28" t="str">
        <x:v>ANC-SLE-033-01-R07</x:v>
      </x:c>
      <x:c r="B877" s="28" t="str">
        <x:v>ANC-SLE-033-01</x:v>
      </x:c>
      <x:c r="C877" s="28" t="n">
        <x:v>16</x:v>
      </x:c>
      <x:c r="D877" s="47" t="n">
        <x:v>576.482</x:v>
      </x:c>
      <x:c r="E877" s="47" t="n">
        <x:v>495.427</x:v>
      </x:c>
      <x:c r="F877" s="47" t="n">
        <x:v>591.6</x:v>
      </x:c>
      <x:c r="G877" s="47" t="n">
        <x:v>505.035</x:v>
      </x:c>
      <x:c r="H877" s="50" t="n">
        <x:v>0.684626</x:v>
      </x:c>
      <x:c r="I877" s="50" t="n">
        <x:v>0.832203</x:v>
      </x:c>
      <x:c r="J877" s="50" t="n">
        <x:v>0.70258</x:v>
      </x:c>
      <x:c r="K877" s="50" t="n">
        <x:v>0.848342</x:v>
      </x:c>
      <x:c r="L877" s="47" t="n">
        <x:v>842.04</x:v>
      </x:c>
      <x:c r="M877" s="47" t="n">
        <x:v>595.32</x:v>
      </x:c>
      <x:c r="N877" s="28" t="str">
        <x:v>top-left</x:v>
      </x:c>
      <x:c r="O877" s="28" t="str">
        <x:v>PDF points</x:v>
      </x:c>
    </x:row>
    <x:row r="878" ht="22" customHeight="1">
      <x:c r="A878" s="28" t="str">
        <x:v>ANC-SLE-033-01-R08</x:v>
      </x:c>
      <x:c r="B878" s="28" t="str">
        <x:v>ANC-SLE-033-01</x:v>
      </x:c>
      <x:c r="C878" s="28" t="n">
        <x:v>16</x:v>
      </x:c>
      <x:c r="D878" s="47" t="n">
        <x:v>616.92</x:v>
      </x:c>
      <x:c r="E878" s="47" t="n">
        <x:v>495.427</x:v>
      </x:c>
      <x:c r="F878" s="47" t="n">
        <x:v>632.038</x:v>
      </x:c>
      <x:c r="G878" s="47" t="n">
        <x:v>505.035</x:v>
      </x:c>
      <x:c r="H878" s="50" t="n">
        <x:v>0.732649</x:v>
      </x:c>
      <x:c r="I878" s="50" t="n">
        <x:v>0.832203</x:v>
      </x:c>
      <x:c r="J878" s="50" t="n">
        <x:v>0.750603</x:v>
      </x:c>
      <x:c r="K878" s="50" t="n">
        <x:v>0.848342</x:v>
      </x:c>
      <x:c r="L878" s="47" t="n">
        <x:v>842.04</x:v>
      </x:c>
      <x:c r="M878" s="47" t="n">
        <x:v>595.32</x:v>
      </x:c>
      <x:c r="N878" s="28" t="str">
        <x:v>top-left</x:v>
      </x:c>
      <x:c r="O878" s="28" t="str">
        <x:v>PDF points</x:v>
      </x:c>
    </x:row>
    <x:row r="879" ht="22" customHeight="1">
      <x:c r="A879" s="28" t="str">
        <x:v>ANC-SLE-033-01-R09</x:v>
      </x:c>
      <x:c r="B879" s="28" t="str">
        <x:v>ANC-SLE-033-01</x:v>
      </x:c>
      <x:c r="C879" s="28" t="n">
        <x:v>16</x:v>
      </x:c>
      <x:c r="D879" s="47" t="n">
        <x:v>656.52</x:v>
      </x:c>
      <x:c r="E879" s="47" t="n">
        <x:v>495.427</x:v>
      </x:c>
      <x:c r="F879" s="47" t="n">
        <x:v>671.638</x:v>
      </x:c>
      <x:c r="G879" s="47" t="n">
        <x:v>505.035</x:v>
      </x:c>
      <x:c r="H879" s="50" t="n">
        <x:v>0.779678</x:v>
      </x:c>
      <x:c r="I879" s="50" t="n">
        <x:v>0.832203</x:v>
      </x:c>
      <x:c r="J879" s="50" t="n">
        <x:v>0.797632</x:v>
      </x:c>
      <x:c r="K879" s="50" t="n">
        <x:v>0.848342</x:v>
      </x:c>
      <x:c r="L879" s="47" t="n">
        <x:v>842.04</x:v>
      </x:c>
      <x:c r="M879" s="47" t="n">
        <x:v>595.32</x:v>
      </x:c>
      <x:c r="N879" s="28" t="str">
        <x:v>top-left</x:v>
      </x:c>
      <x:c r="O879" s="28" t="str">
        <x:v>PDF points</x:v>
      </x:c>
    </x:row>
    <x:row r="880" ht="22" customHeight="1">
      <x:c r="A880" s="28" t="str">
        <x:v>ANC-SLE-033-01-R10</x:v>
      </x:c>
      <x:c r="B880" s="28" t="str">
        <x:v>ANC-SLE-033-01</x:v>
      </x:c>
      <x:c r="C880" s="28" t="n">
        <x:v>16</x:v>
      </x:c>
      <x:c r="D880" s="47" t="n">
        <x:v>696</x:v>
      </x:c>
      <x:c r="E880" s="47" t="n">
        <x:v>495.427</x:v>
      </x:c>
      <x:c r="F880" s="47" t="n">
        <x:v>711.118</x:v>
      </x:c>
      <x:c r="G880" s="47" t="n">
        <x:v>505.035</x:v>
      </x:c>
      <x:c r="H880" s="50" t="n">
        <x:v>0.826564</x:v>
      </x:c>
      <x:c r="I880" s="50" t="n">
        <x:v>0.832203</x:v>
      </x:c>
      <x:c r="J880" s="50" t="n">
        <x:v>0.844518</x:v>
      </x:c>
      <x:c r="K880" s="50" t="n">
        <x:v>0.848342</x:v>
      </x:c>
      <x:c r="L880" s="47" t="n">
        <x:v>842.04</x:v>
      </x:c>
      <x:c r="M880" s="47" t="n">
        <x:v>595.32</x:v>
      </x:c>
      <x:c r="N880" s="28" t="str">
        <x:v>top-left</x:v>
      </x:c>
      <x:c r="O880" s="28" t="str">
        <x:v>PDF points</x:v>
      </x:c>
    </x:row>
    <x:row r="881" ht="22" customHeight="1">
      <x:c r="A881" s="28" t="str">
        <x:v>ANC-SLE-033-01-R11</x:v>
      </x:c>
      <x:c r="B881" s="28" t="str">
        <x:v>ANC-SLE-033-01</x:v>
      </x:c>
      <x:c r="C881" s="28" t="n">
        <x:v>16</x:v>
      </x:c>
      <x:c r="D881" s="47" t="n">
        <x:v>731.883</x:v>
      </x:c>
      <x:c r="E881" s="47" t="n">
        <x:v>495.427</x:v>
      </x:c>
      <x:c r="F881" s="47" t="n">
        <x:v>747</x:v>
      </x:c>
      <x:c r="G881" s="47" t="n">
        <x:v>505.035</x:v>
      </x:c>
      <x:c r="H881" s="50" t="n">
        <x:v>0.869178</x:v>
      </x:c>
      <x:c r="I881" s="50" t="n">
        <x:v>0.832203</x:v>
      </x:c>
      <x:c r="J881" s="50" t="n">
        <x:v>0.887131</x:v>
      </x:c>
      <x:c r="K881" s="50" t="n">
        <x:v>0.848342</x:v>
      </x:c>
      <x:c r="L881" s="47" t="n">
        <x:v>842.04</x:v>
      </x:c>
      <x:c r="M881" s="47" t="n">
        <x:v>595.32</x:v>
      </x:c>
      <x:c r="N881" s="28" t="str">
        <x:v>top-left</x:v>
      </x:c>
      <x:c r="O881" s="28" t="str">
        <x:v>PDF points</x:v>
      </x:c>
    </x:row>
    <x:row r="882" ht="22" customHeight="1">
      <x:c r="A882" s="28" t="str">
        <x:v>ANC-SLE-033-01-R12</x:v>
      </x:c>
      <x:c r="B882" s="28" t="str">
        <x:v>ANC-SLE-033-01</x:v>
      </x:c>
      <x:c r="C882" s="28" t="n">
        <x:v>16</x:v>
      </x:c>
      <x:c r="D882" s="47" t="n">
        <x:v>768.006</x:v>
      </x:c>
      <x:c r="E882" s="47" t="n">
        <x:v>495.427</x:v>
      </x:c>
      <x:c r="F882" s="47" t="n">
        <x:v>783.124</x:v>
      </x:c>
      <x:c r="G882" s="47" t="n">
        <x:v>505.035</x:v>
      </x:c>
      <x:c r="H882" s="50" t="n">
        <x:v>0.912078</x:v>
      </x:c>
      <x:c r="I882" s="50" t="n">
        <x:v>0.832203</x:v>
      </x:c>
      <x:c r="J882" s="50" t="n">
        <x:v>0.930032</x:v>
      </x:c>
      <x:c r="K882" s="50" t="n">
        <x:v>0.848342</x:v>
      </x:c>
      <x:c r="L882" s="47" t="n">
        <x:v>842.04</x:v>
      </x:c>
      <x:c r="M882" s="47" t="n">
        <x:v>595.32</x:v>
      </x:c>
      <x:c r="N882" s="28" t="str">
        <x:v>top-left</x:v>
      </x:c>
      <x:c r="O882" s="28" t="str">
        <x:v>PDF points</x:v>
      </x:c>
    </x:row>
    <x:row r="883" ht="22" customHeight="1">
      <x:c r="A883" s="28" t="str">
        <x:v>ANC-SLE-033-01-R13</x:v>
      </x:c>
      <x:c r="B883" s="28" t="str">
        <x:v>ANC-SLE-033-01</x:v>
      </x:c>
      <x:c r="C883" s="28" t="n">
        <x:v>16</x:v>
      </x:c>
      <x:c r="D883" s="47" t="n">
        <x:v>217.32</x:v>
      </x:c>
      <x:c r="E883" s="47" t="n">
        <x:v>508.987</x:v>
      </x:c>
      <x:c r="F883" s="47" t="n">
        <x:v>452.694</x:v>
      </x:c>
      <x:c r="G883" s="47" t="n">
        <x:v>518.595</x:v>
      </x:c>
      <x:c r="H883" s="50" t="n">
        <x:v>0.258088</x:v>
      </x:c>
      <x:c r="I883" s="50" t="n">
        <x:v>0.854981</x:v>
      </x:c>
      <x:c r="J883" s="50" t="n">
        <x:v>0.537616</x:v>
      </x:c>
      <x:c r="K883" s="50" t="n">
        <x:v>0.87112</x:v>
      </x:c>
      <x:c r="L883" s="47" t="n">
        <x:v>842.04</x:v>
      </x:c>
      <x:c r="M883" s="47" t="n">
        <x:v>595.32</x:v>
      </x:c>
      <x:c r="N883" s="28" t="str">
        <x:v>top-left</x:v>
      </x:c>
      <x:c r="O883" s="28" t="str">
        <x:v>PDF points</x:v>
      </x:c>
    </x:row>
    <x:row r="884" ht="22" customHeight="1">
      <x:c r="A884" s="28" t="str">
        <x:v>ANC-SLE-033-01-R14</x:v>
      </x:c>
      <x:c r="B884" s="28" t="str">
        <x:v>ANC-SLE-033-01</x:v>
      </x:c>
      <x:c r="C884" s="28" t="n">
        <x:v>16</x:v>
      </x:c>
      <x:c r="D884" s="47" t="n">
        <x:v>217.32</x:v>
      </x:c>
      <x:c r="E884" s="47" t="n">
        <x:v>517.747</x:v>
      </x:c>
      <x:c r="F884" s="47" t="n">
        <x:v>311.497</x:v>
      </x:c>
      <x:c r="G884" s="47" t="n">
        <x:v>527.355</x:v>
      </x:c>
      <x:c r="H884" s="50" t="n">
        <x:v>0.258088</x:v>
      </x:c>
      <x:c r="I884" s="50" t="n">
        <x:v>0.869696</x:v>
      </x:c>
      <x:c r="J884" s="50" t="n">
        <x:v>0.369931</x:v>
      </x:c>
      <x:c r="K884" s="50" t="n">
        <x:v>0.885835</x:v>
      </x:c>
      <x:c r="L884" s="47" t="n">
        <x:v>842.04</x:v>
      </x:c>
      <x:c r="M884" s="47" t="n">
        <x:v>595.32</x:v>
      </x:c>
      <x:c r="N884" s="28" t="str">
        <x:v>top-left</x:v>
      </x:c>
      <x:c r="O884" s="28" t="str">
        <x:v>PDF points</x:v>
      </x:c>
    </x:row>
    <x:row r="885" ht="22" customHeight="1">
      <x:c r="A885" s="28" t="str">
        <x:v>ANC-SLE-033-01-R15</x:v>
      </x:c>
      <x:c r="B885" s="28" t="str">
        <x:v>ANC-SLE-033-01</x:v>
      </x:c>
      <x:c r="C885" s="28" t="n">
        <x:v>16</x:v>
      </x:c>
      <x:c r="D885" s="47" t="n">
        <x:v>476.28</x:v>
      </x:c>
      <x:c r="E885" s="47" t="n">
        <x:v>513.547</x:v>
      </x:c>
      <x:c r="F885" s="47" t="n">
        <x:v>491.398</x:v>
      </x:c>
      <x:c r="G885" s="47" t="n">
        <x:v>523.155</x:v>
      </x:c>
      <x:c r="H885" s="50" t="n">
        <x:v>0.565626</x:v>
      </x:c>
      <x:c r="I885" s="50" t="n">
        <x:v>0.862641</x:v>
      </x:c>
      <x:c r="J885" s="50" t="n">
        <x:v>0.58358</x:v>
      </x:c>
      <x:c r="K885" s="50" t="n">
        <x:v>0.87878</x:v>
      </x:c>
      <x:c r="L885" s="47" t="n">
        <x:v>842.04</x:v>
      </x:c>
      <x:c r="M885" s="47" t="n">
        <x:v>595.32</x:v>
      </x:c>
      <x:c r="N885" s="28" t="str">
        <x:v>top-left</x:v>
      </x:c>
      <x:c r="O885" s="28" t="str">
        <x:v>PDF points</x:v>
      </x:c>
    </x:row>
    <x:row r="886" ht="22" customHeight="1">
      <x:c r="A886" s="28" t="str">
        <x:v>ANC-SLE-033-01-R16</x:v>
      </x:c>
      <x:c r="B886" s="28" t="str">
        <x:v>ANC-SLE-033-01</x:v>
      </x:c>
      <x:c r="C886" s="28" t="n">
        <x:v>16</x:v>
      </x:c>
      <x:c r="D886" s="47" t="n">
        <x:v>526.924</x:v>
      </x:c>
      <x:c r="E886" s="47" t="n">
        <x:v>513.547</x:v>
      </x:c>
      <x:c r="F886" s="47" t="n">
        <x:v>542.042</x:v>
      </x:c>
      <x:c r="G886" s="47" t="n">
        <x:v>523.155</x:v>
      </x:c>
      <x:c r="H886" s="50" t="n">
        <x:v>0.625771</x:v>
      </x:c>
      <x:c r="I886" s="50" t="n">
        <x:v>0.862641</x:v>
      </x:c>
      <x:c r="J886" s="50" t="n">
        <x:v>0.643724</x:v>
      </x:c>
      <x:c r="K886" s="50" t="n">
        <x:v>0.87878</x:v>
      </x:c>
      <x:c r="L886" s="47" t="n">
        <x:v>842.04</x:v>
      </x:c>
      <x:c r="M886" s="47" t="n">
        <x:v>595.32</x:v>
      </x:c>
      <x:c r="N886" s="28" t="str">
        <x:v>top-left</x:v>
      </x:c>
      <x:c r="O886" s="28" t="str">
        <x:v>PDF points</x:v>
      </x:c>
    </x:row>
    <x:row r="887" ht="22" customHeight="1">
      <x:c r="A887" s="28" t="str">
        <x:v>ANC-SLE-033-01-R17</x:v>
      </x:c>
      <x:c r="B887" s="28" t="str">
        <x:v>ANC-SLE-033-01</x:v>
      </x:c>
      <x:c r="C887" s="28" t="n">
        <x:v>16</x:v>
      </x:c>
      <x:c r="D887" s="47" t="n">
        <x:v>576.482</x:v>
      </x:c>
      <x:c r="E887" s="47" t="n">
        <x:v>513.547</x:v>
      </x:c>
      <x:c r="F887" s="47" t="n">
        <x:v>591.6</x:v>
      </x:c>
      <x:c r="G887" s="47" t="n">
        <x:v>523.155</x:v>
      </x:c>
      <x:c r="H887" s="50" t="n">
        <x:v>0.684626</x:v>
      </x:c>
      <x:c r="I887" s="50" t="n">
        <x:v>0.862641</x:v>
      </x:c>
      <x:c r="J887" s="50" t="n">
        <x:v>0.70258</x:v>
      </x:c>
      <x:c r="K887" s="50" t="n">
        <x:v>0.87878</x:v>
      </x:c>
      <x:c r="L887" s="47" t="n">
        <x:v>842.04</x:v>
      </x:c>
      <x:c r="M887" s="47" t="n">
        <x:v>595.32</x:v>
      </x:c>
      <x:c r="N887" s="28" t="str">
        <x:v>top-left</x:v>
      </x:c>
      <x:c r="O887" s="28" t="str">
        <x:v>PDF points</x:v>
      </x:c>
    </x:row>
    <x:row r="888" ht="22" customHeight="1">
      <x:c r="A888" s="28" t="str">
        <x:v>ANC-SLE-033-01-R18</x:v>
      </x:c>
      <x:c r="B888" s="28" t="str">
        <x:v>ANC-SLE-033-01</x:v>
      </x:c>
      <x:c r="C888" s="28" t="n">
        <x:v>16</x:v>
      </x:c>
      <x:c r="D888" s="47" t="n">
        <x:v>616.92</x:v>
      </x:c>
      <x:c r="E888" s="47" t="n">
        <x:v>513.547</x:v>
      </x:c>
      <x:c r="F888" s="47" t="n">
        <x:v>632.038</x:v>
      </x:c>
      <x:c r="G888" s="47" t="n">
        <x:v>523.155</x:v>
      </x:c>
      <x:c r="H888" s="50" t="n">
        <x:v>0.732649</x:v>
      </x:c>
      <x:c r="I888" s="50" t="n">
        <x:v>0.862641</x:v>
      </x:c>
      <x:c r="J888" s="50" t="n">
        <x:v>0.750603</x:v>
      </x:c>
      <x:c r="K888" s="50" t="n">
        <x:v>0.87878</x:v>
      </x:c>
      <x:c r="L888" s="47" t="n">
        <x:v>842.04</x:v>
      </x:c>
      <x:c r="M888" s="47" t="n">
        <x:v>595.32</x:v>
      </x:c>
      <x:c r="N888" s="28" t="str">
        <x:v>top-left</x:v>
      </x:c>
      <x:c r="O888" s="28" t="str">
        <x:v>PDF points</x:v>
      </x:c>
    </x:row>
    <x:row r="889" ht="22" customHeight="1">
      <x:c r="A889" s="28" t="str">
        <x:v>ANC-SLE-033-01-R19</x:v>
      </x:c>
      <x:c r="B889" s="28" t="str">
        <x:v>ANC-SLE-033-01</x:v>
      </x:c>
      <x:c r="C889" s="28" t="n">
        <x:v>16</x:v>
      </x:c>
      <x:c r="D889" s="47" t="n">
        <x:v>656.52</x:v>
      </x:c>
      <x:c r="E889" s="47" t="n">
        <x:v>513.547</x:v>
      </x:c>
      <x:c r="F889" s="47" t="n">
        <x:v>671.638</x:v>
      </x:c>
      <x:c r="G889" s="47" t="n">
        <x:v>523.155</x:v>
      </x:c>
      <x:c r="H889" s="50" t="n">
        <x:v>0.779678</x:v>
      </x:c>
      <x:c r="I889" s="50" t="n">
        <x:v>0.862641</x:v>
      </x:c>
      <x:c r="J889" s="50" t="n">
        <x:v>0.797632</x:v>
      </x:c>
      <x:c r="K889" s="50" t="n">
        <x:v>0.87878</x:v>
      </x:c>
      <x:c r="L889" s="47" t="n">
        <x:v>842.04</x:v>
      </x:c>
      <x:c r="M889" s="47" t="n">
        <x:v>595.32</x:v>
      </x:c>
      <x:c r="N889" s="28" t="str">
        <x:v>top-left</x:v>
      </x:c>
      <x:c r="O889" s="28" t="str">
        <x:v>PDF points</x:v>
      </x:c>
    </x:row>
    <x:row r="890" ht="22" customHeight="1">
      <x:c r="A890" s="28" t="str">
        <x:v>ANC-SLE-033-01-R20</x:v>
      </x:c>
      <x:c r="B890" s="28" t="str">
        <x:v>ANC-SLE-033-01</x:v>
      </x:c>
      <x:c r="C890" s="28" t="n">
        <x:v>16</x:v>
      </x:c>
      <x:c r="D890" s="47" t="n">
        <x:v>696.004</x:v>
      </x:c>
      <x:c r="E890" s="47" t="n">
        <x:v>513.547</x:v>
      </x:c>
      <x:c r="F890" s="47" t="n">
        <x:v>711.122</x:v>
      </x:c>
      <x:c r="G890" s="47" t="n">
        <x:v>523.155</x:v>
      </x:c>
      <x:c r="H890" s="50" t="n">
        <x:v>0.826569</x:v>
      </x:c>
      <x:c r="I890" s="50" t="n">
        <x:v>0.862641</x:v>
      </x:c>
      <x:c r="J890" s="50" t="n">
        <x:v>0.844523</x:v>
      </x:c>
      <x:c r="K890" s="50" t="n">
        <x:v>0.87878</x:v>
      </x:c>
      <x:c r="L890" s="47" t="n">
        <x:v>842.04</x:v>
      </x:c>
      <x:c r="M890" s="47" t="n">
        <x:v>595.32</x:v>
      </x:c>
      <x:c r="N890" s="28" t="str">
        <x:v>top-left</x:v>
      </x:c>
      <x:c r="O890" s="28" t="str">
        <x:v>PDF points</x:v>
      </x:c>
    </x:row>
    <x:row r="891" ht="22" customHeight="1">
      <x:c r="A891" s="28" t="str">
        <x:v>ANC-SLE-033-01-R21</x:v>
      </x:c>
      <x:c r="B891" s="28" t="str">
        <x:v>ANC-SLE-033-01</x:v>
      </x:c>
      <x:c r="C891" s="28" t="n">
        <x:v>16</x:v>
      </x:c>
      <x:c r="D891" s="47" t="n">
        <x:v>731.887</x:v>
      </x:c>
      <x:c r="E891" s="47" t="n">
        <x:v>513.547</x:v>
      </x:c>
      <x:c r="F891" s="47" t="n">
        <x:v>747.005</x:v>
      </x:c>
      <x:c r="G891" s="47" t="n">
        <x:v>523.155</x:v>
      </x:c>
      <x:c r="H891" s="50" t="n">
        <x:v>0.869183</x:v>
      </x:c>
      <x:c r="I891" s="50" t="n">
        <x:v>0.862641</x:v>
      </x:c>
      <x:c r="J891" s="50" t="n">
        <x:v>0.887137</x:v>
      </x:c>
      <x:c r="K891" s="50" t="n">
        <x:v>0.87878</x:v>
      </x:c>
      <x:c r="L891" s="47" t="n">
        <x:v>842.04</x:v>
      </x:c>
      <x:c r="M891" s="47" t="n">
        <x:v>595.32</x:v>
      </x:c>
      <x:c r="N891" s="28" t="str">
        <x:v>top-left</x:v>
      </x:c>
      <x:c r="O891" s="28" t="str">
        <x:v>PDF points</x:v>
      </x:c>
    </x:row>
    <x:row r="892" ht="22" customHeight="1">
      <x:c r="A892" s="28" t="str">
        <x:v>ANC-SLE-033-01-R22</x:v>
      </x:c>
      <x:c r="B892" s="28" t="str">
        <x:v>ANC-SLE-033-01</x:v>
      </x:c>
      <x:c r="C892" s="28" t="n">
        <x:v>16</x:v>
      </x:c>
      <x:c r="D892" s="47" t="n">
        <x:v>768.011</x:v>
      </x:c>
      <x:c r="E892" s="47" t="n">
        <x:v>513.547</x:v>
      </x:c>
      <x:c r="F892" s="47" t="n">
        <x:v>783.128</x:v>
      </x:c>
      <x:c r="G892" s="47" t="n">
        <x:v>523.155</x:v>
      </x:c>
      <x:c r="H892" s="50" t="n">
        <x:v>0.912083</x:v>
      </x:c>
      <x:c r="I892" s="50" t="n">
        <x:v>0.862641</x:v>
      </x:c>
      <x:c r="J892" s="50" t="n">
        <x:v>0.930037</x:v>
      </x:c>
      <x:c r="K892" s="50" t="n">
        <x:v>0.87878</x:v>
      </x:c>
      <x:c r="L892" s="47" t="n">
        <x:v>842.04</x:v>
      </x:c>
      <x:c r="M892" s="47" t="n">
        <x:v>595.32</x:v>
      </x:c>
      <x:c r="N892" s="28" t="str">
        <x:v>top-left</x:v>
      </x:c>
      <x:c r="O892" s="28" t="str">
        <x:v>PDF points</x:v>
      </x:c>
    </x:row>
    <x:row r="893" ht="22" customHeight="1">
      <x:c r="A893" s="28" t="str">
        <x:v>ANC-SLE-034-01-R01</x:v>
      </x:c>
      <x:c r="B893" s="28" t="str">
        <x:v>ANC-SLE-034-01</x:v>
      </x:c>
      <x:c r="C893" s="28" t="n">
        <x:v>17</x:v>
      </x:c>
      <x:c r="D893" s="47" t="n">
        <x:v>217.32</x:v>
      </x:c>
      <x:c r="E893" s="47" t="n">
        <x:v>105.907</x:v>
      </x:c>
      <x:c r="F893" s="47" t="n">
        <x:v>451.532</x:v>
      </x:c>
      <x:c r="G893" s="47" t="n">
        <x:v>115.515</x:v>
      </x:c>
      <x:c r="H893" s="50" t="n">
        <x:v>0.258088</x:v>
      </x:c>
      <x:c r="I893" s="50" t="n">
        <x:v>0.1779</x:v>
      </x:c>
      <x:c r="J893" s="50" t="n">
        <x:v>0.536236</x:v>
      </x:c>
      <x:c r="K893" s="50" t="n">
        <x:v>0.194039</x:v>
      </x:c>
      <x:c r="L893" s="47" t="n">
        <x:v>842.04</x:v>
      </x:c>
      <x:c r="M893" s="47" t="n">
        <x:v>595.32</x:v>
      </x:c>
      <x:c r="N893" s="28" t="str">
        <x:v>top-left</x:v>
      </x:c>
      <x:c r="O893" s="28" t="str">
        <x:v>PDF points</x:v>
      </x:c>
    </x:row>
    <x:row r="894" ht="22" customHeight="1">
      <x:c r="A894" s="28" t="str">
        <x:v>ANC-SLE-035-01-R01</x:v>
      </x:c>
      <x:c r="B894" s="28" t="str">
        <x:v>ANC-SLE-035-01</x:v>
      </x:c>
      <x:c r="C894" s="28" t="n">
        <x:v>17</x:v>
      </x:c>
      <x:c r="D894" s="47" t="n">
        <x:v>476.28</x:v>
      </x:c>
      <x:c r="E894" s="47" t="n">
        <x:v>103.507</x:v>
      </x:c>
      <x:c r="F894" s="47" t="n">
        <x:v>491.398</x:v>
      </x:c>
      <x:c r="G894" s="47" t="n">
        <x:v>113.115</x:v>
      </x:c>
      <x:c r="H894" s="50" t="n">
        <x:v>0.565626</x:v>
      </x:c>
      <x:c r="I894" s="50" t="n">
        <x:v>0.173868</x:v>
      </x:c>
      <x:c r="J894" s="50" t="n">
        <x:v>0.58358</x:v>
      </x:c>
      <x:c r="K894" s="50" t="n">
        <x:v>0.190007</x:v>
      </x:c>
      <x:c r="L894" s="47" t="n">
        <x:v>842.04</x:v>
      </x:c>
      <x:c r="M894" s="47" t="n">
        <x:v>595.32</x:v>
      </x:c>
      <x:c r="N894" s="28" t="str">
        <x:v>top-left</x:v>
      </x:c>
      <x:c r="O894" s="28" t="str">
        <x:v>PDF points</x:v>
      </x:c>
    </x:row>
    <x:row r="895" ht="22" customHeight="1">
      <x:c r="A895" s="28" t="str">
        <x:v>ANC-SLE-035-01-R02</x:v>
      </x:c>
      <x:c r="B895" s="28" t="str">
        <x:v>ANC-SLE-035-01</x:v>
      </x:c>
      <x:c r="C895" s="28" t="n">
        <x:v>17</x:v>
      </x:c>
      <x:c r="D895" s="47" t="n">
        <x:v>526.924</x:v>
      </x:c>
      <x:c r="E895" s="47" t="n">
        <x:v>103.507</x:v>
      </x:c>
      <x:c r="F895" s="47" t="n">
        <x:v>542.042</x:v>
      </x:c>
      <x:c r="G895" s="47" t="n">
        <x:v>113.115</x:v>
      </x:c>
      <x:c r="H895" s="50" t="n">
        <x:v>0.625771</x:v>
      </x:c>
      <x:c r="I895" s="50" t="n">
        <x:v>0.173868</x:v>
      </x:c>
      <x:c r="J895" s="50" t="n">
        <x:v>0.643724</x:v>
      </x:c>
      <x:c r="K895" s="50" t="n">
        <x:v>0.190007</x:v>
      </x:c>
      <x:c r="L895" s="47" t="n">
        <x:v>842.04</x:v>
      </x:c>
      <x:c r="M895" s="47" t="n">
        <x:v>595.32</x:v>
      </x:c>
      <x:c r="N895" s="28" t="str">
        <x:v>top-left</x:v>
      </x:c>
      <x:c r="O895" s="28" t="str">
        <x:v>PDF points</x:v>
      </x:c>
    </x:row>
    <x:row r="896" ht="22" customHeight="1">
      <x:c r="A896" s="28" t="str">
        <x:v>ANC-SLE-035-01-R03</x:v>
      </x:c>
      <x:c r="B896" s="28" t="str">
        <x:v>ANC-SLE-035-01</x:v>
      </x:c>
      <x:c r="C896" s="28" t="n">
        <x:v>17</x:v>
      </x:c>
      <x:c r="D896" s="47" t="n">
        <x:v>576.482</x:v>
      </x:c>
      <x:c r="E896" s="47" t="n">
        <x:v>103.507</x:v>
      </x:c>
      <x:c r="F896" s="47" t="n">
        <x:v>591.6</x:v>
      </x:c>
      <x:c r="G896" s="47" t="n">
        <x:v>113.115</x:v>
      </x:c>
      <x:c r="H896" s="50" t="n">
        <x:v>0.684626</x:v>
      </x:c>
      <x:c r="I896" s="50" t="n">
        <x:v>0.173868</x:v>
      </x:c>
      <x:c r="J896" s="50" t="n">
        <x:v>0.70258</x:v>
      </x:c>
      <x:c r="K896" s="50" t="n">
        <x:v>0.190007</x:v>
      </x:c>
      <x:c r="L896" s="47" t="n">
        <x:v>842.04</x:v>
      </x:c>
      <x:c r="M896" s="47" t="n">
        <x:v>595.32</x:v>
      </x:c>
      <x:c r="N896" s="28" t="str">
        <x:v>top-left</x:v>
      </x:c>
      <x:c r="O896" s="28" t="str">
        <x:v>PDF points</x:v>
      </x:c>
    </x:row>
    <x:row r="897" ht="22" customHeight="1">
      <x:c r="A897" s="28" t="str">
        <x:v>ANC-SLE-035-01-R04</x:v>
      </x:c>
      <x:c r="B897" s="28" t="str">
        <x:v>ANC-SLE-035-01</x:v>
      </x:c>
      <x:c r="C897" s="28" t="n">
        <x:v>17</x:v>
      </x:c>
      <x:c r="D897" s="47" t="n">
        <x:v>616.92</x:v>
      </x:c>
      <x:c r="E897" s="47" t="n">
        <x:v>103.507</x:v>
      </x:c>
      <x:c r="F897" s="47" t="n">
        <x:v>632.038</x:v>
      </x:c>
      <x:c r="G897" s="47" t="n">
        <x:v>113.115</x:v>
      </x:c>
      <x:c r="H897" s="50" t="n">
        <x:v>0.732649</x:v>
      </x:c>
      <x:c r="I897" s="50" t="n">
        <x:v>0.173868</x:v>
      </x:c>
      <x:c r="J897" s="50" t="n">
        <x:v>0.750603</x:v>
      </x:c>
      <x:c r="K897" s="50" t="n">
        <x:v>0.190007</x:v>
      </x:c>
      <x:c r="L897" s="47" t="n">
        <x:v>842.04</x:v>
      </x:c>
      <x:c r="M897" s="47" t="n">
        <x:v>595.32</x:v>
      </x:c>
      <x:c r="N897" s="28" t="str">
        <x:v>top-left</x:v>
      </x:c>
      <x:c r="O897" s="28" t="str">
        <x:v>PDF points</x:v>
      </x:c>
    </x:row>
    <x:row r="898" ht="22" customHeight="1">
      <x:c r="A898" s="28" t="str">
        <x:v>ANC-SLE-035-01-R05</x:v>
      </x:c>
      <x:c r="B898" s="28" t="str">
        <x:v>ANC-SLE-035-01</x:v>
      </x:c>
      <x:c r="C898" s="28" t="n">
        <x:v>17</x:v>
      </x:c>
      <x:c r="D898" s="47" t="n">
        <x:v>656.52</x:v>
      </x:c>
      <x:c r="E898" s="47" t="n">
        <x:v>103.507</x:v>
      </x:c>
      <x:c r="F898" s="47" t="n">
        <x:v>671.638</x:v>
      </x:c>
      <x:c r="G898" s="47" t="n">
        <x:v>113.115</x:v>
      </x:c>
      <x:c r="H898" s="50" t="n">
        <x:v>0.779678</x:v>
      </x:c>
      <x:c r="I898" s="50" t="n">
        <x:v>0.173868</x:v>
      </x:c>
      <x:c r="J898" s="50" t="n">
        <x:v>0.797632</x:v>
      </x:c>
      <x:c r="K898" s="50" t="n">
        <x:v>0.190007</x:v>
      </x:c>
      <x:c r="L898" s="47" t="n">
        <x:v>842.04</x:v>
      </x:c>
      <x:c r="M898" s="47" t="n">
        <x:v>595.32</x:v>
      </x:c>
      <x:c r="N898" s="28" t="str">
        <x:v>top-left</x:v>
      </x:c>
      <x:c r="O898" s="28" t="str">
        <x:v>PDF points</x:v>
      </x:c>
    </x:row>
    <x:row r="899" ht="22" customHeight="1">
      <x:c r="A899" s="28" t="str">
        <x:v>ANC-SLE-035-01-R06</x:v>
      </x:c>
      <x:c r="B899" s="28" t="str">
        <x:v>ANC-SLE-035-01</x:v>
      </x:c>
      <x:c r="C899" s="28" t="n">
        <x:v>17</x:v>
      </x:c>
      <x:c r="D899" s="47" t="n">
        <x:v>696.004</x:v>
      </x:c>
      <x:c r="E899" s="47" t="n">
        <x:v>103.507</x:v>
      </x:c>
      <x:c r="F899" s="47" t="n">
        <x:v>711.122</x:v>
      </x:c>
      <x:c r="G899" s="47" t="n">
        <x:v>113.115</x:v>
      </x:c>
      <x:c r="H899" s="50" t="n">
        <x:v>0.826569</x:v>
      </x:c>
      <x:c r="I899" s="50" t="n">
        <x:v>0.173868</x:v>
      </x:c>
      <x:c r="J899" s="50" t="n">
        <x:v>0.844523</x:v>
      </x:c>
      <x:c r="K899" s="50" t="n">
        <x:v>0.190007</x:v>
      </x:c>
      <x:c r="L899" s="47" t="n">
        <x:v>842.04</x:v>
      </x:c>
      <x:c r="M899" s="47" t="n">
        <x:v>595.32</x:v>
      </x:c>
      <x:c r="N899" s="28" t="str">
        <x:v>top-left</x:v>
      </x:c>
      <x:c r="O899" s="28" t="str">
        <x:v>PDF points</x:v>
      </x:c>
    </x:row>
    <x:row r="900" ht="22" customHeight="1">
      <x:c r="A900" s="28" t="str">
        <x:v>ANC-SLE-035-01-R07</x:v>
      </x:c>
      <x:c r="B900" s="28" t="str">
        <x:v>ANC-SLE-035-01</x:v>
      </x:c>
      <x:c r="C900" s="28" t="n">
        <x:v>17</x:v>
      </x:c>
      <x:c r="D900" s="47" t="n">
        <x:v>731.887</x:v>
      </x:c>
      <x:c r="E900" s="47" t="n">
        <x:v>103.507</x:v>
      </x:c>
      <x:c r="F900" s="47" t="n">
        <x:v>747.005</x:v>
      </x:c>
      <x:c r="G900" s="47" t="n">
        <x:v>113.115</x:v>
      </x:c>
      <x:c r="H900" s="50" t="n">
        <x:v>0.869183</x:v>
      </x:c>
      <x:c r="I900" s="50" t="n">
        <x:v>0.173868</x:v>
      </x:c>
      <x:c r="J900" s="50" t="n">
        <x:v>0.887137</x:v>
      </x:c>
      <x:c r="K900" s="50" t="n">
        <x:v>0.190007</x:v>
      </x:c>
      <x:c r="L900" s="47" t="n">
        <x:v>842.04</x:v>
      </x:c>
      <x:c r="M900" s="47" t="n">
        <x:v>595.32</x:v>
      </x:c>
      <x:c r="N900" s="28" t="str">
        <x:v>top-left</x:v>
      </x:c>
      <x:c r="O900" s="28" t="str">
        <x:v>PDF points</x:v>
      </x:c>
    </x:row>
    <x:row r="901" ht="22" customHeight="1">
      <x:c r="A901" s="28" t="str">
        <x:v>ANC-SLE-035-01-R08</x:v>
      </x:c>
      <x:c r="B901" s="28" t="str">
        <x:v>ANC-SLE-035-01</x:v>
      </x:c>
      <x:c r="C901" s="28" t="n">
        <x:v>17</x:v>
      </x:c>
      <x:c r="D901" s="47" t="n">
        <x:v>768.011</x:v>
      </x:c>
      <x:c r="E901" s="47" t="n">
        <x:v>103.507</x:v>
      </x:c>
      <x:c r="F901" s="47" t="n">
        <x:v>783.128</x:v>
      </x:c>
      <x:c r="G901" s="47" t="n">
        <x:v>113.115</x:v>
      </x:c>
      <x:c r="H901" s="50" t="n">
        <x:v>0.912083</x:v>
      </x:c>
      <x:c r="I901" s="50" t="n">
        <x:v>0.173868</x:v>
      </x:c>
      <x:c r="J901" s="50" t="n">
        <x:v>0.930037</x:v>
      </x:c>
      <x:c r="K901" s="50" t="n">
        <x:v>0.190007</x:v>
      </x:c>
      <x:c r="L901" s="47" t="n">
        <x:v>842.04</x:v>
      </x:c>
      <x:c r="M901" s="47" t="n">
        <x:v>595.32</x:v>
      </x:c>
      <x:c r="N901" s="28" t="str">
        <x:v>top-left</x:v>
      </x:c>
      <x:c r="O901" s="28" t="str">
        <x:v>PDF points</x:v>
      </x:c>
    </x:row>
    <x:row r="902" ht="22" customHeight="1">
      <x:c r="A902" s="28" t="str">
        <x:v>ANC-SLE-035-01-R09</x:v>
      </x:c>
      <x:c r="B902" s="28" t="str">
        <x:v>ANC-SLE-035-01</x:v>
      </x:c>
      <x:c r="C902" s="28" t="n">
        <x:v>17</x:v>
      </x:c>
      <x:c r="D902" s="47" t="n">
        <x:v>217.32</x:v>
      </x:c>
      <x:c r="E902" s="47" t="n">
        <x:v>119.107</x:v>
      </x:c>
      <x:c r="F902" s="47" t="n">
        <x:v>425.312</x:v>
      </x:c>
      <x:c r="G902" s="47" t="n">
        <x:v>128.715</x:v>
      </x:c>
      <x:c r="H902" s="50" t="n">
        <x:v>0.258088</x:v>
      </x:c>
      <x:c r="I902" s="50" t="n">
        <x:v>0.200073</x:v>
      </x:c>
      <x:c r="J902" s="50" t="n">
        <x:v>0.505097</x:v>
      </x:c>
      <x:c r="K902" s="50" t="n">
        <x:v>0.216212</x:v>
      </x:c>
      <x:c r="L902" s="47" t="n">
        <x:v>842.04</x:v>
      </x:c>
      <x:c r="M902" s="47" t="n">
        <x:v>595.32</x:v>
      </x:c>
      <x:c r="N902" s="28" t="str">
        <x:v>top-left</x:v>
      </x:c>
      <x:c r="O902" s="28" t="str">
        <x:v>PDF points</x:v>
      </x:c>
    </x:row>
    <x:row r="903" ht="22" customHeight="1">
      <x:c r="A903" s="28" t="str">
        <x:v>ANC-SLE-035-01-R10</x:v>
      </x:c>
      <x:c r="B903" s="28" t="str">
        <x:v>ANC-SLE-035-01</x:v>
      </x:c>
      <x:c r="C903" s="28" t="n">
        <x:v>17</x:v>
      </x:c>
      <x:c r="D903" s="47" t="n">
        <x:v>217.32</x:v>
      </x:c>
      <x:c r="E903" s="47" t="n">
        <x:v>127.747</x:v>
      </x:c>
      <x:c r="F903" s="47" t="n">
        <x:v>304.281</x:v>
      </x:c>
      <x:c r="G903" s="47" t="n">
        <x:v>137.355</x:v>
      </x:c>
      <x:c r="H903" s="50" t="n">
        <x:v>0.258088</x:v>
      </x:c>
      <x:c r="I903" s="50" t="n">
        <x:v>0.214586</x:v>
      </x:c>
      <x:c r="J903" s="50" t="n">
        <x:v>0.361362</x:v>
      </x:c>
      <x:c r="K903" s="50" t="n">
        <x:v>0.230725</x:v>
      </x:c>
      <x:c r="L903" s="47" t="n">
        <x:v>842.04</x:v>
      </x:c>
      <x:c r="M903" s="47" t="n">
        <x:v>595.32</x:v>
      </x:c>
      <x:c r="N903" s="28" t="str">
        <x:v>top-left</x:v>
      </x:c>
      <x:c r="O903" s="28" t="str">
        <x:v>PDF points</x:v>
      </x:c>
    </x:row>
    <x:row r="904" ht="22" customHeight="1">
      <x:c r="A904" s="28" t="str">
        <x:v>ANC-SLE-035-01-R11</x:v>
      </x:c>
      <x:c r="B904" s="28" t="str">
        <x:v>ANC-SLE-035-01</x:v>
      </x:c>
      <x:c r="C904" s="28" t="n">
        <x:v>17</x:v>
      </x:c>
      <x:c r="D904" s="47" t="n">
        <x:v>476.28</x:v>
      </x:c>
      <x:c r="E904" s="47" t="n">
        <x:v>123.427</x:v>
      </x:c>
      <x:c r="F904" s="47" t="n">
        <x:v>491.398</x:v>
      </x:c>
      <x:c r="G904" s="47" t="n">
        <x:v>133.035</x:v>
      </x:c>
      <x:c r="H904" s="50" t="n">
        <x:v>0.565626</x:v>
      </x:c>
      <x:c r="I904" s="50" t="n">
        <x:v>0.207329</x:v>
      </x:c>
      <x:c r="J904" s="50" t="n">
        <x:v>0.58358</x:v>
      </x:c>
      <x:c r="K904" s="50" t="n">
        <x:v>0.223468</x:v>
      </x:c>
      <x:c r="L904" s="47" t="n">
        <x:v>842.04</x:v>
      </x:c>
      <x:c r="M904" s="47" t="n">
        <x:v>595.32</x:v>
      </x:c>
      <x:c r="N904" s="28" t="str">
        <x:v>top-left</x:v>
      </x:c>
      <x:c r="O904" s="28" t="str">
        <x:v>PDF points</x:v>
      </x:c>
    </x:row>
    <x:row r="905" ht="22" customHeight="1">
      <x:c r="A905" s="28" t="str">
        <x:v>ANC-SLE-035-01-R12</x:v>
      </x:c>
      <x:c r="B905" s="28" t="str">
        <x:v>ANC-SLE-035-01</x:v>
      </x:c>
      <x:c r="C905" s="28" t="n">
        <x:v>17</x:v>
      </x:c>
      <x:c r="D905" s="47" t="n">
        <x:v>526.924</x:v>
      </x:c>
      <x:c r="E905" s="47" t="n">
        <x:v>123.427</x:v>
      </x:c>
      <x:c r="F905" s="47" t="n">
        <x:v>542.042</x:v>
      </x:c>
      <x:c r="G905" s="47" t="n">
        <x:v>133.035</x:v>
      </x:c>
      <x:c r="H905" s="50" t="n">
        <x:v>0.625771</x:v>
      </x:c>
      <x:c r="I905" s="50" t="n">
        <x:v>0.207329</x:v>
      </x:c>
      <x:c r="J905" s="50" t="n">
        <x:v>0.643724</x:v>
      </x:c>
      <x:c r="K905" s="50" t="n">
        <x:v>0.223468</x:v>
      </x:c>
      <x:c r="L905" s="47" t="n">
        <x:v>842.04</x:v>
      </x:c>
      <x:c r="M905" s="47" t="n">
        <x:v>595.32</x:v>
      </x:c>
      <x:c r="N905" s="28" t="str">
        <x:v>top-left</x:v>
      </x:c>
      <x:c r="O905" s="28" t="str">
        <x:v>PDF points</x:v>
      </x:c>
    </x:row>
    <x:row r="906" ht="22" customHeight="1">
      <x:c r="A906" s="28" t="str">
        <x:v>ANC-SLE-035-01-R13</x:v>
      </x:c>
      <x:c r="B906" s="28" t="str">
        <x:v>ANC-SLE-035-01</x:v>
      </x:c>
      <x:c r="C906" s="28" t="n">
        <x:v>17</x:v>
      </x:c>
      <x:c r="D906" s="47" t="n">
        <x:v>576.482</x:v>
      </x:c>
      <x:c r="E906" s="47" t="n">
        <x:v>123.427</x:v>
      </x:c>
      <x:c r="F906" s="47" t="n">
        <x:v>591.6</x:v>
      </x:c>
      <x:c r="G906" s="47" t="n">
        <x:v>133.035</x:v>
      </x:c>
      <x:c r="H906" s="50" t="n">
        <x:v>0.684626</x:v>
      </x:c>
      <x:c r="I906" s="50" t="n">
        <x:v>0.207329</x:v>
      </x:c>
      <x:c r="J906" s="50" t="n">
        <x:v>0.70258</x:v>
      </x:c>
      <x:c r="K906" s="50" t="n">
        <x:v>0.223468</x:v>
      </x:c>
      <x:c r="L906" s="47" t="n">
        <x:v>842.04</x:v>
      </x:c>
      <x:c r="M906" s="47" t="n">
        <x:v>595.32</x:v>
      </x:c>
      <x:c r="N906" s="28" t="str">
        <x:v>top-left</x:v>
      </x:c>
      <x:c r="O906" s="28" t="str">
        <x:v>PDF points</x:v>
      </x:c>
    </x:row>
    <x:row r="907" ht="22" customHeight="1">
      <x:c r="A907" s="28" t="str">
        <x:v>ANC-SLE-035-01-R14</x:v>
      </x:c>
      <x:c r="B907" s="28" t="str">
        <x:v>ANC-SLE-035-01</x:v>
      </x:c>
      <x:c r="C907" s="28" t="n">
        <x:v>17</x:v>
      </x:c>
      <x:c r="D907" s="47" t="n">
        <x:v>614.76</x:v>
      </x:c>
      <x:c r="E907" s="47" t="n">
        <x:v>123.427</x:v>
      </x:c>
      <x:c r="F907" s="47" t="n">
        <x:v>634.318</x:v>
      </x:c>
      <x:c r="G907" s="47" t="n">
        <x:v>133.035</x:v>
      </x:c>
      <x:c r="H907" s="50" t="n">
        <x:v>0.730084</x:v>
      </x:c>
      <x:c r="I907" s="50" t="n">
        <x:v>0.207329</x:v>
      </x:c>
      <x:c r="J907" s="50" t="n">
        <x:v>0.753311</x:v>
      </x:c>
      <x:c r="K907" s="50" t="n">
        <x:v>0.223468</x:v>
      </x:c>
      <x:c r="L907" s="47" t="n">
        <x:v>842.04</x:v>
      </x:c>
      <x:c r="M907" s="47" t="n">
        <x:v>595.32</x:v>
      </x:c>
      <x:c r="N907" s="28" t="str">
        <x:v>top-left</x:v>
      </x:c>
      <x:c r="O907" s="28" t="str">
        <x:v>PDF points</x:v>
      </x:c>
    </x:row>
    <x:row r="908" ht="22" customHeight="1">
      <x:c r="A908" s="28" t="str">
        <x:v>ANC-SLE-035-01-R15</x:v>
      </x:c>
      <x:c r="B908" s="28" t="str">
        <x:v>ANC-SLE-035-01</x:v>
      </x:c>
      <x:c r="C908" s="28" t="n">
        <x:v>17</x:v>
      </x:c>
      <x:c r="D908" s="47" t="n">
        <x:v>654.24</x:v>
      </x:c>
      <x:c r="E908" s="47" t="n">
        <x:v>123.427</x:v>
      </x:c>
      <x:c r="F908" s="47" t="n">
        <x:v>673.798</x:v>
      </x:c>
      <x:c r="G908" s="47" t="n">
        <x:v>133.035</x:v>
      </x:c>
      <x:c r="H908" s="50" t="n">
        <x:v>0.77697</x:v>
      </x:c>
      <x:c r="I908" s="50" t="n">
        <x:v>0.207329</x:v>
      </x:c>
      <x:c r="J908" s="50" t="n">
        <x:v>0.800197</x:v>
      </x:c>
      <x:c r="K908" s="50" t="n">
        <x:v>0.223468</x:v>
      </x:c>
      <x:c r="L908" s="47" t="n">
        <x:v>842.04</x:v>
      </x:c>
      <x:c r="M908" s="47" t="n">
        <x:v>595.32</x:v>
      </x:c>
      <x:c r="N908" s="28" t="str">
        <x:v>top-left</x:v>
      </x:c>
      <x:c r="O908" s="28" t="str">
        <x:v>PDF points</x:v>
      </x:c>
    </x:row>
    <x:row r="909" ht="22" customHeight="1">
      <x:c r="A909" s="28" t="str">
        <x:v>ANC-SLE-035-01-R16</x:v>
      </x:c>
      <x:c r="B909" s="28" t="str">
        <x:v>ANC-SLE-035-01</x:v>
      </x:c>
      <x:c r="C909" s="28" t="n">
        <x:v>17</x:v>
      </x:c>
      <x:c r="D909" s="47" t="n">
        <x:v>693.84</x:v>
      </x:c>
      <x:c r="E909" s="47" t="n">
        <x:v>123.427</x:v>
      </x:c>
      <x:c r="F909" s="47" t="n">
        <x:v>713.398</x:v>
      </x:c>
      <x:c r="G909" s="47" t="n">
        <x:v>133.035</x:v>
      </x:c>
      <x:c r="H909" s="50" t="n">
        <x:v>0.823999</x:v>
      </x:c>
      <x:c r="I909" s="50" t="n">
        <x:v>0.207329</x:v>
      </x:c>
      <x:c r="J909" s="50" t="n">
        <x:v>0.847226</x:v>
      </x:c>
      <x:c r="K909" s="50" t="n">
        <x:v>0.223468</x:v>
      </x:c>
      <x:c r="L909" s="47" t="n">
        <x:v>842.04</x:v>
      </x:c>
      <x:c r="M909" s="47" t="n">
        <x:v>595.32</x:v>
      </x:c>
      <x:c r="N909" s="28" t="str">
        <x:v>top-left</x:v>
      </x:c>
      <x:c r="O909" s="28" t="str">
        <x:v>PDF points</x:v>
      </x:c>
    </x:row>
    <x:row r="910" ht="22" customHeight="1">
      <x:c r="A910" s="28" t="str">
        <x:v>ANC-SLE-035-01-R17</x:v>
      </x:c>
      <x:c r="B910" s="28" t="str">
        <x:v>ANC-SLE-035-01</x:v>
      </x:c>
      <x:c r="C910" s="28" t="n">
        <x:v>17</x:v>
      </x:c>
      <x:c r="D910" s="47" t="n">
        <x:v>729.72</x:v>
      </x:c>
      <x:c r="E910" s="47" t="n">
        <x:v>123.427</x:v>
      </x:c>
      <x:c r="F910" s="47" t="n">
        <x:v>749.278</x:v>
      </x:c>
      <x:c r="G910" s="47" t="n">
        <x:v>133.035</x:v>
      </x:c>
      <x:c r="H910" s="50" t="n">
        <x:v>0.86661</x:v>
      </x:c>
      <x:c r="I910" s="50" t="n">
        <x:v>0.207329</x:v>
      </x:c>
      <x:c r="J910" s="50" t="n">
        <x:v>0.889837</x:v>
      </x:c>
      <x:c r="K910" s="50" t="n">
        <x:v>0.223468</x:v>
      </x:c>
      <x:c r="L910" s="47" t="n">
        <x:v>842.04</x:v>
      </x:c>
      <x:c r="M910" s="47" t="n">
        <x:v>595.32</x:v>
      </x:c>
      <x:c r="N910" s="28" t="str">
        <x:v>top-left</x:v>
      </x:c>
      <x:c r="O910" s="28" t="str">
        <x:v>PDF points</x:v>
      </x:c>
    </x:row>
    <x:row r="911" ht="22" customHeight="1">
      <x:c r="A911" s="28" t="str">
        <x:v>ANC-SLE-035-01-R18</x:v>
      </x:c>
      <x:c r="B911" s="28" t="str">
        <x:v>ANC-SLE-035-01</x:v>
      </x:c>
      <x:c r="C911" s="28" t="n">
        <x:v>17</x:v>
      </x:c>
      <x:c r="D911" s="47" t="n">
        <x:v>765.84</x:v>
      </x:c>
      <x:c r="E911" s="47" t="n">
        <x:v>123.427</x:v>
      </x:c>
      <x:c r="F911" s="47" t="n">
        <x:v>785.398</x:v>
      </x:c>
      <x:c r="G911" s="47" t="n">
        <x:v>133.035</x:v>
      </x:c>
      <x:c r="H911" s="50" t="n">
        <x:v>0.909506</x:v>
      </x:c>
      <x:c r="I911" s="50" t="n">
        <x:v>0.207329</x:v>
      </x:c>
      <x:c r="J911" s="50" t="n">
        <x:v>0.932733</x:v>
      </x:c>
      <x:c r="K911" s="50" t="n">
        <x:v>0.223468</x:v>
      </x:c>
      <x:c r="L911" s="47" t="n">
        <x:v>842.04</x:v>
      </x:c>
      <x:c r="M911" s="47" t="n">
        <x:v>595.32</x:v>
      </x:c>
      <x:c r="N911" s="28" t="str">
        <x:v>top-left</x:v>
      </x:c>
      <x:c r="O911" s="28" t="str">
        <x:v>PDF points</x:v>
      </x:c>
    </x:row>
    <x:row r="912" ht="22" customHeight="1">
      <x:c r="A912" s="28" t="str">
        <x:v>ANC-SLE-036-01-R01</x:v>
      </x:c>
      <x:c r="B912" s="28" t="str">
        <x:v>ANC-SLE-036-01</x:v>
      </x:c>
      <x:c r="C912" s="28" t="n">
        <x:v>17</x:v>
      </x:c>
      <x:c r="D912" s="47" t="n">
        <x:v>217.32</x:v>
      </x:c>
      <x:c r="E912" s="47" t="n">
        <x:v>136.987</x:v>
      </x:c>
      <x:c r="F912" s="47" t="n">
        <x:v>397.849</x:v>
      </x:c>
      <x:c r="G912" s="47" t="n">
        <x:v>146.595</x:v>
      </x:c>
      <x:c r="H912" s="50" t="n">
        <x:v>0.258088</x:v>
      </x:c>
      <x:c r="I912" s="50" t="n">
        <x:v>0.230107</x:v>
      </x:c>
      <x:c r="J912" s="50" t="n">
        <x:v>0.472482</x:v>
      </x:c>
      <x:c r="K912" s="50" t="n">
        <x:v>0.246246</x:v>
      </x:c>
      <x:c r="L912" s="47" t="n">
        <x:v>842.04</x:v>
      </x:c>
      <x:c r="M912" s="47" t="n">
        <x:v>595.32</x:v>
      </x:c>
      <x:c r="N912" s="28" t="str">
        <x:v>top-left</x:v>
      </x:c>
      <x:c r="O912" s="28" t="str">
        <x:v>PDF points</x:v>
      </x:c>
    </x:row>
    <x:row r="913" ht="22" customHeight="1">
      <x:c r="A913" s="28" t="str">
        <x:v>ANC-SLE-037-01-R01</x:v>
      </x:c>
      <x:c r="B913" s="28" t="str">
        <x:v>ANC-SLE-037-01</x:v>
      </x:c>
      <x:c r="C913" s="28" t="n">
        <x:v>17</x:v>
      </x:c>
      <x:c r="D913" s="47" t="n">
        <x:v>217.32</x:v>
      </x:c>
      <x:c r="E913" s="47" t="n">
        <x:v>152.587</x:v>
      </x:c>
      <x:c r="F913" s="47" t="n">
        <x:v>417.653</x:v>
      </x:c>
      <x:c r="G913" s="47" t="n">
        <x:v>162.195</x:v>
      </x:c>
      <x:c r="H913" s="50" t="n">
        <x:v>0.258088</x:v>
      </x:c>
      <x:c r="I913" s="50" t="n">
        <x:v>0.256311</x:v>
      </x:c>
      <x:c r="J913" s="50" t="n">
        <x:v>0.496001</x:v>
      </x:c>
      <x:c r="K913" s="50" t="n">
        <x:v>0.27245</x:v>
      </x:c>
      <x:c r="L913" s="47" t="n">
        <x:v>842.04</x:v>
      </x:c>
      <x:c r="M913" s="47" t="n">
        <x:v>595.32</x:v>
      </x:c>
      <x:c r="N913" s="28" t="str">
        <x:v>top-left</x:v>
      </x:c>
      <x:c r="O913" s="28" t="str">
        <x:v>PDF points</x:v>
      </x:c>
    </x:row>
    <x:row r="914" ht="22" customHeight="1">
      <x:c r="A914" s="28" t="str">
        <x:v>ANC-SLE-038-01-R01</x:v>
      </x:c>
      <x:c r="B914" s="28" t="str">
        <x:v>ANC-SLE-038-01</x:v>
      </x:c>
      <x:c r="C914" s="28" t="n">
        <x:v>17</x:v>
      </x:c>
      <x:c r="D914" s="47" t="n">
        <x:v>217.32</x:v>
      </x:c>
      <x:c r="E914" s="47" t="n">
        <x:v>175.507</x:v>
      </x:c>
      <x:c r="F914" s="47" t="n">
        <x:v>440.001</x:v>
      </x:c>
      <x:c r="G914" s="47" t="n">
        <x:v>185.115</x:v>
      </x:c>
      <x:c r="H914" s="50" t="n">
        <x:v>0.258088</x:v>
      </x:c>
      <x:c r="I914" s="50" t="n">
        <x:v>0.294812</x:v>
      </x:c>
      <x:c r="J914" s="50" t="n">
        <x:v>0.522541</x:v>
      </x:c>
      <x:c r="K914" s="50" t="n">
        <x:v>0.310951</x:v>
      </x:c>
      <x:c r="L914" s="47" t="n">
        <x:v>842.04</x:v>
      </x:c>
      <x:c r="M914" s="47" t="n">
        <x:v>595.32</x:v>
      </x:c>
      <x:c r="N914" s="28" t="str">
        <x:v>top-left</x:v>
      </x:c>
      <x:c r="O914" s="28" t="str">
        <x:v>PDF points</x:v>
      </x:c>
    </x:row>
    <x:row r="915" ht="22" customHeight="1">
      <x:c r="A915" s="28" t="str">
        <x:v>ANC-SLE-038-01-R02</x:v>
      </x:c>
      <x:c r="B915" s="28" t="str">
        <x:v>ANC-SLE-038-01</x:v>
      </x:c>
      <x:c r="C915" s="28" t="n">
        <x:v>17</x:v>
      </x:c>
      <x:c r="D915" s="47" t="n">
        <x:v>217.32</x:v>
      </x:c>
      <x:c r="E915" s="47" t="n">
        <x:v>184.267</x:v>
      </x:c>
      <x:c r="F915" s="47" t="n">
        <x:v>232.401</x:v>
      </x:c>
      <x:c r="G915" s="47" t="n">
        <x:v>193.875</x:v>
      </x:c>
      <x:c r="H915" s="50" t="n">
        <x:v>0.258088</x:v>
      </x:c>
      <x:c r="I915" s="50" t="n">
        <x:v>0.309527</x:v>
      </x:c>
      <x:c r="J915" s="50" t="n">
        <x:v>0.275997</x:v>
      </x:c>
      <x:c r="K915" s="50" t="n">
        <x:v>0.325665</x:v>
      </x:c>
      <x:c r="L915" s="47" t="n">
        <x:v>842.04</x:v>
      </x:c>
      <x:c r="M915" s="47" t="n">
        <x:v>595.32</x:v>
      </x:c>
      <x:c r="N915" s="28" t="str">
        <x:v>top-left</x:v>
      </x:c>
      <x:c r="O915" s="28" t="str">
        <x:v>PDF points</x:v>
      </x:c>
    </x:row>
    <x:row r="916" ht="22" customHeight="1">
      <x:c r="A916" s="28" t="str">
        <x:v>ANC-SLE-039-01-R01</x:v>
      </x:c>
      <x:c r="B916" s="28" t="str">
        <x:v>ANC-SLE-039-01</x:v>
      </x:c>
      <x:c r="C916" s="28" t="n">
        <x:v>17</x:v>
      </x:c>
      <x:c r="D916" s="47" t="n">
        <x:v>217.32</x:v>
      </x:c>
      <x:c r="E916" s="47" t="n">
        <x:v>193.507</x:v>
      </x:c>
      <x:c r="F916" s="47" t="n">
        <x:v>433.13</x:v>
      </x:c>
      <x:c r="G916" s="47" t="n">
        <x:v>203.115</x:v>
      </x:c>
      <x:c r="H916" s="50" t="n">
        <x:v>0.258088</x:v>
      </x:c>
      <x:c r="I916" s="50" t="n">
        <x:v>0.325048</x:v>
      </x:c>
      <x:c r="J916" s="50" t="n">
        <x:v>0.514381</x:v>
      </x:c>
      <x:c r="K916" s="50" t="n">
        <x:v>0.341186</x:v>
      </x:c>
      <x:c r="L916" s="47" t="n">
        <x:v>842.04</x:v>
      </x:c>
      <x:c r="M916" s="47" t="n">
        <x:v>595.32</x:v>
      </x:c>
      <x:c r="N916" s="28" t="str">
        <x:v>top-left</x:v>
      </x:c>
      <x:c r="O916" s="28" t="str">
        <x:v>PDF points</x:v>
      </x:c>
    </x:row>
    <x:row r="917" ht="22" customHeight="1">
      <x:c r="A917" s="28" t="str">
        <x:v>ANC-SLE-039-01-R02</x:v>
      </x:c>
      <x:c r="B917" s="28" t="str">
        <x:v>ANC-SLE-039-01</x:v>
      </x:c>
      <x:c r="C917" s="28" t="n">
        <x:v>17</x:v>
      </x:c>
      <x:c r="D917" s="47" t="n">
        <x:v>217.32</x:v>
      </x:c>
      <x:c r="E917" s="47" t="n">
        <x:v>202.147</x:v>
      </x:c>
      <x:c r="F917" s="47" t="n">
        <x:v>317.966</x:v>
      </x:c>
      <x:c r="G917" s="47" t="n">
        <x:v>211.755</x:v>
      </x:c>
      <x:c r="H917" s="50" t="n">
        <x:v>0.258088</x:v>
      </x:c>
      <x:c r="I917" s="50" t="n">
        <x:v>0.339561</x:v>
      </x:c>
      <x:c r="J917" s="50" t="n">
        <x:v>0.377614</x:v>
      </x:c>
      <x:c r="K917" s="50" t="n">
        <x:v>0.3557</x:v>
      </x:c>
      <x:c r="L917" s="47" t="n">
        <x:v>842.04</x:v>
      </x:c>
      <x:c r="M917" s="47" t="n">
        <x:v>595.32</x:v>
      </x:c>
      <x:c r="N917" s="28" t="str">
        <x:v>top-left</x:v>
      </x:c>
      <x:c r="O917" s="28" t="str">
        <x:v>PDF points</x:v>
      </x:c>
    </x:row>
    <x:row r="918" ht="22" customHeight="1">
      <x:c r="A918" s="28" t="str">
        <x:v>ANC-SLE-040-01-R01</x:v>
      </x:c>
      <x:c r="B918" s="28" t="str">
        <x:v>ANC-SLE-040-01</x:v>
      </x:c>
      <x:c r="C918" s="28" t="n">
        <x:v>17</x:v>
      </x:c>
      <x:c r="D918" s="47" t="n">
        <x:v>361.325</x:v>
      </x:c>
      <x:c r="E918" s="47" t="n">
        <x:v>152.587</x:v>
      </x:c>
      <x:c r="F918" s="47" t="n">
        <x:v>417.653</x:v>
      </x:c>
      <x:c r="G918" s="47" t="n">
        <x:v>162.195</x:v>
      </x:c>
      <x:c r="H918" s="50" t="n">
        <x:v>0.429107</x:v>
      </x:c>
      <x:c r="I918" s="50" t="n">
        <x:v>0.256311</x:v>
      </x:c>
      <x:c r="J918" s="50" t="n">
        <x:v>0.496001</x:v>
      </x:c>
      <x:c r="K918" s="50" t="n">
        <x:v>0.27245</x:v>
      </x:c>
      <x:c r="L918" s="47" t="n">
        <x:v>842.04</x:v>
      </x:c>
      <x:c r="M918" s="47" t="n">
        <x:v>595.32</x:v>
      </x:c>
      <x:c r="N918" s="28" t="str">
        <x:v>top-left</x:v>
      </x:c>
      <x:c r="O918" s="28" t="str">
        <x:v>PDF points</x:v>
      </x:c>
    </x:row>
    <x:row r="919" ht="22" customHeight="1">
      <x:c r="A919" s="28" t="str">
        <x:v>ANC-SLE-040-01-R02</x:v>
      </x:c>
      <x:c r="B919" s="28" t="str">
        <x:v>ANC-SLE-040-01</x:v>
      </x:c>
      <x:c r="C919" s="28" t="n">
        <x:v>17</x:v>
      </x:c>
      <x:c r="D919" s="47" t="n">
        <x:v>217.32</x:v>
      </x:c>
      <x:c r="E919" s="47" t="n">
        <x:v>161.227</x:v>
      </x:c>
      <x:c r="F919" s="47" t="n">
        <x:v>324.072</x:v>
      </x:c>
      <x:c r="G919" s="47" t="n">
        <x:v>170.835</x:v>
      </x:c>
      <x:c r="H919" s="50" t="n">
        <x:v>0.258088</x:v>
      </x:c>
      <x:c r="I919" s="50" t="n">
        <x:v>0.270825</x:v>
      </x:c>
      <x:c r="J919" s="50" t="n">
        <x:v>0.384865</x:v>
      </x:c>
      <x:c r="K919" s="50" t="n">
        <x:v>0.286964</x:v>
      </x:c>
      <x:c r="L919" s="47" t="n">
        <x:v>842.04</x:v>
      </x:c>
      <x:c r="M919" s="47" t="n">
        <x:v>595.32</x:v>
      </x:c>
      <x:c r="N919" s="28" t="str">
        <x:v>top-left</x:v>
      </x:c>
      <x:c r="O919" s="28" t="str">
        <x:v>PDF points</x:v>
      </x:c>
    </x:row>
    <x:row r="920" ht="22" customHeight="1">
      <x:c r="A920" s="28" t="str">
        <x:v>ANC-SLE-040-01-R03</x:v>
      </x:c>
      <x:c r="B920" s="28" t="str">
        <x:v>ANC-SLE-040-01</x:v>
      </x:c>
      <x:c r="C920" s="28" t="n">
        <x:v>17</x:v>
      </x:c>
      <x:c r="D920" s="47" t="n">
        <x:v>476.28</x:v>
      </x:c>
      <x:c r="E920" s="47" t="n">
        <x:v>159.427</x:v>
      </x:c>
      <x:c r="F920" s="47" t="n">
        <x:v>491.398</x:v>
      </x:c>
      <x:c r="G920" s="47" t="n">
        <x:v>169.035</x:v>
      </x:c>
      <x:c r="H920" s="50" t="n">
        <x:v>0.565626</x:v>
      </x:c>
      <x:c r="I920" s="50" t="n">
        <x:v>0.267801</x:v>
      </x:c>
      <x:c r="J920" s="50" t="n">
        <x:v>0.58358</x:v>
      </x:c>
      <x:c r="K920" s="50" t="n">
        <x:v>0.28394</x:v>
      </x:c>
      <x:c r="L920" s="47" t="n">
        <x:v>842.04</x:v>
      </x:c>
      <x:c r="M920" s="47" t="n">
        <x:v>595.32</x:v>
      </x:c>
      <x:c r="N920" s="28" t="str">
        <x:v>top-left</x:v>
      </x:c>
      <x:c r="O920" s="28" t="str">
        <x:v>PDF points</x:v>
      </x:c>
    </x:row>
    <x:row r="921" ht="22" customHeight="1">
      <x:c r="A921" s="28" t="str">
        <x:v>ANC-SLE-040-01-R04</x:v>
      </x:c>
      <x:c r="B921" s="28" t="str">
        <x:v>ANC-SLE-040-01</x:v>
      </x:c>
      <x:c r="C921" s="28" t="n">
        <x:v>17</x:v>
      </x:c>
      <x:c r="D921" s="47" t="n">
        <x:v>526.924</x:v>
      </x:c>
      <x:c r="E921" s="47" t="n">
        <x:v>159.427</x:v>
      </x:c>
      <x:c r="F921" s="47" t="n">
        <x:v>542.042</x:v>
      </x:c>
      <x:c r="G921" s="47" t="n">
        <x:v>169.035</x:v>
      </x:c>
      <x:c r="H921" s="50" t="n">
        <x:v>0.625771</x:v>
      </x:c>
      <x:c r="I921" s="50" t="n">
        <x:v>0.267801</x:v>
      </x:c>
      <x:c r="J921" s="50" t="n">
        <x:v>0.643724</x:v>
      </x:c>
      <x:c r="K921" s="50" t="n">
        <x:v>0.28394</x:v>
      </x:c>
      <x:c r="L921" s="47" t="n">
        <x:v>842.04</x:v>
      </x:c>
      <x:c r="M921" s="47" t="n">
        <x:v>595.32</x:v>
      </x:c>
      <x:c r="N921" s="28" t="str">
        <x:v>top-left</x:v>
      </x:c>
      <x:c r="O921" s="28" t="str">
        <x:v>PDF points</x:v>
      </x:c>
    </x:row>
    <x:row r="922" ht="22" customHeight="1">
      <x:c r="A922" s="28" t="str">
        <x:v>ANC-SLE-040-01-R05</x:v>
      </x:c>
      <x:c r="B922" s="28" t="str">
        <x:v>ANC-SLE-040-01</x:v>
      </x:c>
      <x:c r="C922" s="28" t="n">
        <x:v>17</x:v>
      </x:c>
      <x:c r="D922" s="47" t="n">
        <x:v>576.482</x:v>
      </x:c>
      <x:c r="E922" s="47" t="n">
        <x:v>159.427</x:v>
      </x:c>
      <x:c r="F922" s="47" t="n">
        <x:v>591.6</x:v>
      </x:c>
      <x:c r="G922" s="47" t="n">
        <x:v>169.035</x:v>
      </x:c>
      <x:c r="H922" s="50" t="n">
        <x:v>0.684626</x:v>
      </x:c>
      <x:c r="I922" s="50" t="n">
        <x:v>0.267801</x:v>
      </x:c>
      <x:c r="J922" s="50" t="n">
        <x:v>0.70258</x:v>
      </x:c>
      <x:c r="K922" s="50" t="n">
        <x:v>0.28394</x:v>
      </x:c>
      <x:c r="L922" s="47" t="n">
        <x:v>842.04</x:v>
      </x:c>
      <x:c r="M922" s="47" t="n">
        <x:v>595.32</x:v>
      </x:c>
      <x:c r="N922" s="28" t="str">
        <x:v>top-left</x:v>
      </x:c>
      <x:c r="O922" s="28" t="str">
        <x:v>PDF points</x:v>
      </x:c>
    </x:row>
    <x:row r="923" ht="22" customHeight="1">
      <x:c r="A923" s="28" t="str">
        <x:v>ANC-SLE-040-01-R06</x:v>
      </x:c>
      <x:c r="B923" s="28" t="str">
        <x:v>ANC-SLE-040-01</x:v>
      </x:c>
      <x:c r="C923" s="28" t="n">
        <x:v>17</x:v>
      </x:c>
      <x:c r="D923" s="47" t="n">
        <x:v>616.92</x:v>
      </x:c>
      <x:c r="E923" s="47" t="n">
        <x:v>159.427</x:v>
      </x:c>
      <x:c r="F923" s="47" t="n">
        <x:v>632.038</x:v>
      </x:c>
      <x:c r="G923" s="47" t="n">
        <x:v>169.035</x:v>
      </x:c>
      <x:c r="H923" s="50" t="n">
        <x:v>0.732649</x:v>
      </x:c>
      <x:c r="I923" s="50" t="n">
        <x:v>0.267801</x:v>
      </x:c>
      <x:c r="J923" s="50" t="n">
        <x:v>0.750603</x:v>
      </x:c>
      <x:c r="K923" s="50" t="n">
        <x:v>0.28394</x:v>
      </x:c>
      <x:c r="L923" s="47" t="n">
        <x:v>842.04</x:v>
      </x:c>
      <x:c r="M923" s="47" t="n">
        <x:v>595.32</x:v>
      </x:c>
      <x:c r="N923" s="28" t="str">
        <x:v>top-left</x:v>
      </x:c>
      <x:c r="O923" s="28" t="str">
        <x:v>PDF points</x:v>
      </x:c>
    </x:row>
    <x:row r="924" ht="22" customHeight="1">
      <x:c r="A924" s="28" t="str">
        <x:v>ANC-SLE-040-01-R07</x:v>
      </x:c>
      <x:c r="B924" s="28" t="str">
        <x:v>ANC-SLE-040-01</x:v>
      </x:c>
      <x:c r="C924" s="28" t="n">
        <x:v>17</x:v>
      </x:c>
      <x:c r="D924" s="47" t="n">
        <x:v>656.52</x:v>
      </x:c>
      <x:c r="E924" s="47" t="n">
        <x:v>159.427</x:v>
      </x:c>
      <x:c r="F924" s="47" t="n">
        <x:v>671.638</x:v>
      </x:c>
      <x:c r="G924" s="47" t="n">
        <x:v>169.035</x:v>
      </x:c>
      <x:c r="H924" s="50" t="n">
        <x:v>0.779678</x:v>
      </x:c>
      <x:c r="I924" s="50" t="n">
        <x:v>0.267801</x:v>
      </x:c>
      <x:c r="J924" s="50" t="n">
        <x:v>0.797632</x:v>
      </x:c>
      <x:c r="K924" s="50" t="n">
        <x:v>0.28394</x:v>
      </x:c>
      <x:c r="L924" s="47" t="n">
        <x:v>842.04</x:v>
      </x:c>
      <x:c r="M924" s="47" t="n">
        <x:v>595.32</x:v>
      </x:c>
      <x:c r="N924" s="28" t="str">
        <x:v>top-left</x:v>
      </x:c>
      <x:c r="O924" s="28" t="str">
        <x:v>PDF points</x:v>
      </x:c>
    </x:row>
    <x:row r="925" ht="22" customHeight="1">
      <x:c r="A925" s="28" t="str">
        <x:v>ANC-SLE-040-01-R08</x:v>
      </x:c>
      <x:c r="B925" s="28" t="str">
        <x:v>ANC-SLE-040-01</x:v>
      </x:c>
      <x:c r="C925" s="28" t="n">
        <x:v>17</x:v>
      </x:c>
      <x:c r="D925" s="47" t="n">
        <x:v>696.004</x:v>
      </x:c>
      <x:c r="E925" s="47" t="n">
        <x:v>159.427</x:v>
      </x:c>
      <x:c r="F925" s="47" t="n">
        <x:v>711.122</x:v>
      </x:c>
      <x:c r="G925" s="47" t="n">
        <x:v>169.035</x:v>
      </x:c>
      <x:c r="H925" s="50" t="n">
        <x:v>0.826569</x:v>
      </x:c>
      <x:c r="I925" s="50" t="n">
        <x:v>0.267801</x:v>
      </x:c>
      <x:c r="J925" s="50" t="n">
        <x:v>0.844523</x:v>
      </x:c>
      <x:c r="K925" s="50" t="n">
        <x:v>0.28394</x:v>
      </x:c>
      <x:c r="L925" s="47" t="n">
        <x:v>842.04</x:v>
      </x:c>
      <x:c r="M925" s="47" t="n">
        <x:v>595.32</x:v>
      </x:c>
      <x:c r="N925" s="28" t="str">
        <x:v>top-left</x:v>
      </x:c>
      <x:c r="O925" s="28" t="str">
        <x:v>PDF points</x:v>
      </x:c>
    </x:row>
    <x:row r="926" ht="22" customHeight="1">
      <x:c r="A926" s="28" t="str">
        <x:v>ANC-SLE-040-01-R09</x:v>
      </x:c>
      <x:c r="B926" s="28" t="str">
        <x:v>ANC-SLE-040-01</x:v>
      </x:c>
      <x:c r="C926" s="28" t="n">
        <x:v>17</x:v>
      </x:c>
      <x:c r="D926" s="47" t="n">
        <x:v>731.887</x:v>
      </x:c>
      <x:c r="E926" s="47" t="n">
        <x:v>159.427</x:v>
      </x:c>
      <x:c r="F926" s="47" t="n">
        <x:v>747.005</x:v>
      </x:c>
      <x:c r="G926" s="47" t="n">
        <x:v>169.035</x:v>
      </x:c>
      <x:c r="H926" s="50" t="n">
        <x:v>0.869183</x:v>
      </x:c>
      <x:c r="I926" s="50" t="n">
        <x:v>0.267801</x:v>
      </x:c>
      <x:c r="J926" s="50" t="n">
        <x:v>0.887137</x:v>
      </x:c>
      <x:c r="K926" s="50" t="n">
        <x:v>0.28394</x:v>
      </x:c>
      <x:c r="L926" s="47" t="n">
        <x:v>842.04</x:v>
      </x:c>
      <x:c r="M926" s="47" t="n">
        <x:v>595.32</x:v>
      </x:c>
      <x:c r="N926" s="28" t="str">
        <x:v>top-left</x:v>
      </x:c>
      <x:c r="O926" s="28" t="str">
        <x:v>PDF points</x:v>
      </x:c>
    </x:row>
    <x:row r="927" ht="22" customHeight="1">
      <x:c r="A927" s="28" t="str">
        <x:v>ANC-SLE-040-01-R10</x:v>
      </x:c>
      <x:c r="B927" s="28" t="str">
        <x:v>ANC-SLE-040-01</x:v>
      </x:c>
      <x:c r="C927" s="28" t="n">
        <x:v>17</x:v>
      </x:c>
      <x:c r="D927" s="47" t="n">
        <x:v>768.011</x:v>
      </x:c>
      <x:c r="E927" s="47" t="n">
        <x:v>159.427</x:v>
      </x:c>
      <x:c r="F927" s="47" t="n">
        <x:v>783.128</x:v>
      </x:c>
      <x:c r="G927" s="47" t="n">
        <x:v>169.035</x:v>
      </x:c>
      <x:c r="H927" s="50" t="n">
        <x:v>0.912083</x:v>
      </x:c>
      <x:c r="I927" s="50" t="n">
        <x:v>0.267801</x:v>
      </x:c>
      <x:c r="J927" s="50" t="n">
        <x:v>0.930037</x:v>
      </x:c>
      <x:c r="K927" s="50" t="n">
        <x:v>0.28394</x:v>
      </x:c>
      <x:c r="L927" s="47" t="n">
        <x:v>842.04</x:v>
      </x:c>
      <x:c r="M927" s="47" t="n">
        <x:v>595.32</x:v>
      </x:c>
      <x:c r="N927" s="28" t="str">
        <x:v>top-left</x:v>
      </x:c>
      <x:c r="O927" s="28" t="str">
        <x:v>PDF points</x:v>
      </x:c>
    </x:row>
    <x:row r="928" ht="22" customHeight="1">
      <x:c r="A928" s="28" t="str">
        <x:v>ANC-SLE-040-01-R11</x:v>
      </x:c>
      <x:c r="B928" s="28" t="str">
        <x:v>ANC-SLE-040-01</x:v>
      </x:c>
      <x:c r="C928" s="28" t="n">
        <x:v>17</x:v>
      </x:c>
      <x:c r="D928" s="47" t="n">
        <x:v>122.88</x:v>
      </x:c>
      <x:c r="E928" s="47" t="n">
        <x:v>175.507</x:v>
      </x:c>
      <x:c r="F928" s="47" t="n">
        <x:v>167.936</x:v>
      </x:c>
      <x:c r="G928" s="47" t="n">
        <x:v>185.115</x:v>
      </x:c>
      <x:c r="H928" s="50" t="n">
        <x:v>0.145931</x:v>
      </x:c>
      <x:c r="I928" s="50" t="n">
        <x:v>0.294812</x:v>
      </x:c>
      <x:c r="J928" s="50" t="n">
        <x:v>0.19944</x:v>
      </x:c>
      <x:c r="K928" s="50" t="n">
        <x:v>0.310951</x:v>
      </x:c>
      <x:c r="L928" s="47" t="n">
        <x:v>842.04</x:v>
      </x:c>
      <x:c r="M928" s="47" t="n">
        <x:v>595.32</x:v>
      </x:c>
      <x:c r="N928" s="28" t="str">
        <x:v>top-left</x:v>
      </x:c>
      <x:c r="O928" s="28" t="str">
        <x:v>PDF points</x:v>
      </x:c>
    </x:row>
    <x:row r="929" ht="22" customHeight="1">
      <x:c r="A929" s="28" t="str">
        <x:v>ANC-SLE-040-01-R12</x:v>
      </x:c>
      <x:c r="B929" s="28" t="str">
        <x:v>ANC-SLE-040-01</x:v>
      </x:c>
      <x:c r="C929" s="28" t="n">
        <x:v>17</x:v>
      </x:c>
      <x:c r="D929" s="47" t="n">
        <x:v>122.88</x:v>
      </x:c>
      <x:c r="E929" s="47" t="n">
        <x:v>184.267</x:v>
      </x:c>
      <x:c r="F929" s="47" t="n">
        <x:v>183.041</x:v>
      </x:c>
      <x:c r="G929" s="47" t="n">
        <x:v>193.875</x:v>
      </x:c>
      <x:c r="H929" s="50" t="n">
        <x:v>0.145931</x:v>
      </x:c>
      <x:c r="I929" s="50" t="n">
        <x:v>0.309527</x:v>
      </x:c>
      <x:c r="J929" s="50" t="n">
        <x:v>0.217378</x:v>
      </x:c>
      <x:c r="K929" s="50" t="n">
        <x:v>0.325665</x:v>
      </x:c>
      <x:c r="L929" s="47" t="n">
        <x:v>842.04</x:v>
      </x:c>
      <x:c r="M929" s="47" t="n">
        <x:v>595.32</x:v>
      </x:c>
      <x:c r="N929" s="28" t="str">
        <x:v>top-left</x:v>
      </x:c>
      <x:c r="O929" s="28" t="str">
        <x:v>PDF points</x:v>
      </x:c>
    </x:row>
    <x:row r="930" ht="22" customHeight="1">
      <x:c r="A930" s="28" t="str">
        <x:v>ANC-SLE-040-01-R13</x:v>
      </x:c>
      <x:c r="B930" s="28" t="str">
        <x:v>ANC-SLE-040-01</x:v>
      </x:c>
      <x:c r="C930" s="28" t="n">
        <x:v>17</x:v>
      </x:c>
      <x:c r="D930" s="47" t="n">
        <x:v>122.88</x:v>
      </x:c>
      <x:c r="E930" s="47" t="n">
        <x:v>192.91</x:v>
      </x:c>
      <x:c r="F930" s="47" t="n">
        <x:v>185.725</x:v>
      </x:c>
      <x:c r="G930" s="47" t="n">
        <x:v>202.518</x:v>
      </x:c>
      <x:c r="H930" s="50" t="n">
        <x:v>0.145931</x:v>
      </x:c>
      <x:c r="I930" s="50" t="n">
        <x:v>0.324045</x:v>
      </x:c>
      <x:c r="J930" s="50" t="n">
        <x:v>0.220566</x:v>
      </x:c>
      <x:c r="K930" s="50" t="n">
        <x:v>0.340184</x:v>
      </x:c>
      <x:c r="L930" s="47" t="n">
        <x:v>842.04</x:v>
      </x:c>
      <x:c r="M930" s="47" t="n">
        <x:v>595.32</x:v>
      </x:c>
      <x:c r="N930" s="28" t="str">
        <x:v>top-left</x:v>
      </x:c>
      <x:c r="O930" s="28" t="str">
        <x:v>PDF points</x:v>
      </x:c>
    </x:row>
    <x:row r="931" ht="22" customHeight="1">
      <x:c r="A931" s="28" t="str">
        <x:v>ANC-SLE-040-01-R14</x:v>
      </x:c>
      <x:c r="B931" s="28" t="str">
        <x:v>ANC-SLE-040-01</x:v>
      </x:c>
      <x:c r="C931" s="28" t="n">
        <x:v>17</x:v>
      </x:c>
      <x:c r="D931" s="47" t="n">
        <x:v>122.88</x:v>
      </x:c>
      <x:c r="E931" s="47" t="n">
        <x:v>201.674</x:v>
      </x:c>
      <x:c r="F931" s="47" t="n">
        <x:v>195.405</x:v>
      </x:c>
      <x:c r="G931" s="47" t="n">
        <x:v>211.282</x:v>
      </x:c>
      <x:c r="H931" s="50" t="n">
        <x:v>0.145931</x:v>
      </x:c>
      <x:c r="I931" s="50" t="n">
        <x:v>0.338766</x:v>
      </x:c>
      <x:c r="J931" s="50" t="n">
        <x:v>0.232061</x:v>
      </x:c>
      <x:c r="K931" s="50" t="n">
        <x:v>0.354905</x:v>
      </x:c>
      <x:c r="L931" s="47" t="n">
        <x:v>842.04</x:v>
      </x:c>
      <x:c r="M931" s="47" t="n">
        <x:v>595.32</x:v>
      </x:c>
      <x:c r="N931" s="28" t="str">
        <x:v>top-left</x:v>
      </x:c>
      <x:c r="O931" s="28" t="str">
        <x:v>PDF points</x:v>
      </x:c>
    </x:row>
    <x:row r="932" ht="22" customHeight="1">
      <x:c r="A932" s="28" t="str">
        <x:v>ANC-SLE-040-01-R15</x:v>
      </x:c>
      <x:c r="B932" s="28" t="str">
        <x:v>ANC-SLE-040-01</x:v>
      </x:c>
      <x:c r="C932" s="28" t="n">
        <x:v>17</x:v>
      </x:c>
      <x:c r="D932" s="47" t="n">
        <x:v>217.32</x:v>
      </x:c>
      <x:c r="E932" s="47" t="n">
        <x:v>175.507</x:v>
      </x:c>
      <x:c r="F932" s="47" t="n">
        <x:v>440.001</x:v>
      </x:c>
      <x:c r="G932" s="47" t="n">
        <x:v>185.115</x:v>
      </x:c>
      <x:c r="H932" s="50" t="n">
        <x:v>0.258088</x:v>
      </x:c>
      <x:c r="I932" s="50" t="n">
        <x:v>0.294812</x:v>
      </x:c>
      <x:c r="J932" s="50" t="n">
        <x:v>0.522541</x:v>
      </x:c>
      <x:c r="K932" s="50" t="n">
        <x:v>0.310951</x:v>
      </x:c>
      <x:c r="L932" s="47" t="n">
        <x:v>842.04</x:v>
      </x:c>
      <x:c r="M932" s="47" t="n">
        <x:v>595.32</x:v>
      </x:c>
      <x:c r="N932" s="28" t="str">
        <x:v>top-left</x:v>
      </x:c>
      <x:c r="O932" s="28" t="str">
        <x:v>PDF points</x:v>
      </x:c>
    </x:row>
    <x:row r="933" ht="22" customHeight="1">
      <x:c r="A933" s="28" t="str">
        <x:v>ANC-SLE-040-01-R16</x:v>
      </x:c>
      <x:c r="B933" s="28" t="str">
        <x:v>ANC-SLE-040-01</x:v>
      </x:c>
      <x:c r="C933" s="28" t="n">
        <x:v>17</x:v>
      </x:c>
      <x:c r="D933" s="47" t="n">
        <x:v>217.32</x:v>
      </x:c>
      <x:c r="E933" s="47" t="n">
        <x:v>184.267</x:v>
      </x:c>
      <x:c r="F933" s="47" t="n">
        <x:v>232.401</x:v>
      </x:c>
      <x:c r="G933" s="47" t="n">
        <x:v>193.875</x:v>
      </x:c>
      <x:c r="H933" s="50" t="n">
        <x:v>0.258088</x:v>
      </x:c>
      <x:c r="I933" s="50" t="n">
        <x:v>0.309527</x:v>
      </x:c>
      <x:c r="J933" s="50" t="n">
        <x:v>0.275997</x:v>
      </x:c>
      <x:c r="K933" s="50" t="n">
        <x:v>0.325665</x:v>
      </x:c>
      <x:c r="L933" s="47" t="n">
        <x:v>842.04</x:v>
      </x:c>
      <x:c r="M933" s="47" t="n">
        <x:v>595.32</x:v>
      </x:c>
      <x:c r="N933" s="28" t="str">
        <x:v>top-left</x:v>
      </x:c>
      <x:c r="O933" s="28" t="str">
        <x:v>PDF points</x:v>
      </x:c>
    </x:row>
    <x:row r="934" ht="22" customHeight="1">
      <x:c r="A934" s="28" t="str">
        <x:v>ANC-SLE-040-01-R17</x:v>
      </x:c>
      <x:c r="B934" s="28" t="str">
        <x:v>ANC-SLE-040-01</x:v>
      </x:c>
      <x:c r="C934" s="28" t="n">
        <x:v>17</x:v>
      </x:c>
      <x:c r="D934" s="47" t="n">
        <x:v>476.28</x:v>
      </x:c>
      <x:c r="E934" s="47" t="n">
        <x:v>179.947</x:v>
      </x:c>
      <x:c r="F934" s="47" t="n">
        <x:v>491.398</x:v>
      </x:c>
      <x:c r="G934" s="47" t="n">
        <x:v>189.555</x:v>
      </x:c>
      <x:c r="H934" s="50" t="n">
        <x:v>0.565626</x:v>
      </x:c>
      <x:c r="I934" s="50" t="n">
        <x:v>0.30227</x:v>
      </x:c>
      <x:c r="J934" s="50" t="n">
        <x:v>0.58358</x:v>
      </x:c>
      <x:c r="K934" s="50" t="n">
        <x:v>0.318409</x:v>
      </x:c>
      <x:c r="L934" s="47" t="n">
        <x:v>842.04</x:v>
      </x:c>
      <x:c r="M934" s="47" t="n">
        <x:v>595.32</x:v>
      </x:c>
      <x:c r="N934" s="28" t="str">
        <x:v>top-left</x:v>
      </x:c>
      <x:c r="O934" s="28" t="str">
        <x:v>PDF points</x:v>
      </x:c>
    </x:row>
    <x:row r="935" ht="22" customHeight="1">
      <x:c r="A935" s="28" t="str">
        <x:v>ANC-SLE-040-01-R18</x:v>
      </x:c>
      <x:c r="B935" s="28" t="str">
        <x:v>ANC-SLE-040-01</x:v>
      </x:c>
      <x:c r="C935" s="28" t="n">
        <x:v>17</x:v>
      </x:c>
      <x:c r="D935" s="47" t="n">
        <x:v>526.924</x:v>
      </x:c>
      <x:c r="E935" s="47" t="n">
        <x:v>179.947</x:v>
      </x:c>
      <x:c r="F935" s="47" t="n">
        <x:v>542.042</x:v>
      </x:c>
      <x:c r="G935" s="47" t="n">
        <x:v>189.555</x:v>
      </x:c>
      <x:c r="H935" s="50" t="n">
        <x:v>0.625771</x:v>
      </x:c>
      <x:c r="I935" s="50" t="n">
        <x:v>0.30227</x:v>
      </x:c>
      <x:c r="J935" s="50" t="n">
        <x:v>0.643724</x:v>
      </x:c>
      <x:c r="K935" s="50" t="n">
        <x:v>0.318409</x:v>
      </x:c>
      <x:c r="L935" s="47" t="n">
        <x:v>842.04</x:v>
      </x:c>
      <x:c r="M935" s="47" t="n">
        <x:v>595.32</x:v>
      </x:c>
      <x:c r="N935" s="28" t="str">
        <x:v>top-left</x:v>
      </x:c>
      <x:c r="O935" s="28" t="str">
        <x:v>PDF points</x:v>
      </x:c>
    </x:row>
    <x:row r="936" ht="22" customHeight="1">
      <x:c r="A936" s="28" t="str">
        <x:v>ANC-SLE-040-01-R19</x:v>
      </x:c>
      <x:c r="B936" s="28" t="str">
        <x:v>ANC-SLE-040-01</x:v>
      </x:c>
      <x:c r="C936" s="28" t="n">
        <x:v>17</x:v>
      </x:c>
      <x:c r="D936" s="47" t="n">
        <x:v>576.482</x:v>
      </x:c>
      <x:c r="E936" s="47" t="n">
        <x:v>179.947</x:v>
      </x:c>
      <x:c r="F936" s="47" t="n">
        <x:v>591.6</x:v>
      </x:c>
      <x:c r="G936" s="47" t="n">
        <x:v>189.555</x:v>
      </x:c>
      <x:c r="H936" s="50" t="n">
        <x:v>0.684626</x:v>
      </x:c>
      <x:c r="I936" s="50" t="n">
        <x:v>0.30227</x:v>
      </x:c>
      <x:c r="J936" s="50" t="n">
        <x:v>0.70258</x:v>
      </x:c>
      <x:c r="K936" s="50" t="n">
        <x:v>0.318409</x:v>
      </x:c>
      <x:c r="L936" s="47" t="n">
        <x:v>842.04</x:v>
      </x:c>
      <x:c r="M936" s="47" t="n">
        <x:v>595.32</x:v>
      </x:c>
      <x:c r="N936" s="28" t="str">
        <x:v>top-left</x:v>
      </x:c>
      <x:c r="O936" s="28" t="str">
        <x:v>PDF points</x:v>
      </x:c>
    </x:row>
    <x:row r="937" ht="22" customHeight="1">
      <x:c r="A937" s="28" t="str">
        <x:v>ANC-SLE-040-01-R20</x:v>
      </x:c>
      <x:c r="B937" s="28" t="str">
        <x:v>ANC-SLE-040-01</x:v>
      </x:c>
      <x:c r="C937" s="28" t="n">
        <x:v>17</x:v>
      </x:c>
      <x:c r="D937" s="47" t="n">
        <x:v>614.76</x:v>
      </x:c>
      <x:c r="E937" s="47" t="n">
        <x:v>179.947</x:v>
      </x:c>
      <x:c r="F937" s="47" t="n">
        <x:v>634.318</x:v>
      </x:c>
      <x:c r="G937" s="47" t="n">
        <x:v>189.555</x:v>
      </x:c>
      <x:c r="H937" s="50" t="n">
        <x:v>0.730084</x:v>
      </x:c>
      <x:c r="I937" s="50" t="n">
        <x:v>0.30227</x:v>
      </x:c>
      <x:c r="J937" s="50" t="n">
        <x:v>0.753311</x:v>
      </x:c>
      <x:c r="K937" s="50" t="n">
        <x:v>0.318409</x:v>
      </x:c>
      <x:c r="L937" s="47" t="n">
        <x:v>842.04</x:v>
      </x:c>
      <x:c r="M937" s="47" t="n">
        <x:v>595.32</x:v>
      </x:c>
      <x:c r="N937" s="28" t="str">
        <x:v>top-left</x:v>
      </x:c>
      <x:c r="O937" s="28" t="str">
        <x:v>PDF points</x:v>
      </x:c>
    </x:row>
    <x:row r="938" ht="22" customHeight="1">
      <x:c r="A938" s="28" t="str">
        <x:v>ANC-SLE-040-01-R21</x:v>
      </x:c>
      <x:c r="B938" s="28" t="str">
        <x:v>ANC-SLE-040-01</x:v>
      </x:c>
      <x:c r="C938" s="28" t="n">
        <x:v>17</x:v>
      </x:c>
      <x:c r="D938" s="47" t="n">
        <x:v>654.24</x:v>
      </x:c>
      <x:c r="E938" s="47" t="n">
        <x:v>179.947</x:v>
      </x:c>
      <x:c r="F938" s="47" t="n">
        <x:v>673.798</x:v>
      </x:c>
      <x:c r="G938" s="47" t="n">
        <x:v>189.555</x:v>
      </x:c>
      <x:c r="H938" s="50" t="n">
        <x:v>0.77697</x:v>
      </x:c>
      <x:c r="I938" s="50" t="n">
        <x:v>0.30227</x:v>
      </x:c>
      <x:c r="J938" s="50" t="n">
        <x:v>0.800197</x:v>
      </x:c>
      <x:c r="K938" s="50" t="n">
        <x:v>0.318409</x:v>
      </x:c>
      <x:c r="L938" s="47" t="n">
        <x:v>842.04</x:v>
      </x:c>
      <x:c r="M938" s="47" t="n">
        <x:v>595.32</x:v>
      </x:c>
      <x:c r="N938" s="28" t="str">
        <x:v>top-left</x:v>
      </x:c>
      <x:c r="O938" s="28" t="str">
        <x:v>PDF points</x:v>
      </x:c>
    </x:row>
    <x:row r="939" ht="22" customHeight="1">
      <x:c r="A939" s="28" t="str">
        <x:v>ANC-SLE-040-01-R22</x:v>
      </x:c>
      <x:c r="B939" s="28" t="str">
        <x:v>ANC-SLE-040-01</x:v>
      </x:c>
      <x:c r="C939" s="28" t="n">
        <x:v>17</x:v>
      </x:c>
      <x:c r="D939" s="47" t="n">
        <x:v>696</x:v>
      </x:c>
      <x:c r="E939" s="47" t="n">
        <x:v>179.947</x:v>
      </x:c>
      <x:c r="F939" s="47" t="n">
        <x:v>711.117</x:v>
      </x:c>
      <x:c r="G939" s="47" t="n">
        <x:v>189.555</x:v>
      </x:c>
      <x:c r="H939" s="50" t="n">
        <x:v>0.826564</x:v>
      </x:c>
      <x:c r="I939" s="50" t="n">
        <x:v>0.30227</x:v>
      </x:c>
      <x:c r="J939" s="50" t="n">
        <x:v>0.844517</x:v>
      </x:c>
      <x:c r="K939" s="50" t="n">
        <x:v>0.318409</x:v>
      </x:c>
      <x:c r="L939" s="47" t="n">
        <x:v>842.04</x:v>
      </x:c>
      <x:c r="M939" s="47" t="n">
        <x:v>595.32</x:v>
      </x:c>
      <x:c r="N939" s="28" t="str">
        <x:v>top-left</x:v>
      </x:c>
      <x:c r="O939" s="28" t="str">
        <x:v>PDF points</x:v>
      </x:c>
    </x:row>
    <x:row r="940" ht="22" customHeight="1">
      <x:c r="A940" s="28" t="str">
        <x:v>ANC-SLE-040-01-R23</x:v>
      </x:c>
      <x:c r="B940" s="28" t="str">
        <x:v>ANC-SLE-040-01</x:v>
      </x:c>
      <x:c r="C940" s="28" t="n">
        <x:v>17</x:v>
      </x:c>
      <x:c r="D940" s="47" t="n">
        <x:v>731.882</x:v>
      </x:c>
      <x:c r="E940" s="47" t="n">
        <x:v>179.947</x:v>
      </x:c>
      <x:c r="F940" s="47" t="n">
        <x:v>747</x:v>
      </x:c>
      <x:c r="G940" s="47" t="n">
        <x:v>189.555</x:v>
      </x:c>
      <x:c r="H940" s="50" t="n">
        <x:v>0.869178</x:v>
      </x:c>
      <x:c r="I940" s="50" t="n">
        <x:v>0.30227</x:v>
      </x:c>
      <x:c r="J940" s="50" t="n">
        <x:v>0.887131</x:v>
      </x:c>
      <x:c r="K940" s="50" t="n">
        <x:v>0.318409</x:v>
      </x:c>
      <x:c r="L940" s="47" t="n">
        <x:v>842.04</x:v>
      </x:c>
      <x:c r="M940" s="47" t="n">
        <x:v>595.32</x:v>
      </x:c>
      <x:c r="N940" s="28" t="str">
        <x:v>top-left</x:v>
      </x:c>
      <x:c r="O940" s="28" t="str">
        <x:v>PDF points</x:v>
      </x:c>
    </x:row>
    <x:row r="941" ht="22" customHeight="1">
      <x:c r="A941" s="28" t="str">
        <x:v>ANC-SLE-040-01-R24</x:v>
      </x:c>
      <x:c r="B941" s="28" t="str">
        <x:v>ANC-SLE-040-01</x:v>
      </x:c>
      <x:c r="C941" s="28" t="n">
        <x:v>17</x:v>
      </x:c>
      <x:c r="D941" s="47" t="n">
        <x:v>768.006</x:v>
      </x:c>
      <x:c r="E941" s="47" t="n">
        <x:v>179.947</x:v>
      </x:c>
      <x:c r="F941" s="47" t="n">
        <x:v>783.124</x:v>
      </x:c>
      <x:c r="G941" s="47" t="n">
        <x:v>189.555</x:v>
      </x:c>
      <x:c r="H941" s="50" t="n">
        <x:v>0.912078</x:v>
      </x:c>
      <x:c r="I941" s="50" t="n">
        <x:v>0.30227</x:v>
      </x:c>
      <x:c r="J941" s="50" t="n">
        <x:v>0.930031</x:v>
      </x:c>
      <x:c r="K941" s="50" t="n">
        <x:v>0.318409</x:v>
      </x:c>
      <x:c r="L941" s="47" t="n">
        <x:v>842.04</x:v>
      </x:c>
      <x:c r="M941" s="47" t="n">
        <x:v>595.32</x:v>
      </x:c>
      <x:c r="N941" s="28" t="str">
        <x:v>top-left</x:v>
      </x:c>
      <x:c r="O941" s="28" t="str">
        <x:v>PDF points</x:v>
      </x:c>
    </x:row>
    <x:row r="942" ht="22" customHeight="1">
      <x:c r="A942" s="28" t="str">
        <x:v>ANC-SLE-040-01-R25</x:v>
      </x:c>
      <x:c r="B942" s="28" t="str">
        <x:v>ANC-SLE-040-01</x:v>
      </x:c>
      <x:c r="C942" s="28" t="n">
        <x:v>17</x:v>
      </x:c>
      <x:c r="D942" s="47" t="n">
        <x:v>217.32</x:v>
      </x:c>
      <x:c r="E942" s="47" t="n">
        <x:v>193.507</x:v>
      </x:c>
      <x:c r="F942" s="47" t="n">
        <x:v>433.13</x:v>
      </x:c>
      <x:c r="G942" s="47" t="n">
        <x:v>203.115</x:v>
      </x:c>
      <x:c r="H942" s="50" t="n">
        <x:v>0.258088</x:v>
      </x:c>
      <x:c r="I942" s="50" t="n">
        <x:v>0.325048</x:v>
      </x:c>
      <x:c r="J942" s="50" t="n">
        <x:v>0.514381</x:v>
      </x:c>
      <x:c r="K942" s="50" t="n">
        <x:v>0.341186</x:v>
      </x:c>
      <x:c r="L942" s="47" t="n">
        <x:v>842.04</x:v>
      </x:c>
      <x:c r="M942" s="47" t="n">
        <x:v>595.32</x:v>
      </x:c>
      <x:c r="N942" s="28" t="str">
        <x:v>top-left</x:v>
      </x:c>
      <x:c r="O942" s="28" t="str">
        <x:v>PDF points</x:v>
      </x:c>
    </x:row>
    <x:row r="943" ht="22" customHeight="1">
      <x:c r="A943" s="28" t="str">
        <x:v>ANC-SLE-040-01-R26</x:v>
      </x:c>
      <x:c r="B943" s="28" t="str">
        <x:v>ANC-SLE-040-01</x:v>
      </x:c>
      <x:c r="C943" s="28" t="n">
        <x:v>17</x:v>
      </x:c>
      <x:c r="D943" s="47" t="n">
        <x:v>217.32</x:v>
      </x:c>
      <x:c r="E943" s="47" t="n">
        <x:v>202.147</x:v>
      </x:c>
      <x:c r="F943" s="47" t="n">
        <x:v>317.966</x:v>
      </x:c>
      <x:c r="G943" s="47" t="n">
        <x:v>211.755</x:v>
      </x:c>
      <x:c r="H943" s="50" t="n">
        <x:v>0.258088</x:v>
      </x:c>
      <x:c r="I943" s="50" t="n">
        <x:v>0.339561</x:v>
      </x:c>
      <x:c r="J943" s="50" t="n">
        <x:v>0.377614</x:v>
      </x:c>
      <x:c r="K943" s="50" t="n">
        <x:v>0.3557</x:v>
      </x:c>
      <x:c r="L943" s="47" t="n">
        <x:v>842.04</x:v>
      </x:c>
      <x:c r="M943" s="47" t="n">
        <x:v>595.32</x:v>
      </x:c>
      <x:c r="N943" s="28" t="str">
        <x:v>top-left</x:v>
      </x:c>
      <x:c r="O943" s="28" t="str">
        <x:v>PDF points</x:v>
      </x:c>
    </x:row>
    <x:row r="944" ht="22" customHeight="1">
      <x:c r="A944" s="28" t="str">
        <x:v>ANC-SLE-040-01-R27</x:v>
      </x:c>
      <x:c r="B944" s="28" t="str">
        <x:v>ANC-SLE-040-01</x:v>
      </x:c>
      <x:c r="C944" s="28" t="n">
        <x:v>17</x:v>
      </x:c>
      <x:c r="D944" s="47" t="n">
        <x:v>476.28</x:v>
      </x:c>
      <x:c r="E944" s="47" t="n">
        <x:v>197.827</x:v>
      </x:c>
      <x:c r="F944" s="47" t="n">
        <x:v>491.398</x:v>
      </x:c>
      <x:c r="G944" s="47" t="n">
        <x:v>207.435</x:v>
      </x:c>
      <x:c r="H944" s="50" t="n">
        <x:v>0.565626</x:v>
      </x:c>
      <x:c r="I944" s="50" t="n">
        <x:v>0.332304</x:v>
      </x:c>
      <x:c r="J944" s="50" t="n">
        <x:v>0.58358</x:v>
      </x:c>
      <x:c r="K944" s="50" t="n">
        <x:v>0.348443</x:v>
      </x:c>
      <x:c r="L944" s="47" t="n">
        <x:v>842.04</x:v>
      </x:c>
      <x:c r="M944" s="47" t="n">
        <x:v>595.32</x:v>
      </x:c>
      <x:c r="N944" s="28" t="str">
        <x:v>top-left</x:v>
      </x:c>
      <x:c r="O944" s="28" t="str">
        <x:v>PDF points</x:v>
      </x:c>
    </x:row>
    <x:row r="945" ht="22" customHeight="1">
      <x:c r="A945" s="28" t="str">
        <x:v>ANC-SLE-040-01-R28</x:v>
      </x:c>
      <x:c r="B945" s="28" t="str">
        <x:v>ANC-SLE-040-01</x:v>
      </x:c>
      <x:c r="C945" s="28" t="n">
        <x:v>17</x:v>
      </x:c>
      <x:c r="D945" s="47" t="n">
        <x:v>526.924</x:v>
      </x:c>
      <x:c r="E945" s="47" t="n">
        <x:v>197.827</x:v>
      </x:c>
      <x:c r="F945" s="47" t="n">
        <x:v>542.042</x:v>
      </x:c>
      <x:c r="G945" s="47" t="n">
        <x:v>207.435</x:v>
      </x:c>
      <x:c r="H945" s="50" t="n">
        <x:v>0.625771</x:v>
      </x:c>
      <x:c r="I945" s="50" t="n">
        <x:v>0.332304</x:v>
      </x:c>
      <x:c r="J945" s="50" t="n">
        <x:v>0.643724</x:v>
      </x:c>
      <x:c r="K945" s="50" t="n">
        <x:v>0.348443</x:v>
      </x:c>
      <x:c r="L945" s="47" t="n">
        <x:v>842.04</x:v>
      </x:c>
      <x:c r="M945" s="47" t="n">
        <x:v>595.32</x:v>
      </x:c>
      <x:c r="N945" s="28" t="str">
        <x:v>top-left</x:v>
      </x:c>
      <x:c r="O945" s="28" t="str">
        <x:v>PDF points</x:v>
      </x:c>
    </x:row>
    <x:row r="946" ht="22" customHeight="1">
      <x:c r="A946" s="28" t="str">
        <x:v>ANC-SLE-040-01-R29</x:v>
      </x:c>
      <x:c r="B946" s="28" t="str">
        <x:v>ANC-SLE-040-01</x:v>
      </x:c>
      <x:c r="C946" s="28" t="n">
        <x:v>17</x:v>
      </x:c>
      <x:c r="D946" s="47" t="n">
        <x:v>576.482</x:v>
      </x:c>
      <x:c r="E946" s="47" t="n">
        <x:v>197.827</x:v>
      </x:c>
      <x:c r="F946" s="47" t="n">
        <x:v>591.6</x:v>
      </x:c>
      <x:c r="G946" s="47" t="n">
        <x:v>207.435</x:v>
      </x:c>
      <x:c r="H946" s="50" t="n">
        <x:v>0.684626</x:v>
      </x:c>
      <x:c r="I946" s="50" t="n">
        <x:v>0.332304</x:v>
      </x:c>
      <x:c r="J946" s="50" t="n">
        <x:v>0.70258</x:v>
      </x:c>
      <x:c r="K946" s="50" t="n">
        <x:v>0.348443</x:v>
      </x:c>
      <x:c r="L946" s="47" t="n">
        <x:v>842.04</x:v>
      </x:c>
      <x:c r="M946" s="47" t="n">
        <x:v>595.32</x:v>
      </x:c>
      <x:c r="N946" s="28" t="str">
        <x:v>top-left</x:v>
      </x:c>
      <x:c r="O946" s="28" t="str">
        <x:v>PDF points</x:v>
      </x:c>
    </x:row>
    <x:row r="947" ht="22" customHeight="1">
      <x:c r="A947" s="28" t="str">
        <x:v>ANC-SLE-040-01-R30</x:v>
      </x:c>
      <x:c r="B947" s="28" t="str">
        <x:v>ANC-SLE-040-01</x:v>
      </x:c>
      <x:c r="C947" s="28" t="n">
        <x:v>17</x:v>
      </x:c>
      <x:c r="D947" s="47" t="n">
        <x:v>616.92</x:v>
      </x:c>
      <x:c r="E947" s="47" t="n">
        <x:v>197.827</x:v>
      </x:c>
      <x:c r="F947" s="47" t="n">
        <x:v>632.038</x:v>
      </x:c>
      <x:c r="G947" s="47" t="n">
        <x:v>207.435</x:v>
      </x:c>
      <x:c r="H947" s="50" t="n">
        <x:v>0.732649</x:v>
      </x:c>
      <x:c r="I947" s="50" t="n">
        <x:v>0.332304</x:v>
      </x:c>
      <x:c r="J947" s="50" t="n">
        <x:v>0.750603</x:v>
      </x:c>
      <x:c r="K947" s="50" t="n">
        <x:v>0.348443</x:v>
      </x:c>
      <x:c r="L947" s="47" t="n">
        <x:v>842.04</x:v>
      </x:c>
      <x:c r="M947" s="47" t="n">
        <x:v>595.32</x:v>
      </x:c>
      <x:c r="N947" s="28" t="str">
        <x:v>top-left</x:v>
      </x:c>
      <x:c r="O947" s="28" t="str">
        <x:v>PDF points</x:v>
      </x:c>
    </x:row>
    <x:row r="948" ht="22" customHeight="1">
      <x:c r="A948" s="28" t="str">
        <x:v>ANC-SLE-040-01-R31</x:v>
      </x:c>
      <x:c r="B948" s="28" t="str">
        <x:v>ANC-SLE-040-01</x:v>
      </x:c>
      <x:c r="C948" s="28" t="n">
        <x:v>17</x:v>
      </x:c>
      <x:c r="D948" s="47" t="n">
        <x:v>656.52</x:v>
      </x:c>
      <x:c r="E948" s="47" t="n">
        <x:v>197.827</x:v>
      </x:c>
      <x:c r="F948" s="47" t="n">
        <x:v>671.638</x:v>
      </x:c>
      <x:c r="G948" s="47" t="n">
        <x:v>207.435</x:v>
      </x:c>
      <x:c r="H948" s="50" t="n">
        <x:v>0.779678</x:v>
      </x:c>
      <x:c r="I948" s="50" t="n">
        <x:v>0.332304</x:v>
      </x:c>
      <x:c r="J948" s="50" t="n">
        <x:v>0.797632</x:v>
      </x:c>
      <x:c r="K948" s="50" t="n">
        <x:v>0.348443</x:v>
      </x:c>
      <x:c r="L948" s="47" t="n">
        <x:v>842.04</x:v>
      </x:c>
      <x:c r="M948" s="47" t="n">
        <x:v>595.32</x:v>
      </x:c>
      <x:c r="N948" s="28" t="str">
        <x:v>top-left</x:v>
      </x:c>
      <x:c r="O948" s="28" t="str">
        <x:v>PDF points</x:v>
      </x:c>
    </x:row>
    <x:row r="949" ht="22" customHeight="1">
      <x:c r="A949" s="28" t="str">
        <x:v>ANC-SLE-040-01-R32</x:v>
      </x:c>
      <x:c r="B949" s="28" t="str">
        <x:v>ANC-SLE-040-01</x:v>
      </x:c>
      <x:c r="C949" s="28" t="n">
        <x:v>17</x:v>
      </x:c>
      <x:c r="D949" s="47" t="n">
        <x:v>696.004</x:v>
      </x:c>
      <x:c r="E949" s="47" t="n">
        <x:v>197.827</x:v>
      </x:c>
      <x:c r="F949" s="47" t="n">
        <x:v>711.122</x:v>
      </x:c>
      <x:c r="G949" s="47" t="n">
        <x:v>207.435</x:v>
      </x:c>
      <x:c r="H949" s="50" t="n">
        <x:v>0.826569</x:v>
      </x:c>
      <x:c r="I949" s="50" t="n">
        <x:v>0.332304</x:v>
      </x:c>
      <x:c r="J949" s="50" t="n">
        <x:v>0.844523</x:v>
      </x:c>
      <x:c r="K949" s="50" t="n">
        <x:v>0.348443</x:v>
      </x:c>
      <x:c r="L949" s="47" t="n">
        <x:v>842.04</x:v>
      </x:c>
      <x:c r="M949" s="47" t="n">
        <x:v>595.32</x:v>
      </x:c>
      <x:c r="N949" s="28" t="str">
        <x:v>top-left</x:v>
      </x:c>
      <x:c r="O949" s="28" t="str">
        <x:v>PDF points</x:v>
      </x:c>
    </x:row>
    <x:row r="950" ht="22" customHeight="1">
      <x:c r="A950" s="28" t="str">
        <x:v>ANC-SLE-040-01-R33</x:v>
      </x:c>
      <x:c r="B950" s="28" t="str">
        <x:v>ANC-SLE-040-01</x:v>
      </x:c>
      <x:c r="C950" s="28" t="n">
        <x:v>17</x:v>
      </x:c>
      <x:c r="D950" s="47" t="n">
        <x:v>731.887</x:v>
      </x:c>
      <x:c r="E950" s="47" t="n">
        <x:v>197.827</x:v>
      </x:c>
      <x:c r="F950" s="47" t="n">
        <x:v>747.005</x:v>
      </x:c>
      <x:c r="G950" s="47" t="n">
        <x:v>207.435</x:v>
      </x:c>
      <x:c r="H950" s="50" t="n">
        <x:v>0.869183</x:v>
      </x:c>
      <x:c r="I950" s="50" t="n">
        <x:v>0.332304</x:v>
      </x:c>
      <x:c r="J950" s="50" t="n">
        <x:v>0.887137</x:v>
      </x:c>
      <x:c r="K950" s="50" t="n">
        <x:v>0.348443</x:v>
      </x:c>
      <x:c r="L950" s="47" t="n">
        <x:v>842.04</x:v>
      </x:c>
      <x:c r="M950" s="47" t="n">
        <x:v>595.32</x:v>
      </x:c>
      <x:c r="N950" s="28" t="str">
        <x:v>top-left</x:v>
      </x:c>
      <x:c r="O950" s="28" t="str">
        <x:v>PDF points</x:v>
      </x:c>
    </x:row>
    <x:row r="951" ht="22" customHeight="1">
      <x:c r="A951" s="28" t="str">
        <x:v>ANC-SLE-040-01-R34</x:v>
      </x:c>
      <x:c r="B951" s="28" t="str">
        <x:v>ANC-SLE-040-01</x:v>
      </x:c>
      <x:c r="C951" s="28" t="n">
        <x:v>17</x:v>
      </x:c>
      <x:c r="D951" s="47" t="n">
        <x:v>768.011</x:v>
      </x:c>
      <x:c r="E951" s="47" t="n">
        <x:v>197.827</x:v>
      </x:c>
      <x:c r="F951" s="47" t="n">
        <x:v>783.128</x:v>
      </x:c>
      <x:c r="G951" s="47" t="n">
        <x:v>207.435</x:v>
      </x:c>
      <x:c r="H951" s="50" t="n">
        <x:v>0.912083</x:v>
      </x:c>
      <x:c r="I951" s="50" t="n">
        <x:v>0.332304</x:v>
      </x:c>
      <x:c r="J951" s="50" t="n">
        <x:v>0.930037</x:v>
      </x:c>
      <x:c r="K951" s="50" t="n">
        <x:v>0.348443</x:v>
      </x:c>
      <x:c r="L951" s="47" t="n">
        <x:v>842.04</x:v>
      </x:c>
      <x:c r="M951" s="47" t="n">
        <x:v>595.32</x:v>
      </x:c>
      <x:c r="N951" s="28" t="str">
        <x:v>top-left</x:v>
      </x:c>
      <x:c r="O951" s="28" t="str">
        <x:v>PDF points</x:v>
      </x:c>
    </x:row>
    <x:row r="952" ht="22" customHeight="1">
      <x:c r="A952" s="28" t="str">
        <x:v>ANC-SLE-040-01-R35</x:v>
      </x:c>
      <x:c r="B952" s="28" t="str">
        <x:v>ANC-SLE-040-01</x:v>
      </x:c>
      <x:c r="C952" s="28" t="n">
        <x:v>17</x:v>
      </x:c>
      <x:c r="D952" s="47" t="n">
        <x:v>217.32</x:v>
      </x:c>
      <x:c r="E952" s="47" t="n">
        <x:v>211.387</x:v>
      </x:c>
      <x:c r="F952" s="47" t="n">
        <x:v>407.119</x:v>
      </x:c>
      <x:c r="G952" s="47" t="n">
        <x:v>220.995</x:v>
      </x:c>
      <x:c r="H952" s="50" t="n">
        <x:v>0.258088</x:v>
      </x:c>
      <x:c r="I952" s="50" t="n">
        <x:v>0.355082</x:v>
      </x:c>
      <x:c r="J952" s="50" t="n">
        <x:v>0.483492</x:v>
      </x:c>
      <x:c r="K952" s="50" t="n">
        <x:v>0.371221</x:v>
      </x:c>
      <x:c r="L952" s="47" t="n">
        <x:v>842.04</x:v>
      </x:c>
      <x:c r="M952" s="47" t="n">
        <x:v>595.32</x:v>
      </x:c>
      <x:c r="N952" s="28" t="str">
        <x:v>top-left</x:v>
      </x:c>
      <x:c r="O952" s="28" t="str">
        <x:v>PDF points</x:v>
      </x:c>
    </x:row>
    <x:row r="953" ht="22" customHeight="1">
      <x:c r="A953" s="28" t="str">
        <x:v>ANC-SLE-041-01-R01</x:v>
      </x:c>
      <x:c r="B953" s="28" t="str">
        <x:v>ANC-SLE-041-01</x:v>
      </x:c>
      <x:c r="C953" s="28" t="n">
        <x:v>17</x:v>
      </x:c>
      <x:c r="D953" s="47" t="n">
        <x:v>217.32</x:v>
      </x:c>
      <x:c r="E953" s="47" t="n">
        <x:v>226.027</x:v>
      </x:c>
      <x:c r="F953" s="47" t="n">
        <x:v>450.056</x:v>
      </x:c>
      <x:c r="G953" s="47" t="n">
        <x:v>235.635</x:v>
      </x:c>
      <x:c r="H953" s="50" t="n">
        <x:v>0.258088</x:v>
      </x:c>
      <x:c r="I953" s="50" t="n">
        <x:v>0.379674</x:v>
      </x:c>
      <x:c r="J953" s="50" t="n">
        <x:v>0.534483</x:v>
      </x:c>
      <x:c r="K953" s="50" t="n">
        <x:v>0.395813</x:v>
      </x:c>
      <x:c r="L953" s="47" t="n">
        <x:v>842.04</x:v>
      </x:c>
      <x:c r="M953" s="47" t="n">
        <x:v>595.32</x:v>
      </x:c>
      <x:c r="N953" s="28" t="str">
        <x:v>top-left</x:v>
      </x:c>
      <x:c r="O953" s="28" t="str">
        <x:v>PDF points</x:v>
      </x:c>
    </x:row>
    <x:row r="954" ht="22" customHeight="1">
      <x:c r="A954" s="28" t="str">
        <x:v>ANC-SLE-041-01-R02</x:v>
      </x:c>
      <x:c r="B954" s="28" t="str">
        <x:v>ANC-SLE-041-01</x:v>
      </x:c>
      <x:c r="C954" s="28" t="n">
        <x:v>17</x:v>
      </x:c>
      <x:c r="D954" s="47" t="n">
        <x:v>217.32</x:v>
      </x:c>
      <x:c r="E954" s="47" t="n">
        <x:v>234.787</x:v>
      </x:c>
      <x:c r="F954" s="47" t="n">
        <x:v>263.32</x:v>
      </x:c>
      <x:c r="G954" s="47" t="n">
        <x:v>244.395</x:v>
      </x:c>
      <x:c r="H954" s="50" t="n">
        <x:v>0.258088</x:v>
      </x:c>
      <x:c r="I954" s="50" t="n">
        <x:v>0.394388</x:v>
      </x:c>
      <x:c r="J954" s="50" t="n">
        <x:v>0.312717</x:v>
      </x:c>
      <x:c r="K954" s="50" t="n">
        <x:v>0.410527</x:v>
      </x:c>
      <x:c r="L954" s="47" t="n">
        <x:v>842.04</x:v>
      </x:c>
      <x:c r="M954" s="47" t="n">
        <x:v>595.32</x:v>
      </x:c>
      <x:c r="N954" s="28" t="str">
        <x:v>top-left</x:v>
      </x:c>
      <x:c r="O954" s="28" t="str">
        <x:v>PDF points</x:v>
      </x:c>
    </x:row>
    <x:row r="955" ht="22" customHeight="1">
      <x:c r="A955" s="28" t="str">
        <x:v>ANC-SLE-042-01-R01</x:v>
      </x:c>
      <x:c r="B955" s="28" t="str">
        <x:v>ANC-SLE-042-01</x:v>
      </x:c>
      <x:c r="C955" s="28" t="n">
        <x:v>17</x:v>
      </x:c>
      <x:c r="D955" s="47" t="n">
        <x:v>122.88</x:v>
      </x:c>
      <x:c r="E955" s="47" t="n">
        <x:v>201.674</x:v>
      </x:c>
      <x:c r="F955" s="47" t="n">
        <x:v>195.405</x:v>
      </x:c>
      <x:c r="G955" s="47" t="n">
        <x:v>211.282</x:v>
      </x:c>
      <x:c r="H955" s="50" t="n">
        <x:v>0.145931</x:v>
      </x:c>
      <x:c r="I955" s="50" t="n">
        <x:v>0.338766</x:v>
      </x:c>
      <x:c r="J955" s="50" t="n">
        <x:v>0.232061</x:v>
      </x:c>
      <x:c r="K955" s="50" t="n">
        <x:v>0.354905</x:v>
      </x:c>
      <x:c r="L955" s="47" t="n">
        <x:v>842.04</x:v>
      </x:c>
      <x:c r="M955" s="47" t="n">
        <x:v>595.32</x:v>
      </x:c>
      <x:c r="N955" s="28" t="str">
        <x:v>top-left</x:v>
      </x:c>
      <x:c r="O955" s="28" t="str">
        <x:v>PDF points</x:v>
      </x:c>
    </x:row>
    <x:row r="956" ht="22" customHeight="1">
      <x:c r="A956" s="28" t="str">
        <x:v>ANC-SLE-042-01-R02</x:v>
      </x:c>
      <x:c r="B956" s="28" t="str">
        <x:v>ANC-SLE-042-01</x:v>
      </x:c>
      <x:c r="C956" s="28" t="n">
        <x:v>17</x:v>
      </x:c>
      <x:c r="D956" s="47" t="n">
        <x:v>274.685</x:v>
      </x:c>
      <x:c r="E956" s="47" t="n">
        <x:v>193.507</x:v>
      </x:c>
      <x:c r="F956" s="47" t="n">
        <x:v>433.13</x:v>
      </x:c>
      <x:c r="G956" s="47" t="n">
        <x:v>203.115</x:v>
      </x:c>
      <x:c r="H956" s="50" t="n">
        <x:v>0.326213</x:v>
      </x:c>
      <x:c r="I956" s="50" t="n">
        <x:v>0.325048</x:v>
      </x:c>
      <x:c r="J956" s="50" t="n">
        <x:v>0.514381</x:v>
      </x:c>
      <x:c r="K956" s="50" t="n">
        <x:v>0.341186</x:v>
      </x:c>
      <x:c r="L956" s="47" t="n">
        <x:v>842.04</x:v>
      </x:c>
      <x:c r="M956" s="47" t="n">
        <x:v>595.32</x:v>
      </x:c>
      <x:c r="N956" s="28" t="str">
        <x:v>top-left</x:v>
      </x:c>
      <x:c r="O956" s="28" t="str">
        <x:v>PDF points</x:v>
      </x:c>
    </x:row>
    <x:row r="957" ht="22" customHeight="1">
      <x:c r="A957" s="28" t="str">
        <x:v>ANC-SLE-042-01-R03</x:v>
      </x:c>
      <x:c r="B957" s="28" t="str">
        <x:v>ANC-SLE-042-01</x:v>
      </x:c>
      <x:c r="C957" s="28" t="n">
        <x:v>17</x:v>
      </x:c>
      <x:c r="D957" s="47" t="n">
        <x:v>217.32</x:v>
      </x:c>
      <x:c r="E957" s="47" t="n">
        <x:v>202.147</x:v>
      </x:c>
      <x:c r="F957" s="47" t="n">
        <x:v>317.966</x:v>
      </x:c>
      <x:c r="G957" s="47" t="n">
        <x:v>211.755</x:v>
      </x:c>
      <x:c r="H957" s="50" t="n">
        <x:v>0.258088</x:v>
      </x:c>
      <x:c r="I957" s="50" t="n">
        <x:v>0.339561</x:v>
      </x:c>
      <x:c r="J957" s="50" t="n">
        <x:v>0.377614</x:v>
      </x:c>
      <x:c r="K957" s="50" t="n">
        <x:v>0.3557</x:v>
      </x:c>
      <x:c r="L957" s="47" t="n">
        <x:v>842.04</x:v>
      </x:c>
      <x:c r="M957" s="47" t="n">
        <x:v>595.32</x:v>
      </x:c>
      <x:c r="N957" s="28" t="str">
        <x:v>top-left</x:v>
      </x:c>
      <x:c r="O957" s="28" t="str">
        <x:v>PDF points</x:v>
      </x:c>
    </x:row>
    <x:row r="958" ht="22" customHeight="1">
      <x:c r="A958" s="28" t="str">
        <x:v>ANC-SLE-042-01-R04</x:v>
      </x:c>
      <x:c r="B958" s="28" t="str">
        <x:v>ANC-SLE-042-01</x:v>
      </x:c>
      <x:c r="C958" s="28" t="n">
        <x:v>17</x:v>
      </x:c>
      <x:c r="D958" s="47" t="n">
        <x:v>476.28</x:v>
      </x:c>
      <x:c r="E958" s="47" t="n">
        <x:v>197.827</x:v>
      </x:c>
      <x:c r="F958" s="47" t="n">
        <x:v>491.398</x:v>
      </x:c>
      <x:c r="G958" s="47" t="n">
        <x:v>207.435</x:v>
      </x:c>
      <x:c r="H958" s="50" t="n">
        <x:v>0.565626</x:v>
      </x:c>
      <x:c r="I958" s="50" t="n">
        <x:v>0.332304</x:v>
      </x:c>
      <x:c r="J958" s="50" t="n">
        <x:v>0.58358</x:v>
      </x:c>
      <x:c r="K958" s="50" t="n">
        <x:v>0.348443</x:v>
      </x:c>
      <x:c r="L958" s="47" t="n">
        <x:v>842.04</x:v>
      </x:c>
      <x:c r="M958" s="47" t="n">
        <x:v>595.32</x:v>
      </x:c>
      <x:c r="N958" s="28" t="str">
        <x:v>top-left</x:v>
      </x:c>
      <x:c r="O958" s="28" t="str">
        <x:v>PDF points</x:v>
      </x:c>
    </x:row>
    <x:row r="959" ht="22" customHeight="1">
      <x:c r="A959" s="28" t="str">
        <x:v>ANC-SLE-042-01-R05</x:v>
      </x:c>
      <x:c r="B959" s="28" t="str">
        <x:v>ANC-SLE-042-01</x:v>
      </x:c>
      <x:c r="C959" s="28" t="n">
        <x:v>17</x:v>
      </x:c>
      <x:c r="D959" s="47" t="n">
        <x:v>526.924</x:v>
      </x:c>
      <x:c r="E959" s="47" t="n">
        <x:v>197.827</x:v>
      </x:c>
      <x:c r="F959" s="47" t="n">
        <x:v>542.042</x:v>
      </x:c>
      <x:c r="G959" s="47" t="n">
        <x:v>207.435</x:v>
      </x:c>
      <x:c r="H959" s="50" t="n">
        <x:v>0.625771</x:v>
      </x:c>
      <x:c r="I959" s="50" t="n">
        <x:v>0.332304</x:v>
      </x:c>
      <x:c r="J959" s="50" t="n">
        <x:v>0.643724</x:v>
      </x:c>
      <x:c r="K959" s="50" t="n">
        <x:v>0.348443</x:v>
      </x:c>
      <x:c r="L959" s="47" t="n">
        <x:v>842.04</x:v>
      </x:c>
      <x:c r="M959" s="47" t="n">
        <x:v>595.32</x:v>
      </x:c>
      <x:c r="N959" s="28" t="str">
        <x:v>top-left</x:v>
      </x:c>
      <x:c r="O959" s="28" t="str">
        <x:v>PDF points</x:v>
      </x:c>
    </x:row>
    <x:row r="960" ht="22" customHeight="1">
      <x:c r="A960" s="28" t="str">
        <x:v>ANC-SLE-042-01-R06</x:v>
      </x:c>
      <x:c r="B960" s="28" t="str">
        <x:v>ANC-SLE-042-01</x:v>
      </x:c>
      <x:c r="C960" s="28" t="n">
        <x:v>17</x:v>
      </x:c>
      <x:c r="D960" s="47" t="n">
        <x:v>576.482</x:v>
      </x:c>
      <x:c r="E960" s="47" t="n">
        <x:v>197.827</x:v>
      </x:c>
      <x:c r="F960" s="47" t="n">
        <x:v>591.6</x:v>
      </x:c>
      <x:c r="G960" s="47" t="n">
        <x:v>207.435</x:v>
      </x:c>
      <x:c r="H960" s="50" t="n">
        <x:v>0.684626</x:v>
      </x:c>
      <x:c r="I960" s="50" t="n">
        <x:v>0.332304</x:v>
      </x:c>
      <x:c r="J960" s="50" t="n">
        <x:v>0.70258</x:v>
      </x:c>
      <x:c r="K960" s="50" t="n">
        <x:v>0.348443</x:v>
      </x:c>
      <x:c r="L960" s="47" t="n">
        <x:v>842.04</x:v>
      </x:c>
      <x:c r="M960" s="47" t="n">
        <x:v>595.32</x:v>
      </x:c>
      <x:c r="N960" s="28" t="str">
        <x:v>top-left</x:v>
      </x:c>
      <x:c r="O960" s="28" t="str">
        <x:v>PDF points</x:v>
      </x:c>
    </x:row>
    <x:row r="961" ht="22" customHeight="1">
      <x:c r="A961" s="28" t="str">
        <x:v>ANC-SLE-042-01-R07</x:v>
      </x:c>
      <x:c r="B961" s="28" t="str">
        <x:v>ANC-SLE-042-01</x:v>
      </x:c>
      <x:c r="C961" s="28" t="n">
        <x:v>17</x:v>
      </x:c>
      <x:c r="D961" s="47" t="n">
        <x:v>616.92</x:v>
      </x:c>
      <x:c r="E961" s="47" t="n">
        <x:v>197.827</x:v>
      </x:c>
      <x:c r="F961" s="47" t="n">
        <x:v>632.038</x:v>
      </x:c>
      <x:c r="G961" s="47" t="n">
        <x:v>207.435</x:v>
      </x:c>
      <x:c r="H961" s="50" t="n">
        <x:v>0.732649</x:v>
      </x:c>
      <x:c r="I961" s="50" t="n">
        <x:v>0.332304</x:v>
      </x:c>
      <x:c r="J961" s="50" t="n">
        <x:v>0.750603</x:v>
      </x:c>
      <x:c r="K961" s="50" t="n">
        <x:v>0.348443</x:v>
      </x:c>
      <x:c r="L961" s="47" t="n">
        <x:v>842.04</x:v>
      </x:c>
      <x:c r="M961" s="47" t="n">
        <x:v>595.32</x:v>
      </x:c>
      <x:c r="N961" s="28" t="str">
        <x:v>top-left</x:v>
      </x:c>
      <x:c r="O961" s="28" t="str">
        <x:v>PDF points</x:v>
      </x:c>
    </x:row>
    <x:row r="962" ht="22" customHeight="1">
      <x:c r="A962" s="28" t="str">
        <x:v>ANC-SLE-042-01-R08</x:v>
      </x:c>
      <x:c r="B962" s="28" t="str">
        <x:v>ANC-SLE-042-01</x:v>
      </x:c>
      <x:c r="C962" s="28" t="n">
        <x:v>17</x:v>
      </x:c>
      <x:c r="D962" s="47" t="n">
        <x:v>656.52</x:v>
      </x:c>
      <x:c r="E962" s="47" t="n">
        <x:v>197.827</x:v>
      </x:c>
      <x:c r="F962" s="47" t="n">
        <x:v>671.638</x:v>
      </x:c>
      <x:c r="G962" s="47" t="n">
        <x:v>207.435</x:v>
      </x:c>
      <x:c r="H962" s="50" t="n">
        <x:v>0.779678</x:v>
      </x:c>
      <x:c r="I962" s="50" t="n">
        <x:v>0.332304</x:v>
      </x:c>
      <x:c r="J962" s="50" t="n">
        <x:v>0.797632</x:v>
      </x:c>
      <x:c r="K962" s="50" t="n">
        <x:v>0.348443</x:v>
      </x:c>
      <x:c r="L962" s="47" t="n">
        <x:v>842.04</x:v>
      </x:c>
      <x:c r="M962" s="47" t="n">
        <x:v>595.32</x:v>
      </x:c>
      <x:c r="N962" s="28" t="str">
        <x:v>top-left</x:v>
      </x:c>
      <x:c r="O962" s="28" t="str">
        <x:v>PDF points</x:v>
      </x:c>
    </x:row>
    <x:row r="963" ht="22" customHeight="1">
      <x:c r="A963" s="28" t="str">
        <x:v>ANC-SLE-042-01-R09</x:v>
      </x:c>
      <x:c r="B963" s="28" t="str">
        <x:v>ANC-SLE-042-01</x:v>
      </x:c>
      <x:c r="C963" s="28" t="n">
        <x:v>17</x:v>
      </x:c>
      <x:c r="D963" s="47" t="n">
        <x:v>696.004</x:v>
      </x:c>
      <x:c r="E963" s="47" t="n">
        <x:v>197.827</x:v>
      </x:c>
      <x:c r="F963" s="47" t="n">
        <x:v>711.122</x:v>
      </x:c>
      <x:c r="G963" s="47" t="n">
        <x:v>207.435</x:v>
      </x:c>
      <x:c r="H963" s="50" t="n">
        <x:v>0.826569</x:v>
      </x:c>
      <x:c r="I963" s="50" t="n">
        <x:v>0.332304</x:v>
      </x:c>
      <x:c r="J963" s="50" t="n">
        <x:v>0.844523</x:v>
      </x:c>
      <x:c r="K963" s="50" t="n">
        <x:v>0.348443</x:v>
      </x:c>
      <x:c r="L963" s="47" t="n">
        <x:v>842.04</x:v>
      </x:c>
      <x:c r="M963" s="47" t="n">
        <x:v>595.32</x:v>
      </x:c>
      <x:c r="N963" s="28" t="str">
        <x:v>top-left</x:v>
      </x:c>
      <x:c r="O963" s="28" t="str">
        <x:v>PDF points</x:v>
      </x:c>
    </x:row>
    <x:row r="964" ht="22" customHeight="1">
      <x:c r="A964" s="28" t="str">
        <x:v>ANC-SLE-042-01-R10</x:v>
      </x:c>
      <x:c r="B964" s="28" t="str">
        <x:v>ANC-SLE-042-01</x:v>
      </x:c>
      <x:c r="C964" s="28" t="n">
        <x:v>17</x:v>
      </x:c>
      <x:c r="D964" s="47" t="n">
        <x:v>731.887</x:v>
      </x:c>
      <x:c r="E964" s="47" t="n">
        <x:v>197.827</x:v>
      </x:c>
      <x:c r="F964" s="47" t="n">
        <x:v>747.005</x:v>
      </x:c>
      <x:c r="G964" s="47" t="n">
        <x:v>207.435</x:v>
      </x:c>
      <x:c r="H964" s="50" t="n">
        <x:v>0.869183</x:v>
      </x:c>
      <x:c r="I964" s="50" t="n">
        <x:v>0.332304</x:v>
      </x:c>
      <x:c r="J964" s="50" t="n">
        <x:v>0.887137</x:v>
      </x:c>
      <x:c r="K964" s="50" t="n">
        <x:v>0.348443</x:v>
      </x:c>
      <x:c r="L964" s="47" t="n">
        <x:v>842.04</x:v>
      </x:c>
      <x:c r="M964" s="47" t="n">
        <x:v>595.32</x:v>
      </x:c>
      <x:c r="N964" s="28" t="str">
        <x:v>top-left</x:v>
      </x:c>
      <x:c r="O964" s="28" t="str">
        <x:v>PDF points</x:v>
      </x:c>
    </x:row>
    <x:row r="965" ht="22" customHeight="1">
      <x:c r="A965" s="28" t="str">
        <x:v>ANC-SLE-042-01-R11</x:v>
      </x:c>
      <x:c r="B965" s="28" t="str">
        <x:v>ANC-SLE-042-01</x:v>
      </x:c>
      <x:c r="C965" s="28" t="n">
        <x:v>17</x:v>
      </x:c>
      <x:c r="D965" s="47" t="n">
        <x:v>768.011</x:v>
      </x:c>
      <x:c r="E965" s="47" t="n">
        <x:v>197.827</x:v>
      </x:c>
      <x:c r="F965" s="47" t="n">
        <x:v>783.128</x:v>
      </x:c>
      <x:c r="G965" s="47" t="n">
        <x:v>207.435</x:v>
      </x:c>
      <x:c r="H965" s="50" t="n">
        <x:v>0.912083</x:v>
      </x:c>
      <x:c r="I965" s="50" t="n">
        <x:v>0.332304</x:v>
      </x:c>
      <x:c r="J965" s="50" t="n">
        <x:v>0.930037</x:v>
      </x:c>
      <x:c r="K965" s="50" t="n">
        <x:v>0.348443</x:v>
      </x:c>
      <x:c r="L965" s="47" t="n">
        <x:v>842.04</x:v>
      </x:c>
      <x:c r="M965" s="47" t="n">
        <x:v>595.32</x:v>
      </x:c>
      <x:c r="N965" s="28" t="str">
        <x:v>top-left</x:v>
      </x:c>
      <x:c r="O965" s="28" t="str">
        <x:v>PDF points</x:v>
      </x:c>
    </x:row>
    <x:row r="966" ht="22" customHeight="1">
      <x:c r="A966" s="28" t="str">
        <x:v>ANC-SLE-042-01-R12</x:v>
      </x:c>
      <x:c r="B966" s="28" t="str">
        <x:v>ANC-SLE-042-01</x:v>
      </x:c>
      <x:c r="C966" s="28" t="n">
        <x:v>17</x:v>
      </x:c>
      <x:c r="D966" s="47" t="n">
        <x:v>217.32</x:v>
      </x:c>
      <x:c r="E966" s="47" t="n">
        <x:v>211.387</x:v>
      </x:c>
      <x:c r="F966" s="47" t="n">
        <x:v>407.119</x:v>
      </x:c>
      <x:c r="G966" s="47" t="n">
        <x:v>220.995</x:v>
      </x:c>
      <x:c r="H966" s="50" t="n">
        <x:v>0.258088</x:v>
      </x:c>
      <x:c r="I966" s="50" t="n">
        <x:v>0.355082</x:v>
      </x:c>
      <x:c r="J966" s="50" t="n">
        <x:v>0.483492</x:v>
      </x:c>
      <x:c r="K966" s="50" t="n">
        <x:v>0.371221</x:v>
      </x:c>
      <x:c r="L966" s="47" t="n">
        <x:v>842.04</x:v>
      </x:c>
      <x:c r="M966" s="47" t="n">
        <x:v>595.32</x:v>
      </x:c>
      <x:c r="N966" s="28" t="str">
        <x:v>top-left</x:v>
      </x:c>
      <x:c r="O966" s="28" t="str">
        <x:v>PDF points</x:v>
      </x:c>
    </x:row>
    <x:row r="967" ht="22" customHeight="1">
      <x:c r="A967" s="28" t="str">
        <x:v>ANC-SLE-042-01-R13</x:v>
      </x:c>
      <x:c r="B967" s="28" t="str">
        <x:v>ANC-SLE-042-01</x:v>
      </x:c>
      <x:c r="C967" s="28" t="n">
        <x:v>17</x:v>
      </x:c>
      <x:c r="D967" s="47" t="n">
        <x:v>476.28</x:v>
      </x:c>
      <x:c r="E967" s="47" t="n">
        <x:v>214.147</x:v>
      </x:c>
      <x:c r="F967" s="47" t="n">
        <x:v>491.398</x:v>
      </x:c>
      <x:c r="G967" s="47" t="n">
        <x:v>223.755</x:v>
      </x:c>
      <x:c r="H967" s="50" t="n">
        <x:v>0.565626</x:v>
      </x:c>
      <x:c r="I967" s="50" t="n">
        <x:v>0.359718</x:v>
      </x:c>
      <x:c r="J967" s="50" t="n">
        <x:v>0.58358</x:v>
      </x:c>
      <x:c r="K967" s="50" t="n">
        <x:v>0.375857</x:v>
      </x:c>
      <x:c r="L967" s="47" t="n">
        <x:v>842.04</x:v>
      </x:c>
      <x:c r="M967" s="47" t="n">
        <x:v>595.32</x:v>
      </x:c>
      <x:c r="N967" s="28" t="str">
        <x:v>top-left</x:v>
      </x:c>
      <x:c r="O967" s="28" t="str">
        <x:v>PDF points</x:v>
      </x:c>
    </x:row>
    <x:row r="968" ht="22" customHeight="1">
      <x:c r="A968" s="28" t="str">
        <x:v>ANC-SLE-042-01-R14</x:v>
      </x:c>
      <x:c r="B968" s="28" t="str">
        <x:v>ANC-SLE-042-01</x:v>
      </x:c>
      <x:c r="C968" s="28" t="n">
        <x:v>17</x:v>
      </x:c>
      <x:c r="D968" s="47" t="n">
        <x:v>526.924</x:v>
      </x:c>
      <x:c r="E968" s="47" t="n">
        <x:v>214.147</x:v>
      </x:c>
      <x:c r="F968" s="47" t="n">
        <x:v>542.042</x:v>
      </x:c>
      <x:c r="G968" s="47" t="n">
        <x:v>223.755</x:v>
      </x:c>
      <x:c r="H968" s="50" t="n">
        <x:v>0.625771</x:v>
      </x:c>
      <x:c r="I968" s="50" t="n">
        <x:v>0.359718</x:v>
      </x:c>
      <x:c r="J968" s="50" t="n">
        <x:v>0.643724</x:v>
      </x:c>
      <x:c r="K968" s="50" t="n">
        <x:v>0.375857</x:v>
      </x:c>
      <x:c r="L968" s="47" t="n">
        <x:v>842.04</x:v>
      </x:c>
      <x:c r="M968" s="47" t="n">
        <x:v>595.32</x:v>
      </x:c>
      <x:c r="N968" s="28" t="str">
        <x:v>top-left</x:v>
      </x:c>
      <x:c r="O968" s="28" t="str">
        <x:v>PDF points</x:v>
      </x:c>
    </x:row>
    <x:row r="969" ht="22" customHeight="1">
      <x:c r="A969" s="28" t="str">
        <x:v>ANC-SLE-042-01-R15</x:v>
      </x:c>
      <x:c r="B969" s="28" t="str">
        <x:v>ANC-SLE-042-01</x:v>
      </x:c>
      <x:c r="C969" s="28" t="n">
        <x:v>17</x:v>
      </x:c>
      <x:c r="D969" s="47" t="n">
        <x:v>576.482</x:v>
      </x:c>
      <x:c r="E969" s="47" t="n">
        <x:v>214.147</x:v>
      </x:c>
      <x:c r="F969" s="47" t="n">
        <x:v>591.6</x:v>
      </x:c>
      <x:c r="G969" s="47" t="n">
        <x:v>223.755</x:v>
      </x:c>
      <x:c r="H969" s="50" t="n">
        <x:v>0.684626</x:v>
      </x:c>
      <x:c r="I969" s="50" t="n">
        <x:v>0.359718</x:v>
      </x:c>
      <x:c r="J969" s="50" t="n">
        <x:v>0.70258</x:v>
      </x:c>
      <x:c r="K969" s="50" t="n">
        <x:v>0.375857</x:v>
      </x:c>
      <x:c r="L969" s="47" t="n">
        <x:v>842.04</x:v>
      </x:c>
      <x:c r="M969" s="47" t="n">
        <x:v>595.32</x:v>
      </x:c>
      <x:c r="N969" s="28" t="str">
        <x:v>top-left</x:v>
      </x:c>
      <x:c r="O969" s="28" t="str">
        <x:v>PDF points</x:v>
      </x:c>
    </x:row>
    <x:row r="970" ht="22" customHeight="1">
      <x:c r="A970" s="28" t="str">
        <x:v>ANC-SLE-042-01-R16</x:v>
      </x:c>
      <x:c r="B970" s="28" t="str">
        <x:v>ANC-SLE-042-01</x:v>
      </x:c>
      <x:c r="C970" s="28" t="n">
        <x:v>17</x:v>
      </x:c>
      <x:c r="D970" s="47" t="n">
        <x:v>616.92</x:v>
      </x:c>
      <x:c r="E970" s="47" t="n">
        <x:v>214.147</x:v>
      </x:c>
      <x:c r="F970" s="47" t="n">
        <x:v>632.038</x:v>
      </x:c>
      <x:c r="G970" s="47" t="n">
        <x:v>223.755</x:v>
      </x:c>
      <x:c r="H970" s="50" t="n">
        <x:v>0.732649</x:v>
      </x:c>
      <x:c r="I970" s="50" t="n">
        <x:v>0.359718</x:v>
      </x:c>
      <x:c r="J970" s="50" t="n">
        <x:v>0.750603</x:v>
      </x:c>
      <x:c r="K970" s="50" t="n">
        <x:v>0.375857</x:v>
      </x:c>
      <x:c r="L970" s="47" t="n">
        <x:v>842.04</x:v>
      </x:c>
      <x:c r="M970" s="47" t="n">
        <x:v>595.32</x:v>
      </x:c>
      <x:c r="N970" s="28" t="str">
        <x:v>top-left</x:v>
      </x:c>
      <x:c r="O970" s="28" t="str">
        <x:v>PDF points</x:v>
      </x:c>
    </x:row>
    <x:row r="971" ht="22" customHeight="1">
      <x:c r="A971" s="28" t="str">
        <x:v>ANC-SLE-042-01-R17</x:v>
      </x:c>
      <x:c r="B971" s="28" t="str">
        <x:v>ANC-SLE-042-01</x:v>
      </x:c>
      <x:c r="C971" s="28" t="n">
        <x:v>17</x:v>
      </x:c>
      <x:c r="D971" s="47" t="n">
        <x:v>656.52</x:v>
      </x:c>
      <x:c r="E971" s="47" t="n">
        <x:v>214.147</x:v>
      </x:c>
      <x:c r="F971" s="47" t="n">
        <x:v>671.638</x:v>
      </x:c>
      <x:c r="G971" s="47" t="n">
        <x:v>223.755</x:v>
      </x:c>
      <x:c r="H971" s="50" t="n">
        <x:v>0.779678</x:v>
      </x:c>
      <x:c r="I971" s="50" t="n">
        <x:v>0.359718</x:v>
      </x:c>
      <x:c r="J971" s="50" t="n">
        <x:v>0.797632</x:v>
      </x:c>
      <x:c r="K971" s="50" t="n">
        <x:v>0.375857</x:v>
      </x:c>
      <x:c r="L971" s="47" t="n">
        <x:v>842.04</x:v>
      </x:c>
      <x:c r="M971" s="47" t="n">
        <x:v>595.32</x:v>
      </x:c>
      <x:c r="N971" s="28" t="str">
        <x:v>top-left</x:v>
      </x:c>
      <x:c r="O971" s="28" t="str">
        <x:v>PDF points</x:v>
      </x:c>
    </x:row>
    <x:row r="972" ht="22" customHeight="1">
      <x:c r="A972" s="28" t="str">
        <x:v>ANC-SLE-042-01-R18</x:v>
      </x:c>
      <x:c r="B972" s="28" t="str">
        <x:v>ANC-SLE-042-01</x:v>
      </x:c>
      <x:c r="C972" s="28" t="n">
        <x:v>17</x:v>
      </x:c>
      <x:c r="D972" s="47" t="n">
        <x:v>696.004</x:v>
      </x:c>
      <x:c r="E972" s="47" t="n">
        <x:v>214.147</x:v>
      </x:c>
      <x:c r="F972" s="47" t="n">
        <x:v>711.122</x:v>
      </x:c>
      <x:c r="G972" s="47" t="n">
        <x:v>223.755</x:v>
      </x:c>
      <x:c r="H972" s="50" t="n">
        <x:v>0.826569</x:v>
      </x:c>
      <x:c r="I972" s="50" t="n">
        <x:v>0.359718</x:v>
      </x:c>
      <x:c r="J972" s="50" t="n">
        <x:v>0.844523</x:v>
      </x:c>
      <x:c r="K972" s="50" t="n">
        <x:v>0.375857</x:v>
      </x:c>
      <x:c r="L972" s="47" t="n">
        <x:v>842.04</x:v>
      </x:c>
      <x:c r="M972" s="47" t="n">
        <x:v>595.32</x:v>
      </x:c>
      <x:c r="N972" s="28" t="str">
        <x:v>top-left</x:v>
      </x:c>
      <x:c r="O972" s="28" t="str">
        <x:v>PDF points</x:v>
      </x:c>
    </x:row>
    <x:row r="973" ht="22" customHeight="1">
      <x:c r="A973" s="28" t="str">
        <x:v>ANC-SLE-042-01-R19</x:v>
      </x:c>
      <x:c r="B973" s="28" t="str">
        <x:v>ANC-SLE-042-01</x:v>
      </x:c>
      <x:c r="C973" s="28" t="n">
        <x:v>17</x:v>
      </x:c>
      <x:c r="D973" s="47" t="n">
        <x:v>731.887</x:v>
      </x:c>
      <x:c r="E973" s="47" t="n">
        <x:v>214.147</x:v>
      </x:c>
      <x:c r="F973" s="47" t="n">
        <x:v>747.005</x:v>
      </x:c>
      <x:c r="G973" s="47" t="n">
        <x:v>223.755</x:v>
      </x:c>
      <x:c r="H973" s="50" t="n">
        <x:v>0.869183</x:v>
      </x:c>
      <x:c r="I973" s="50" t="n">
        <x:v>0.359718</x:v>
      </x:c>
      <x:c r="J973" s="50" t="n">
        <x:v>0.887137</x:v>
      </x:c>
      <x:c r="K973" s="50" t="n">
        <x:v>0.375857</x:v>
      </x:c>
      <x:c r="L973" s="47" t="n">
        <x:v>842.04</x:v>
      </x:c>
      <x:c r="M973" s="47" t="n">
        <x:v>595.32</x:v>
      </x:c>
      <x:c r="N973" s="28" t="str">
        <x:v>top-left</x:v>
      </x:c>
      <x:c r="O973" s="28" t="str">
        <x:v>PDF points</x:v>
      </x:c>
    </x:row>
    <x:row r="974" ht="22" customHeight="1">
      <x:c r="A974" s="28" t="str">
        <x:v>ANC-SLE-042-01-R20</x:v>
      </x:c>
      <x:c r="B974" s="28" t="str">
        <x:v>ANC-SLE-042-01</x:v>
      </x:c>
      <x:c r="C974" s="28" t="n">
        <x:v>17</x:v>
      </x:c>
      <x:c r="D974" s="47" t="n">
        <x:v>768.011</x:v>
      </x:c>
      <x:c r="E974" s="47" t="n">
        <x:v>214.147</x:v>
      </x:c>
      <x:c r="F974" s="47" t="n">
        <x:v>783.128</x:v>
      </x:c>
      <x:c r="G974" s="47" t="n">
        <x:v>223.755</x:v>
      </x:c>
      <x:c r="H974" s="50" t="n">
        <x:v>0.912083</x:v>
      </x:c>
      <x:c r="I974" s="50" t="n">
        <x:v>0.359718</x:v>
      </x:c>
      <x:c r="J974" s="50" t="n">
        <x:v>0.930037</x:v>
      </x:c>
      <x:c r="K974" s="50" t="n">
        <x:v>0.375857</x:v>
      </x:c>
      <x:c r="L974" s="47" t="n">
        <x:v>842.04</x:v>
      </x:c>
      <x:c r="M974" s="47" t="n">
        <x:v>595.32</x:v>
      </x:c>
      <x:c r="N974" s="28" t="str">
        <x:v>top-left</x:v>
      </x:c>
      <x:c r="O974" s="28" t="str">
        <x:v>PDF points</x:v>
      </x:c>
    </x:row>
    <x:row r="975" ht="22" customHeight="1">
      <x:c r="A975" s="28" t="str">
        <x:v>ANC-SLE-042-01-R21</x:v>
      </x:c>
      <x:c r="B975" s="28" t="str">
        <x:v>ANC-SLE-042-01</x:v>
      </x:c>
      <x:c r="C975" s="28" t="n">
        <x:v>17</x:v>
      </x:c>
      <x:c r="D975" s="47" t="n">
        <x:v>217.32</x:v>
      </x:c>
      <x:c r="E975" s="47" t="n">
        <x:v>226.027</x:v>
      </x:c>
      <x:c r="F975" s="47" t="n">
        <x:v>450.056</x:v>
      </x:c>
      <x:c r="G975" s="47" t="n">
        <x:v>235.635</x:v>
      </x:c>
      <x:c r="H975" s="50" t="n">
        <x:v>0.258088</x:v>
      </x:c>
      <x:c r="I975" s="50" t="n">
        <x:v>0.379674</x:v>
      </x:c>
      <x:c r="J975" s="50" t="n">
        <x:v>0.534483</x:v>
      </x:c>
      <x:c r="K975" s="50" t="n">
        <x:v>0.395813</x:v>
      </x:c>
      <x:c r="L975" s="47" t="n">
        <x:v>842.04</x:v>
      </x:c>
      <x:c r="M975" s="47" t="n">
        <x:v>595.32</x:v>
      </x:c>
      <x:c r="N975" s="28" t="str">
        <x:v>top-left</x:v>
      </x:c>
      <x:c r="O975" s="28" t="str">
        <x:v>PDF points</x:v>
      </x:c>
    </x:row>
    <x:row r="976" ht="22" customHeight="1">
      <x:c r="A976" s="28" t="str">
        <x:v>ANC-SLE-042-01-R22</x:v>
      </x:c>
      <x:c r="B976" s="28" t="str">
        <x:v>ANC-SLE-042-01</x:v>
      </x:c>
      <x:c r="C976" s="28" t="n">
        <x:v>17</x:v>
      </x:c>
      <x:c r="D976" s="47" t="n">
        <x:v>217.32</x:v>
      </x:c>
      <x:c r="E976" s="47" t="n">
        <x:v>234.787</x:v>
      </x:c>
      <x:c r="F976" s="47" t="n">
        <x:v>263.32</x:v>
      </x:c>
      <x:c r="G976" s="47" t="n">
        <x:v>244.395</x:v>
      </x:c>
      <x:c r="H976" s="50" t="n">
        <x:v>0.258088</x:v>
      </x:c>
      <x:c r="I976" s="50" t="n">
        <x:v>0.394388</x:v>
      </x:c>
      <x:c r="J976" s="50" t="n">
        <x:v>0.312717</x:v>
      </x:c>
      <x:c r="K976" s="50" t="n">
        <x:v>0.410527</x:v>
      </x:c>
      <x:c r="L976" s="47" t="n">
        <x:v>842.04</x:v>
      </x:c>
      <x:c r="M976" s="47" t="n">
        <x:v>595.32</x:v>
      </x:c>
      <x:c r="N976" s="28" t="str">
        <x:v>top-left</x:v>
      </x:c>
      <x:c r="O976" s="28" t="str">
        <x:v>PDF points</x:v>
      </x:c>
    </x:row>
    <x:row r="977" ht="22" customHeight="1">
      <x:c r="A977" s="28" t="str">
        <x:v>ANC-SLE-042-01-R23</x:v>
      </x:c>
      <x:c r="B977" s="28" t="str">
        <x:v>ANC-SLE-042-01</x:v>
      </x:c>
      <x:c r="C977" s="28" t="n">
        <x:v>17</x:v>
      </x:c>
      <x:c r="D977" s="47" t="n">
        <x:v>476.28</x:v>
      </x:c>
      <x:c r="E977" s="47" t="n">
        <x:v>230.827</x:v>
      </x:c>
      <x:c r="F977" s="47" t="n">
        <x:v>491.398</x:v>
      </x:c>
      <x:c r="G977" s="47" t="n">
        <x:v>240.435</x:v>
      </x:c>
      <x:c r="H977" s="50" t="n">
        <x:v>0.565626</x:v>
      </x:c>
      <x:c r="I977" s="50" t="n">
        <x:v>0.387737</x:v>
      </x:c>
      <x:c r="J977" s="50" t="n">
        <x:v>0.58358</x:v>
      </x:c>
      <x:c r="K977" s="50" t="n">
        <x:v>0.403875</x:v>
      </x:c>
      <x:c r="L977" s="47" t="n">
        <x:v>842.04</x:v>
      </x:c>
      <x:c r="M977" s="47" t="n">
        <x:v>595.32</x:v>
      </x:c>
      <x:c r="N977" s="28" t="str">
        <x:v>top-left</x:v>
      </x:c>
      <x:c r="O977" s="28" t="str">
        <x:v>PDF points</x:v>
      </x:c>
    </x:row>
    <x:row r="978" ht="22" customHeight="1">
      <x:c r="A978" s="28" t="str">
        <x:v>ANC-SLE-042-01-R24</x:v>
      </x:c>
      <x:c r="B978" s="28" t="str">
        <x:v>ANC-SLE-042-01</x:v>
      </x:c>
      <x:c r="C978" s="28" t="n">
        <x:v>17</x:v>
      </x:c>
      <x:c r="D978" s="47" t="n">
        <x:v>526.924</x:v>
      </x:c>
      <x:c r="E978" s="47" t="n">
        <x:v>230.827</x:v>
      </x:c>
      <x:c r="F978" s="47" t="n">
        <x:v>542.042</x:v>
      </x:c>
      <x:c r="G978" s="47" t="n">
        <x:v>240.435</x:v>
      </x:c>
      <x:c r="H978" s="50" t="n">
        <x:v>0.625771</x:v>
      </x:c>
      <x:c r="I978" s="50" t="n">
        <x:v>0.387737</x:v>
      </x:c>
      <x:c r="J978" s="50" t="n">
        <x:v>0.643724</x:v>
      </x:c>
      <x:c r="K978" s="50" t="n">
        <x:v>0.403875</x:v>
      </x:c>
      <x:c r="L978" s="47" t="n">
        <x:v>842.04</x:v>
      </x:c>
      <x:c r="M978" s="47" t="n">
        <x:v>595.32</x:v>
      </x:c>
      <x:c r="N978" s="28" t="str">
        <x:v>top-left</x:v>
      </x:c>
      <x:c r="O978" s="28" t="str">
        <x:v>PDF points</x:v>
      </x:c>
    </x:row>
    <x:row r="979" ht="22" customHeight="1">
      <x:c r="A979" s="28" t="str">
        <x:v>ANC-SLE-042-01-R25</x:v>
      </x:c>
      <x:c r="B979" s="28" t="str">
        <x:v>ANC-SLE-042-01</x:v>
      </x:c>
      <x:c r="C979" s="28" t="n">
        <x:v>17</x:v>
      </x:c>
      <x:c r="D979" s="47" t="n">
        <x:v>576.482</x:v>
      </x:c>
      <x:c r="E979" s="47" t="n">
        <x:v>230.827</x:v>
      </x:c>
      <x:c r="F979" s="47" t="n">
        <x:v>591.6</x:v>
      </x:c>
      <x:c r="G979" s="47" t="n">
        <x:v>240.435</x:v>
      </x:c>
      <x:c r="H979" s="50" t="n">
        <x:v>0.684626</x:v>
      </x:c>
      <x:c r="I979" s="50" t="n">
        <x:v>0.387737</x:v>
      </x:c>
      <x:c r="J979" s="50" t="n">
        <x:v>0.70258</x:v>
      </x:c>
      <x:c r="K979" s="50" t="n">
        <x:v>0.403875</x:v>
      </x:c>
      <x:c r="L979" s="47" t="n">
        <x:v>842.04</x:v>
      </x:c>
      <x:c r="M979" s="47" t="n">
        <x:v>595.32</x:v>
      </x:c>
      <x:c r="N979" s="28" t="str">
        <x:v>top-left</x:v>
      </x:c>
      <x:c r="O979" s="28" t="str">
        <x:v>PDF points</x:v>
      </x:c>
    </x:row>
    <x:row r="980" ht="22" customHeight="1">
      <x:c r="A980" s="28" t="str">
        <x:v>ANC-SLE-042-01-R26</x:v>
      </x:c>
      <x:c r="B980" s="28" t="str">
        <x:v>ANC-SLE-042-01</x:v>
      </x:c>
      <x:c r="C980" s="28" t="n">
        <x:v>17</x:v>
      </x:c>
      <x:c r="D980" s="47" t="n">
        <x:v>616.924</x:v>
      </x:c>
      <x:c r="E980" s="47" t="n">
        <x:v>230.827</x:v>
      </x:c>
      <x:c r="F980" s="47" t="n">
        <x:v>632.041</x:v>
      </x:c>
      <x:c r="G980" s="47" t="n">
        <x:v>240.435</x:v>
      </x:c>
      <x:c r="H980" s="50" t="n">
        <x:v>0.732654</x:v>
      </x:c>
      <x:c r="I980" s="50" t="n">
        <x:v>0.387737</x:v>
      </x:c>
      <x:c r="J980" s="50" t="n">
        <x:v>0.750607</x:v>
      </x:c>
      <x:c r="K980" s="50" t="n">
        <x:v>0.403875</x:v>
      </x:c>
      <x:c r="L980" s="47" t="n">
        <x:v>842.04</x:v>
      </x:c>
      <x:c r="M980" s="47" t="n">
        <x:v>595.32</x:v>
      </x:c>
      <x:c r="N980" s="28" t="str">
        <x:v>top-left</x:v>
      </x:c>
      <x:c r="O980" s="28" t="str">
        <x:v>PDF points</x:v>
      </x:c>
    </x:row>
    <x:row r="981" ht="22" customHeight="1">
      <x:c r="A981" s="28" t="str">
        <x:v>ANC-SLE-042-01-R27</x:v>
      </x:c>
      <x:c r="B981" s="28" t="str">
        <x:v>ANC-SLE-042-01</x:v>
      </x:c>
      <x:c r="C981" s="28" t="n">
        <x:v>17</x:v>
      </x:c>
      <x:c r="D981" s="47" t="n">
        <x:v>656.529</x:v>
      </x:c>
      <x:c r="E981" s="47" t="n">
        <x:v>230.827</x:v>
      </x:c>
      <x:c r="F981" s="47" t="n">
        <x:v>671.646</x:v>
      </x:c>
      <x:c r="G981" s="47" t="n">
        <x:v>240.435</x:v>
      </x:c>
      <x:c r="H981" s="50" t="n">
        <x:v>0.779688</x:v>
      </x:c>
      <x:c r="I981" s="50" t="n">
        <x:v>0.387737</x:v>
      </x:c>
      <x:c r="J981" s="50" t="n">
        <x:v>0.797642</x:v>
      </x:c>
      <x:c r="K981" s="50" t="n">
        <x:v>0.403875</x:v>
      </x:c>
      <x:c r="L981" s="47" t="n">
        <x:v>842.04</x:v>
      </x:c>
      <x:c r="M981" s="47" t="n">
        <x:v>595.32</x:v>
      </x:c>
      <x:c r="N981" s="28" t="str">
        <x:v>top-left</x:v>
      </x:c>
      <x:c r="O981" s="28" t="str">
        <x:v>PDF points</x:v>
      </x:c>
    </x:row>
    <x:row r="982" ht="22" customHeight="1">
      <x:c r="A982" s="28" t="str">
        <x:v>ANC-SLE-042-01-R28</x:v>
      </x:c>
      <x:c r="B982" s="28" t="str">
        <x:v>ANC-SLE-042-01</x:v>
      </x:c>
      <x:c r="C982" s="28" t="n">
        <x:v>17</x:v>
      </x:c>
      <x:c r="D982" s="47" t="n">
        <x:v>696.013</x:v>
      </x:c>
      <x:c r="E982" s="47" t="n">
        <x:v>230.827</x:v>
      </x:c>
      <x:c r="F982" s="47" t="n">
        <x:v>711.131</x:v>
      </x:c>
      <x:c r="G982" s="47" t="n">
        <x:v>240.435</x:v>
      </x:c>
      <x:c r="H982" s="50" t="n">
        <x:v>0.82658</x:v>
      </x:c>
      <x:c r="I982" s="50" t="n">
        <x:v>0.387737</x:v>
      </x:c>
      <x:c r="J982" s="50" t="n">
        <x:v>0.844533</x:v>
      </x:c>
      <x:c r="K982" s="50" t="n">
        <x:v>0.403875</x:v>
      </x:c>
      <x:c r="L982" s="47" t="n">
        <x:v>842.04</x:v>
      </x:c>
      <x:c r="M982" s="47" t="n">
        <x:v>595.32</x:v>
      </x:c>
      <x:c r="N982" s="28" t="str">
        <x:v>top-left</x:v>
      </x:c>
      <x:c r="O982" s="28" t="str">
        <x:v>PDF points</x:v>
      </x:c>
    </x:row>
    <x:row r="983" ht="22" customHeight="1">
      <x:c r="A983" s="28" t="str">
        <x:v>ANC-SLE-042-01-R29</x:v>
      </x:c>
      <x:c r="B983" s="28" t="str">
        <x:v>ANC-SLE-042-01</x:v>
      </x:c>
      <x:c r="C983" s="28" t="n">
        <x:v>17</x:v>
      </x:c>
      <x:c r="D983" s="47" t="n">
        <x:v>731.896</x:v>
      </x:c>
      <x:c r="E983" s="47" t="n">
        <x:v>230.827</x:v>
      </x:c>
      <x:c r="F983" s="47" t="n">
        <x:v>747.013</x:v>
      </x:c>
      <x:c r="G983" s="47" t="n">
        <x:v>240.435</x:v>
      </x:c>
      <x:c r="H983" s="50" t="n">
        <x:v>0.869193</x:v>
      </x:c>
      <x:c r="I983" s="50" t="n">
        <x:v>0.387737</x:v>
      </x:c>
      <x:c r="J983" s="50" t="n">
        <x:v>0.887147</x:v>
      </x:c>
      <x:c r="K983" s="50" t="n">
        <x:v>0.403875</x:v>
      </x:c>
      <x:c r="L983" s="47" t="n">
        <x:v>842.04</x:v>
      </x:c>
      <x:c r="M983" s="47" t="n">
        <x:v>595.32</x:v>
      </x:c>
      <x:c r="N983" s="28" t="str">
        <x:v>top-left</x:v>
      </x:c>
      <x:c r="O983" s="28" t="str">
        <x:v>PDF points</x:v>
      </x:c>
    </x:row>
    <x:row r="984" ht="22" customHeight="1">
      <x:c r="A984" s="28" t="str">
        <x:v>ANC-SLE-042-01-R30</x:v>
      </x:c>
      <x:c r="B984" s="28" t="str">
        <x:v>ANC-SLE-042-01</x:v>
      </x:c>
      <x:c r="C984" s="28" t="n">
        <x:v>17</x:v>
      </x:c>
      <x:c r="D984" s="47" t="n">
        <x:v>765.84</x:v>
      </x:c>
      <x:c r="E984" s="47" t="n">
        <x:v>230.827</x:v>
      </x:c>
      <x:c r="F984" s="47" t="n">
        <x:v>785.398</x:v>
      </x:c>
      <x:c r="G984" s="47" t="n">
        <x:v>240.435</x:v>
      </x:c>
      <x:c r="H984" s="50" t="n">
        <x:v>0.909506</x:v>
      </x:c>
      <x:c r="I984" s="50" t="n">
        <x:v>0.387737</x:v>
      </x:c>
      <x:c r="J984" s="50" t="n">
        <x:v>0.932733</x:v>
      </x:c>
      <x:c r="K984" s="50" t="n">
        <x:v>0.403875</x:v>
      </x:c>
      <x:c r="L984" s="47" t="n">
        <x:v>842.04</x:v>
      </x:c>
      <x:c r="M984" s="47" t="n">
        <x:v>595.32</x:v>
      </x:c>
      <x:c r="N984" s="28" t="str">
        <x:v>top-left</x:v>
      </x:c>
      <x:c r="O984" s="28" t="str">
        <x:v>PDF points</x:v>
      </x:c>
    </x:row>
    <x:row r="985" ht="22" customHeight="1">
      <x:c r="A985" s="28" t="str">
        <x:v>ANC-SLE-042-01-R31</x:v>
      </x:c>
      <x:c r="B985" s="28" t="str">
        <x:v>ANC-SLE-042-01</x:v>
      </x:c>
      <x:c r="C985" s="28" t="n">
        <x:v>17</x:v>
      </x:c>
      <x:c r="D985" s="47" t="n">
        <x:v>51.12</x:v>
      </x:c>
      <x:c r="E985" s="47" t="n">
        <x:v>259.507</x:v>
      </x:c>
      <x:c r="F985" s="47" t="n">
        <x:v>76.935</x:v>
      </x:c>
      <x:c r="G985" s="47" t="n">
        <x:v>268.753</x:v>
      </x:c>
      <x:c r="H985" s="50" t="n">
        <x:v>0.06071</x:v>
      </x:c>
      <x:c r="I985" s="50" t="n">
        <x:v>0.435912</x:v>
      </x:c>
      <x:c r="J985" s="50" t="n">
        <x:v>0.091367</x:v>
      </x:c>
      <x:c r="K985" s="50" t="n">
        <x:v>0.451443</x:v>
      </x:c>
      <x:c r="L985" s="47" t="n">
        <x:v>842.04</x:v>
      </x:c>
      <x:c r="M985" s="47" t="n">
        <x:v>595.32</x:v>
      </x:c>
      <x:c r="N985" s="28" t="str">
        <x:v>top-left</x:v>
      </x:c>
      <x:c r="O985" s="28" t="str">
        <x:v>PDF points</x:v>
      </x:c>
    </x:row>
    <x:row r="986" ht="22" customHeight="1">
      <x:c r="A986" s="28" t="str">
        <x:v>ANC-SLE-042-01-R32</x:v>
      </x:c>
      <x:c r="B986" s="28" t="str">
        <x:v>ANC-SLE-042-01</x:v>
      </x:c>
      <x:c r="C986" s="28" t="n">
        <x:v>17</x:v>
      </x:c>
      <x:c r="D986" s="47" t="n">
        <x:v>122.88</x:v>
      </x:c>
      <x:c r="E986" s="47" t="n">
        <x:v>259.507</x:v>
      </x:c>
      <x:c r="F986" s="47" t="n">
        <x:v>191.921</x:v>
      </x:c>
      <x:c r="G986" s="47" t="n">
        <x:v>269.115</x:v>
      </x:c>
      <x:c r="H986" s="50" t="n">
        <x:v>0.145931</x:v>
      </x:c>
      <x:c r="I986" s="50" t="n">
        <x:v>0.435912</x:v>
      </x:c>
      <x:c r="J986" s="50" t="n">
        <x:v>0.227924</x:v>
      </x:c>
      <x:c r="K986" s="50" t="n">
        <x:v>0.452051</x:v>
      </x:c>
      <x:c r="L986" s="47" t="n">
        <x:v>842.04</x:v>
      </x:c>
      <x:c r="M986" s="47" t="n">
        <x:v>595.32</x:v>
      </x:c>
      <x:c r="N986" s="28" t="str">
        <x:v>top-left</x:v>
      </x:c>
      <x:c r="O986" s="28" t="str">
        <x:v>PDF points</x:v>
      </x:c>
    </x:row>
    <x:row r="987" ht="22" customHeight="1">
      <x:c r="A987" s="28" t="str">
        <x:v>ANC-SLE-042-01-R33</x:v>
      </x:c>
      <x:c r="B987" s="28" t="str">
        <x:v>ANC-SLE-042-01</x:v>
      </x:c>
      <x:c r="C987" s="28" t="n">
        <x:v>17</x:v>
      </x:c>
      <x:c r="D987" s="47" t="n">
        <x:v>217.32</x:v>
      </x:c>
      <x:c r="E987" s="47" t="n">
        <x:v>259.507</x:v>
      </x:c>
      <x:c r="F987" s="47" t="n">
        <x:v>362.185</x:v>
      </x:c>
      <x:c r="G987" s="47" t="n">
        <x:v>269.115</x:v>
      </x:c>
      <x:c r="H987" s="50" t="n">
        <x:v>0.258088</x:v>
      </x:c>
      <x:c r="I987" s="50" t="n">
        <x:v>0.435912</x:v>
      </x:c>
      <x:c r="J987" s="50" t="n">
        <x:v>0.430129</x:v>
      </x:c>
      <x:c r="K987" s="50" t="n">
        <x:v>0.452051</x:v>
      </x:c>
      <x:c r="L987" s="47" t="n">
        <x:v>842.04</x:v>
      </x:c>
      <x:c r="M987" s="47" t="n">
        <x:v>595.32</x:v>
      </x:c>
      <x:c r="N987" s="28" t="str">
        <x:v>top-left</x:v>
      </x:c>
      <x:c r="O987" s="28" t="str">
        <x:v>PDF points</x:v>
      </x:c>
    </x:row>
    <x:row r="988" ht="22" customHeight="1">
      <x:c r="A988" s="28" t="str">
        <x:v>ANC-SLE-043-01-R01</x:v>
      </x:c>
      <x:c r="B988" s="28" t="str">
        <x:v>ANC-SLE-043-01</x:v>
      </x:c>
      <x:c r="C988" s="28" t="n">
        <x:v>17</x:v>
      </x:c>
      <x:c r="D988" s="47" t="n">
        <x:v>217.32</x:v>
      </x:c>
      <x:c r="E988" s="47" t="n">
        <x:v>303.547</x:v>
      </x:c>
      <x:c r="F988" s="47" t="n">
        <x:v>441.654</x:v>
      </x:c>
      <x:c r="G988" s="47" t="n">
        <x:v>313.155</x:v>
      </x:c>
      <x:c r="H988" s="50" t="n">
        <x:v>0.258088</x:v>
      </x:c>
      <x:c r="I988" s="50" t="n">
        <x:v>0.509889</x:v>
      </x:c>
      <x:c r="J988" s="50" t="n">
        <x:v>0.524505</x:v>
      </x:c>
      <x:c r="K988" s="50" t="n">
        <x:v>0.526028</x:v>
      </x:c>
      <x:c r="L988" s="47" t="n">
        <x:v>842.04</x:v>
      </x:c>
      <x:c r="M988" s="47" t="n">
        <x:v>595.32</x:v>
      </x:c>
      <x:c r="N988" s="28" t="str">
        <x:v>top-left</x:v>
      </x:c>
      <x:c r="O988" s="28" t="str">
        <x:v>PDF points</x:v>
      </x:c>
    </x:row>
    <x:row r="989" ht="22" customHeight="1">
      <x:c r="A989" s="28" t="str">
        <x:v>ANC-SLE-043-01-R02</x:v>
      </x:c>
      <x:c r="B989" s="28" t="str">
        <x:v>ANC-SLE-043-01</x:v>
      </x:c>
      <x:c r="C989" s="28" t="n">
        <x:v>17</x:v>
      </x:c>
      <x:c r="D989" s="47" t="n">
        <x:v>217.32</x:v>
      </x:c>
      <x:c r="E989" s="47" t="n">
        <x:v>312.307</x:v>
      </x:c>
      <x:c r="F989" s="47" t="n">
        <x:v>353.913</x:v>
      </x:c>
      <x:c r="G989" s="47" t="n">
        <x:v>321.915</x:v>
      </x:c>
      <x:c r="H989" s="50" t="n">
        <x:v>0.258088</x:v>
      </x:c>
      <x:c r="I989" s="50" t="n">
        <x:v>0.524604</x:v>
      </x:c>
      <x:c r="J989" s="50" t="n">
        <x:v>0.420304</x:v>
      </x:c>
      <x:c r="K989" s="50" t="n">
        <x:v>0.540743</x:v>
      </x:c>
      <x:c r="L989" s="47" t="n">
        <x:v>842.04</x:v>
      </x:c>
      <x:c r="M989" s="47" t="n">
        <x:v>595.32</x:v>
      </x:c>
      <x:c r="N989" s="28" t="str">
        <x:v>top-left</x:v>
      </x:c>
      <x:c r="O989" s="28" t="str">
        <x:v>PDF points</x:v>
      </x:c>
    </x:row>
    <x:row r="990" ht="22" customHeight="1">
      <x:c r="A990" s="28" t="str">
        <x:v>ANC-SLE-044-01-R01</x:v>
      </x:c>
      <x:c r="B990" s="28" t="str">
        <x:v>ANC-SLE-044-01</x:v>
      </x:c>
      <x:c r="C990" s="28" t="n">
        <x:v>17</x:v>
      </x:c>
      <x:c r="D990" s="47" t="n">
        <x:v>217.32</x:v>
      </x:c>
      <x:c r="E990" s="47" t="n">
        <x:v>347.587</x:v>
      </x:c>
      <x:c r="F990" s="47" t="n">
        <x:v>423.708</x:v>
      </x:c>
      <x:c r="G990" s="47" t="n">
        <x:v>357.195</x:v>
      </x:c>
      <x:c r="H990" s="50" t="n">
        <x:v>0.258088</x:v>
      </x:c>
      <x:c r="I990" s="50" t="n">
        <x:v>0.583866</x:v>
      </x:c>
      <x:c r="J990" s="50" t="n">
        <x:v>0.503192</x:v>
      </x:c>
      <x:c r="K990" s="50" t="n">
        <x:v>0.600005</x:v>
      </x:c>
      <x:c r="L990" s="47" t="n">
        <x:v>842.04</x:v>
      </x:c>
      <x:c r="M990" s="47" t="n">
        <x:v>595.32</x:v>
      </x:c>
      <x:c r="N990" s="28" t="str">
        <x:v>top-left</x:v>
      </x:c>
      <x:c r="O990" s="28" t="str">
        <x:v>PDF points</x:v>
      </x:c>
    </x:row>
    <x:row r="991" ht="22" customHeight="1">
      <x:c r="A991" s="28" t="str">
        <x:v>ANC-SLE-044-01-R02</x:v>
      </x:c>
      <x:c r="B991" s="28" t="str">
        <x:v>ANC-SLE-044-01</x:v>
      </x:c>
      <x:c r="C991" s="28" t="n">
        <x:v>17</x:v>
      </x:c>
      <x:c r="D991" s="47" t="n">
        <x:v>217.32</x:v>
      </x:c>
      <x:c r="E991" s="47" t="n">
        <x:v>356.347</x:v>
      </x:c>
      <x:c r="F991" s="47" t="n">
        <x:v>257.104</x:v>
      </x:c>
      <x:c r="G991" s="47" t="n">
        <x:v>365.955</x:v>
      </x:c>
      <x:c r="H991" s="50" t="n">
        <x:v>0.258088</x:v>
      </x:c>
      <x:c r="I991" s="50" t="n">
        <x:v>0.598581</x:v>
      </x:c>
      <x:c r="J991" s="50" t="n">
        <x:v>0.305335</x:v>
      </x:c>
      <x:c r="K991" s="50" t="n">
        <x:v>0.61472</x:v>
      </x:c>
      <x:c r="L991" s="47" t="n">
        <x:v>842.04</x:v>
      </x:c>
      <x:c r="M991" s="47" t="n">
        <x:v>595.32</x:v>
      </x:c>
      <x:c r="N991" s="28" t="str">
        <x:v>top-left</x:v>
      </x:c>
      <x:c r="O991" s="28" t="str">
        <x:v>PDF points</x:v>
      </x:c>
    </x:row>
    <x:row r="992" ht="22" customHeight="1">
      <x:c r="A992" s="28" t="str">
        <x:v>ANC-SLE-045-01-R01</x:v>
      </x:c>
      <x:c r="B992" s="28" t="str">
        <x:v>ANC-SLE-045-01</x:v>
      </x:c>
      <x:c r="C992" s="28" t="n">
        <x:v>17</x:v>
      </x:c>
      <x:c r="D992" s="47" t="n">
        <x:v>122.88</x:v>
      </x:c>
      <x:c r="E992" s="47" t="n">
        <x:v>423.79</x:v>
      </x:c>
      <x:c r="F992" s="47" t="n">
        <x:v>191.077</x:v>
      </x:c>
      <x:c r="G992" s="47" t="n">
        <x:v>433.398</x:v>
      </x:c>
      <x:c r="H992" s="50" t="n">
        <x:v>0.145931</x:v>
      </x:c>
      <x:c r="I992" s="50" t="n">
        <x:v>0.71187</x:v>
      </x:c>
      <x:c r="J992" s="50" t="n">
        <x:v>0.226921</x:v>
      </x:c>
      <x:c r="K992" s="50" t="n">
        <x:v>0.728009</x:v>
      </x:c>
      <x:c r="L992" s="47" t="n">
        <x:v>842.04</x:v>
      </x:c>
      <x:c r="M992" s="47" t="n">
        <x:v>595.32</x:v>
      </x:c>
      <x:c r="N992" s="28" t="str">
        <x:v>top-left</x:v>
      </x:c>
      <x:c r="O992" s="28" t="str">
        <x:v>PDF points</x:v>
      </x:c>
    </x:row>
    <x:row r="993" ht="22" customHeight="1">
      <x:c r="A993" s="28" t="str">
        <x:v>ANC-SLE-045-01-R02</x:v>
      </x:c>
      <x:c r="B993" s="28" t="str">
        <x:v>ANC-SLE-045-01</x:v>
      </x:c>
      <x:c r="C993" s="28" t="n">
        <x:v>17</x:v>
      </x:c>
      <x:c r="D993" s="47" t="n">
        <x:v>122.88</x:v>
      </x:c>
      <x:c r="E993" s="47" t="n">
        <x:v>432.554</x:v>
      </x:c>
      <x:c r="F993" s="47" t="n">
        <x:v>185.317</x:v>
      </x:c>
      <x:c r="G993" s="47" t="n">
        <x:v>442.162</x:v>
      </x:c>
      <x:c r="H993" s="50" t="n">
        <x:v>0.145931</x:v>
      </x:c>
      <x:c r="I993" s="50" t="n">
        <x:v>0.726591</x:v>
      </x:c>
      <x:c r="J993" s="50" t="n">
        <x:v>0.220081</x:v>
      </x:c>
      <x:c r="K993" s="50" t="n">
        <x:v>0.742729</x:v>
      </x:c>
      <x:c r="L993" s="47" t="n">
        <x:v>842.04</x:v>
      </x:c>
      <x:c r="M993" s="47" t="n">
        <x:v>595.32</x:v>
      </x:c>
      <x:c r="N993" s="28" t="str">
        <x:v>top-left</x:v>
      </x:c>
      <x:c r="O993" s="28" t="str">
        <x:v>PDF points</x:v>
      </x:c>
    </x:row>
    <x:row r="994" ht="22" customHeight="1">
      <x:c r="A994" s="28" t="str">
        <x:v>ANC-SLE-045-01-R03</x:v>
      </x:c>
      <x:c r="B994" s="28" t="str">
        <x:v>ANC-SLE-045-01</x:v>
      </x:c>
      <x:c r="C994" s="28" t="n">
        <x:v>17</x:v>
      </x:c>
      <x:c r="D994" s="47" t="n">
        <x:v>122.88</x:v>
      </x:c>
      <x:c r="E994" s="47" t="n">
        <x:v>441.197</x:v>
      </x:c>
      <x:c r="F994" s="47" t="n">
        <x:v>186.956</x:v>
      </x:c>
      <x:c r="G994" s="47" t="n">
        <x:v>450.805</x:v>
      </x:c>
      <x:c r="H994" s="50" t="n">
        <x:v>0.145931</x:v>
      </x:c>
      <x:c r="I994" s="50" t="n">
        <x:v>0.741109</x:v>
      </x:c>
      <x:c r="J994" s="50" t="n">
        <x:v>0.222027</x:v>
      </x:c>
      <x:c r="K994" s="50" t="n">
        <x:v>0.757248</x:v>
      </x:c>
      <x:c r="L994" s="47" t="n">
        <x:v>842.04</x:v>
      </x:c>
      <x:c r="M994" s="47" t="n">
        <x:v>595.32</x:v>
      </x:c>
      <x:c r="N994" s="28" t="str">
        <x:v>top-left</x:v>
      </x:c>
      <x:c r="O994" s="28" t="str">
        <x:v>PDF points</x:v>
      </x:c>
    </x:row>
    <x:row r="995" ht="22" customHeight="1">
      <x:c r="A995" s="28" t="str">
        <x:v>ANC-SLE-045-01-R04</x:v>
      </x:c>
      <x:c r="B995" s="28" t="str">
        <x:v>ANC-SLE-045-01</x:v>
      </x:c>
      <x:c r="C995" s="28" t="n">
        <x:v>17</x:v>
      </x:c>
      <x:c r="D995" s="47" t="n">
        <x:v>122.88</x:v>
      </x:c>
      <x:c r="E995" s="47" t="n">
        <x:v>449.961</x:v>
      </x:c>
      <x:c r="F995" s="47" t="n">
        <x:v>205.496</x:v>
      </x:c>
      <x:c r="G995" s="47" t="n">
        <x:v>459.568</x:v>
      </x:c>
      <x:c r="H995" s="50" t="n">
        <x:v>0.145931</x:v>
      </x:c>
      <x:c r="I995" s="50" t="n">
        <x:v>0.75583</x:v>
      </x:c>
      <x:c r="J995" s="50" t="n">
        <x:v>0.244045</x:v>
      </x:c>
      <x:c r="K995" s="50" t="n">
        <x:v>0.771969</x:v>
      </x:c>
      <x:c r="L995" s="47" t="n">
        <x:v>842.04</x:v>
      </x:c>
      <x:c r="M995" s="47" t="n">
        <x:v>595.32</x:v>
      </x:c>
      <x:c r="N995" s="28" t="str">
        <x:v>top-left</x:v>
      </x:c>
      <x:c r="O995" s="28" t="str">
        <x:v>PDF points</x:v>
      </x:c>
    </x:row>
    <x:row r="996" ht="22" customHeight="1">
      <x:c r="A996" s="28" t="str">
        <x:v>ANC-SLE-045-01-R05</x:v>
      </x:c>
      <x:c r="B996" s="28" t="str">
        <x:v>ANC-SLE-045-01</x:v>
      </x:c>
      <x:c r="C996" s="28" t="n">
        <x:v>17</x:v>
      </x:c>
      <x:c r="D996" s="47" t="n">
        <x:v>217.32</x:v>
      </x:c>
      <x:c r="E996" s="47" t="n">
        <x:v>428.707</x:v>
      </x:c>
      <x:c r="F996" s="47" t="n">
        <x:v>366.276</x:v>
      </x:c>
      <x:c r="G996" s="47" t="n">
        <x:v>438.315</x:v>
      </x:c>
      <x:c r="H996" s="50" t="n">
        <x:v>0.258088</x:v>
      </x:c>
      <x:c r="I996" s="50" t="n">
        <x:v>0.720129</x:v>
      </x:c>
      <x:c r="J996" s="50" t="n">
        <x:v>0.434987</x:v>
      </x:c>
      <x:c r="K996" s="50" t="n">
        <x:v>0.736268</x:v>
      </x:c>
      <x:c r="L996" s="47" t="n">
        <x:v>842.04</x:v>
      </x:c>
      <x:c r="M996" s="47" t="n">
        <x:v>595.32</x:v>
      </x:c>
      <x:c r="N996" s="28" t="str">
        <x:v>top-left</x:v>
      </x:c>
      <x:c r="O996" s="28" t="str">
        <x:v>PDF points</x:v>
      </x:c>
    </x:row>
    <x:row r="997" ht="22" customHeight="1">
      <x:c r="A997" s="28" t="str">
        <x:v>ANC-SLE-045-01-R06</x:v>
      </x:c>
      <x:c r="B997" s="28" t="str">
        <x:v>ANC-SLE-045-01</x:v>
      </x:c>
      <x:c r="C997" s="28" t="n">
        <x:v>17</x:v>
      </x:c>
      <x:c r="D997" s="47" t="n">
        <x:v>476.28</x:v>
      </x:c>
      <x:c r="E997" s="47" t="n">
        <x:v>441.187</x:v>
      </x:c>
      <x:c r="F997" s="47" t="n">
        <x:v>491.398</x:v>
      </x:c>
      <x:c r="G997" s="47" t="n">
        <x:v>450.795</x:v>
      </x:c>
      <x:c r="H997" s="50" t="n">
        <x:v>0.565626</x:v>
      </x:c>
      <x:c r="I997" s="50" t="n">
        <x:v>0.741093</x:v>
      </x:c>
      <x:c r="J997" s="50" t="n">
        <x:v>0.58358</x:v>
      </x:c>
      <x:c r="K997" s="50" t="n">
        <x:v>0.757232</x:v>
      </x:c>
      <x:c r="L997" s="47" t="n">
        <x:v>842.04</x:v>
      </x:c>
      <x:c r="M997" s="47" t="n">
        <x:v>595.32</x:v>
      </x:c>
      <x:c r="N997" s="28" t="str">
        <x:v>top-left</x:v>
      </x:c>
      <x:c r="O997" s="28" t="str">
        <x:v>PDF points</x:v>
      </x:c>
    </x:row>
    <x:row r="998" ht="22" customHeight="1">
      <x:c r="A998" s="28" t="str">
        <x:v>ANC-SLE-045-01-R07</x:v>
      </x:c>
      <x:c r="B998" s="28" t="str">
        <x:v>ANC-SLE-045-01</x:v>
      </x:c>
      <x:c r="C998" s="28" t="n">
        <x:v>17</x:v>
      </x:c>
      <x:c r="D998" s="47" t="n">
        <x:v>532.206</x:v>
      </x:c>
      <x:c r="E998" s="47" t="n">
        <x:v>441.187</x:v>
      </x:c>
      <x:c r="F998" s="47" t="n">
        <x:v>536.644</x:v>
      </x:c>
      <x:c r="G998" s="47" t="n">
        <x:v>450.795</x:v>
      </x:c>
      <x:c r="H998" s="50" t="n">
        <x:v>0.632044</x:v>
      </x:c>
      <x:c r="I998" s="50" t="n">
        <x:v>0.741093</x:v>
      </x:c>
      <x:c r="J998" s="50" t="n">
        <x:v>0.637315</x:v>
      </x:c>
      <x:c r="K998" s="50" t="n">
        <x:v>0.757232</x:v>
      </x:c>
      <x:c r="L998" s="47" t="n">
        <x:v>842.04</x:v>
      </x:c>
      <x:c r="M998" s="47" t="n">
        <x:v>595.32</x:v>
      </x:c>
      <x:c r="N998" s="28" t="str">
        <x:v>top-left</x:v>
      </x:c>
      <x:c r="O998" s="28" t="str">
        <x:v>PDF points</x:v>
      </x:c>
    </x:row>
    <x:row r="999" ht="22" customHeight="1">
      <x:c r="A999" s="28" t="str">
        <x:v>ANC-SLE-045-01-R08</x:v>
      </x:c>
      <x:c r="B999" s="28" t="str">
        <x:v>ANC-SLE-045-01</x:v>
      </x:c>
      <x:c r="C999" s="28" t="n">
        <x:v>17</x:v>
      </x:c>
      <x:c r="D999" s="47" t="n">
        <x:v>576.483</x:v>
      </x:c>
      <x:c r="E999" s="47" t="n">
        <x:v>441.187</x:v>
      </x:c>
      <x:c r="F999" s="47" t="n">
        <x:v>591.6</x:v>
      </x:c>
      <x:c r="G999" s="47" t="n">
        <x:v>450.795</x:v>
      </x:c>
      <x:c r="H999" s="50" t="n">
        <x:v>0.684626</x:v>
      </x:c>
      <x:c r="I999" s="50" t="n">
        <x:v>0.741093</x:v>
      </x:c>
      <x:c r="J999" s="50" t="n">
        <x:v>0.70258</x:v>
      </x:c>
      <x:c r="K999" s="50" t="n">
        <x:v>0.757232</x:v>
      </x:c>
      <x:c r="L999" s="47" t="n">
        <x:v>842.04</x:v>
      </x:c>
      <x:c r="M999" s="47" t="n">
        <x:v>595.32</x:v>
      </x:c>
      <x:c r="N999" s="28" t="str">
        <x:v>top-left</x:v>
      </x:c>
      <x:c r="O999" s="28" t="str">
        <x:v>PDF points</x:v>
      </x:c>
    </x:row>
    <x:row r="1000" ht="22" customHeight="1">
      <x:c r="A1000" s="28" t="str">
        <x:v>ANC-SLE-045-01-R09</x:v>
      </x:c>
      <x:c r="B1000" s="28" t="str">
        <x:v>ANC-SLE-045-01</x:v>
      </x:c>
      <x:c r="C1000" s="28" t="n">
        <x:v>17</x:v>
      </x:c>
      <x:c r="D1000" s="47" t="n">
        <x:v>616.92</x:v>
      </x:c>
      <x:c r="E1000" s="47" t="n">
        <x:v>441.187</x:v>
      </x:c>
      <x:c r="F1000" s="47" t="n">
        <x:v>632.038</x:v>
      </x:c>
      <x:c r="G1000" s="47" t="n">
        <x:v>450.795</x:v>
      </x:c>
      <x:c r="H1000" s="50" t="n">
        <x:v>0.732649</x:v>
      </x:c>
      <x:c r="I1000" s="50" t="n">
        <x:v>0.741093</x:v>
      </x:c>
      <x:c r="J1000" s="50" t="n">
        <x:v>0.750603</x:v>
      </x:c>
      <x:c r="K1000" s="50" t="n">
        <x:v>0.757232</x:v>
      </x:c>
      <x:c r="L1000" s="47" t="n">
        <x:v>842.04</x:v>
      </x:c>
      <x:c r="M1000" s="47" t="n">
        <x:v>595.32</x:v>
      </x:c>
      <x:c r="N1000" s="28" t="str">
        <x:v>top-left</x:v>
      </x:c>
      <x:c r="O1000" s="28" t="str">
        <x:v>PDF points</x:v>
      </x:c>
    </x:row>
    <x:row r="1001" ht="22" customHeight="1">
      <x:c r="A1001" s="28" t="str">
        <x:v>ANC-SLE-045-01-R10</x:v>
      </x:c>
      <x:c r="B1001" s="28" t="str">
        <x:v>ANC-SLE-045-01</x:v>
      </x:c>
      <x:c r="C1001" s="28" t="n">
        <x:v>17</x:v>
      </x:c>
      <x:c r="D1001" s="47" t="n">
        <x:v>656.52</x:v>
      </x:c>
      <x:c r="E1001" s="47" t="n">
        <x:v>441.187</x:v>
      </x:c>
      <x:c r="F1001" s="47" t="n">
        <x:v>671.638</x:v>
      </x:c>
      <x:c r="G1001" s="47" t="n">
        <x:v>450.795</x:v>
      </x:c>
      <x:c r="H1001" s="50" t="n">
        <x:v>0.779678</x:v>
      </x:c>
      <x:c r="I1001" s="50" t="n">
        <x:v>0.741093</x:v>
      </x:c>
      <x:c r="J1001" s="50" t="n">
        <x:v>0.797632</x:v>
      </x:c>
      <x:c r="K1001" s="50" t="n">
        <x:v>0.757232</x:v>
      </x:c>
      <x:c r="L1001" s="47" t="n">
        <x:v>842.04</x:v>
      </x:c>
      <x:c r="M1001" s="47" t="n">
        <x:v>595.32</x:v>
      </x:c>
      <x:c r="N1001" s="28" t="str">
        <x:v>top-left</x:v>
      </x:c>
      <x:c r="O1001" s="28" t="str">
        <x:v>PDF points</x:v>
      </x:c>
    </x:row>
    <x:row r="1002" ht="22" customHeight="1">
      <x:c r="A1002" s="28" t="str">
        <x:v>ANC-SLE-045-01-R11</x:v>
      </x:c>
      <x:c r="B1002" s="28" t="str">
        <x:v>ANC-SLE-045-01</x:v>
      </x:c>
      <x:c r="C1002" s="28" t="n">
        <x:v>17</x:v>
      </x:c>
      <x:c r="D1002" s="47" t="n">
        <x:v>696</x:v>
      </x:c>
      <x:c r="E1002" s="47" t="n">
        <x:v>441.187</x:v>
      </x:c>
      <x:c r="F1002" s="47" t="n">
        <x:v>711.118</x:v>
      </x:c>
      <x:c r="G1002" s="47" t="n">
        <x:v>450.795</x:v>
      </x:c>
      <x:c r="H1002" s="50" t="n">
        <x:v>0.826564</x:v>
      </x:c>
      <x:c r="I1002" s="50" t="n">
        <x:v>0.741093</x:v>
      </x:c>
      <x:c r="J1002" s="50" t="n">
        <x:v>0.844518</x:v>
      </x:c>
      <x:c r="K1002" s="50" t="n">
        <x:v>0.757232</x:v>
      </x:c>
      <x:c r="L1002" s="47" t="n">
        <x:v>842.04</x:v>
      </x:c>
      <x:c r="M1002" s="47" t="n">
        <x:v>595.32</x:v>
      </x:c>
      <x:c r="N1002" s="28" t="str">
        <x:v>top-left</x:v>
      </x:c>
      <x:c r="O1002" s="28" t="str">
        <x:v>PDF points</x:v>
      </x:c>
    </x:row>
    <x:row r="1003" ht="22" customHeight="1">
      <x:c r="A1003" s="28" t="str">
        <x:v>ANC-SLE-045-01-R12</x:v>
      </x:c>
      <x:c r="B1003" s="28" t="str">
        <x:v>ANC-SLE-045-01</x:v>
      </x:c>
      <x:c r="C1003" s="28" t="n">
        <x:v>17</x:v>
      </x:c>
      <x:c r="D1003" s="47" t="n">
        <x:v>731.88</x:v>
      </x:c>
      <x:c r="E1003" s="47" t="n">
        <x:v>441.187</x:v>
      </x:c>
      <x:c r="F1003" s="47" t="n">
        <x:v>746.998</x:v>
      </x:c>
      <x:c r="G1003" s="47" t="n">
        <x:v>450.795</x:v>
      </x:c>
      <x:c r="H1003" s="50" t="n">
        <x:v>0.869175</x:v>
      </x:c>
      <x:c r="I1003" s="50" t="n">
        <x:v>0.741093</x:v>
      </x:c>
      <x:c r="J1003" s="50" t="n">
        <x:v>0.887129</x:v>
      </x:c>
      <x:c r="K1003" s="50" t="n">
        <x:v>0.757232</x:v>
      </x:c>
      <x:c r="L1003" s="47" t="n">
        <x:v>842.04</x:v>
      </x:c>
      <x:c r="M1003" s="47" t="n">
        <x:v>595.32</x:v>
      </x:c>
      <x:c r="N1003" s="28" t="str">
        <x:v>top-left</x:v>
      </x:c>
      <x:c r="O1003" s="28" t="str">
        <x:v>PDF points</x:v>
      </x:c>
    </x:row>
    <x:row r="1004" ht="22" customHeight="1">
      <x:c r="A1004" s="28" t="str">
        <x:v>ANC-SLE-045-01-R13</x:v>
      </x:c>
      <x:c r="B1004" s="28" t="str">
        <x:v>ANC-SLE-045-01</x:v>
      </x:c>
      <x:c r="C1004" s="28" t="n">
        <x:v>17</x:v>
      </x:c>
      <x:c r="D1004" s="47" t="n">
        <x:v>768</x:v>
      </x:c>
      <x:c r="E1004" s="47" t="n">
        <x:v>441.187</x:v>
      </x:c>
      <x:c r="F1004" s="47" t="n">
        <x:v>783.118</x:v>
      </x:c>
      <x:c r="G1004" s="47" t="n">
        <x:v>450.795</x:v>
      </x:c>
      <x:c r="H1004" s="50" t="n">
        <x:v>0.912071</x:v>
      </x:c>
      <x:c r="I1004" s="50" t="n">
        <x:v>0.741093</x:v>
      </x:c>
      <x:c r="J1004" s="50" t="n">
        <x:v>0.930024</x:v>
      </x:c>
      <x:c r="K1004" s="50" t="n">
        <x:v>0.757232</x:v>
      </x:c>
      <x:c r="L1004" s="47" t="n">
        <x:v>842.04</x:v>
      </x:c>
      <x:c r="M1004" s="47" t="n">
        <x:v>595.32</x:v>
      </x:c>
      <x:c r="N1004" s="28" t="str">
        <x:v>top-left</x:v>
      </x:c>
      <x:c r="O1004" s="28" t="str">
        <x:v>PDF points</x:v>
      </x:c>
    </x:row>
    <x:row r="1005" ht="22" customHeight="1">
      <x:c r="A1005" s="28" t="str">
        <x:v>ANC-SLE-045-01-R14</x:v>
      </x:c>
      <x:c r="B1005" s="28" t="str">
        <x:v>ANC-SLE-045-01</x:v>
      </x:c>
      <x:c r="C1005" s="28" t="n">
        <x:v>17</x:v>
      </x:c>
      <x:c r="D1005" s="47" t="n">
        <x:v>122.88</x:v>
      </x:c>
      <x:c r="E1005" s="47" t="n">
        <x:v>462.787</x:v>
      </x:c>
      <x:c r="F1005" s="47" t="n">
        <x:v>172.32</x:v>
      </x:c>
      <x:c r="G1005" s="47" t="n">
        <x:v>472.395</x:v>
      </x:c>
      <x:c r="H1005" s="50" t="n">
        <x:v>0.145931</x:v>
      </x:c>
      <x:c r="I1005" s="50" t="n">
        <x:v>0.777376</x:v>
      </x:c>
      <x:c r="J1005" s="50" t="n">
        <x:v>0.204646</x:v>
      </x:c>
      <x:c r="K1005" s="50" t="n">
        <x:v>0.793515</x:v>
      </x:c>
      <x:c r="L1005" s="47" t="n">
        <x:v>842.04</x:v>
      </x:c>
      <x:c r="M1005" s="47" t="n">
        <x:v>595.32</x:v>
      </x:c>
      <x:c r="N1005" s="28" t="str">
        <x:v>top-left</x:v>
      </x:c>
      <x:c r="O1005" s="28" t="str">
        <x:v>PDF points</x:v>
      </x:c>
    </x:row>
    <x:row r="1006" ht="22" customHeight="1">
      <x:c r="A1006" s="28" t="str">
        <x:v>ANC-SLE-045-01-R15</x:v>
      </x:c>
      <x:c r="B1006" s="28" t="str">
        <x:v>ANC-SLE-045-01</x:v>
      </x:c>
      <x:c r="C1006" s="28" t="n">
        <x:v>17</x:v>
      </x:c>
      <x:c r="D1006" s="47" t="n">
        <x:v>122.88</x:v>
      </x:c>
      <x:c r="E1006" s="47" t="n">
        <x:v>471.547</x:v>
      </x:c>
      <x:c r="F1006" s="47" t="n">
        <x:v>205.885</x:v>
      </x:c>
      <x:c r="G1006" s="47" t="n">
        <x:v>481.155</x:v>
      </x:c>
      <x:c r="H1006" s="50" t="n">
        <x:v>0.145931</x:v>
      </x:c>
      <x:c r="I1006" s="50" t="n">
        <x:v>0.792091</x:v>
      </x:c>
      <x:c r="J1006" s="50" t="n">
        <x:v>0.244507</x:v>
      </x:c>
      <x:c r="K1006" s="50" t="n">
        <x:v>0.808229</x:v>
      </x:c>
      <x:c r="L1006" s="47" t="n">
        <x:v>842.04</x:v>
      </x:c>
      <x:c r="M1006" s="47" t="n">
        <x:v>595.32</x:v>
      </x:c>
      <x:c r="N1006" s="28" t="str">
        <x:v>top-left</x:v>
      </x:c>
      <x:c r="O1006" s="28" t="str">
        <x:v>PDF points</x:v>
      </x:c>
    </x:row>
    <x:row r="1007" ht="22" customHeight="1">
      <x:c r="A1007" s="28" t="str">
        <x:v>ANC-SLE-045-01-R16</x:v>
      </x:c>
      <x:c r="B1007" s="28" t="str">
        <x:v>ANC-SLE-045-01</x:v>
      </x:c>
      <x:c r="C1007" s="28" t="n">
        <x:v>17</x:v>
      </x:c>
      <x:c r="D1007" s="47" t="n">
        <x:v>122.88</x:v>
      </x:c>
      <x:c r="E1007" s="47" t="n">
        <x:v>480.19</x:v>
      </x:c>
      <x:c r="F1007" s="47" t="n">
        <x:v>187.483</x:v>
      </x:c>
      <x:c r="G1007" s="47" t="n">
        <x:v>489.798</x:v>
      </x:c>
      <x:c r="H1007" s="50" t="n">
        <x:v>0.145931</x:v>
      </x:c>
      <x:c r="I1007" s="50" t="n">
        <x:v>0.806609</x:v>
      </x:c>
      <x:c r="J1007" s="50" t="n">
        <x:v>0.222653</x:v>
      </x:c>
      <x:c r="K1007" s="50" t="n">
        <x:v>0.822748</x:v>
      </x:c>
      <x:c r="L1007" s="47" t="n">
        <x:v>842.04</x:v>
      </x:c>
      <x:c r="M1007" s="47" t="n">
        <x:v>595.32</x:v>
      </x:c>
      <x:c r="N1007" s="28" t="str">
        <x:v>top-left</x:v>
      </x:c>
      <x:c r="O1007" s="28" t="str">
        <x:v>PDF points</x:v>
      </x:c>
    </x:row>
    <x:row r="1008" ht="22" customHeight="1">
      <x:c r="A1008" s="28" t="str">
        <x:v>ANC-SLE-045-01-R17</x:v>
      </x:c>
      <x:c r="B1008" s="28" t="str">
        <x:v>ANC-SLE-045-01</x:v>
      </x:c>
      <x:c r="C1008" s="28" t="n">
        <x:v>17</x:v>
      </x:c>
      <x:c r="D1008" s="47" t="n">
        <x:v>122.88</x:v>
      </x:c>
      <x:c r="E1008" s="47" t="n">
        <x:v>488.954</x:v>
      </x:c>
      <x:c r="F1008" s="47" t="n">
        <x:v>185.747</x:v>
      </x:c>
      <x:c r="G1008" s="47" t="n">
        <x:v>498.562</x:v>
      </x:c>
      <x:c r="H1008" s="50" t="n">
        <x:v>0.145931</x:v>
      </x:c>
      <x:c r="I1008" s="50" t="n">
        <x:v>0.82133</x:v>
      </x:c>
      <x:c r="J1008" s="50" t="n">
        <x:v>0.220592</x:v>
      </x:c>
      <x:c r="K1008" s="50" t="n">
        <x:v>0.837468</x:v>
      </x:c>
      <x:c r="L1008" s="47" t="n">
        <x:v>842.04</x:v>
      </x:c>
      <x:c r="M1008" s="47" t="n">
        <x:v>595.32</x:v>
      </x:c>
      <x:c r="N1008" s="28" t="str">
        <x:v>top-left</x:v>
      </x:c>
      <x:c r="O1008" s="28" t="str">
        <x:v>PDF points</x:v>
      </x:c>
    </x:row>
    <x:row r="1009" ht="22" customHeight="1">
      <x:c r="A1009" s="28" t="str">
        <x:v>ANC-SLE-045-01-R18</x:v>
      </x:c>
      <x:c r="B1009" s="28" t="str">
        <x:v>ANC-SLE-045-01</x:v>
      </x:c>
      <x:c r="C1009" s="28" t="n">
        <x:v>17</x:v>
      </x:c>
      <x:c r="D1009" s="47" t="n">
        <x:v>122.88</x:v>
      </x:c>
      <x:c r="E1009" s="47" t="n">
        <x:v>497.597</x:v>
      </x:c>
      <x:c r="F1009" s="47" t="n">
        <x:v>154.139</x:v>
      </x:c>
      <x:c r="G1009" s="47" t="n">
        <x:v>507.205</x:v>
      </x:c>
      <x:c r="H1009" s="50" t="n">
        <x:v>0.145931</x:v>
      </x:c>
      <x:c r="I1009" s="50" t="n">
        <x:v>0.835848</x:v>
      </x:c>
      <x:c r="J1009" s="50" t="n">
        <x:v>0.183054</x:v>
      </x:c>
      <x:c r="K1009" s="50" t="n">
        <x:v>0.851987</x:v>
      </x:c>
      <x:c r="L1009" s="47" t="n">
        <x:v>842.04</x:v>
      </x:c>
      <x:c r="M1009" s="47" t="n">
        <x:v>595.32</x:v>
      </x:c>
      <x:c r="N1009" s="28" t="str">
        <x:v>top-left</x:v>
      </x:c>
      <x:c r="O1009" s="28" t="str">
        <x:v>PDF points</x:v>
      </x:c>
    </x:row>
    <x:row r="1010" ht="22" customHeight="1">
      <x:c r="A1010" s="28" t="str">
        <x:v>ANC-SLE-045-01-R19</x:v>
      </x:c>
      <x:c r="B1010" s="28" t="str">
        <x:v>ANC-SLE-045-01</x:v>
      </x:c>
      <x:c r="C1010" s="28" t="n">
        <x:v>17</x:v>
      </x:c>
      <x:c r="D1010" s="47" t="n">
        <x:v>217.32</x:v>
      </x:c>
      <x:c r="E1010" s="47" t="n">
        <x:v>462.787</x:v>
      </x:c>
      <x:c r="F1010" s="47" t="n">
        <x:v>435.299</x:v>
      </x:c>
      <x:c r="G1010" s="47" t="n">
        <x:v>472.395</x:v>
      </x:c>
      <x:c r="H1010" s="50" t="n">
        <x:v>0.258088</x:v>
      </x:c>
      <x:c r="I1010" s="50" t="n">
        <x:v>0.777376</x:v>
      </x:c>
      <x:c r="J1010" s="50" t="n">
        <x:v>0.516957</x:v>
      </x:c>
      <x:c r="K1010" s="50" t="n">
        <x:v>0.793515</x:v>
      </x:c>
      <x:c r="L1010" s="47" t="n">
        <x:v>842.04</x:v>
      </x:c>
      <x:c r="M1010" s="47" t="n">
        <x:v>595.32</x:v>
      </x:c>
      <x:c r="N1010" s="28" t="str">
        <x:v>top-left</x:v>
      </x:c>
      <x:c r="O1010" s="28" t="str">
        <x:v>PDF points</x:v>
      </x:c>
    </x:row>
    <x:row r="1011" ht="22" customHeight="1">
      <x:c r="A1011" s="28" t="str">
        <x:v>ANC-SLE-045-01-R20</x:v>
      </x:c>
      <x:c r="B1011" s="28" t="str">
        <x:v>ANC-SLE-045-01</x:v>
      </x:c>
      <x:c r="C1011" s="28" t="n">
        <x:v>17</x:v>
      </x:c>
      <x:c r="D1011" s="47" t="n">
        <x:v>217.32</x:v>
      </x:c>
      <x:c r="E1011" s="47" t="n">
        <x:v>471.547</x:v>
      </x:c>
      <x:c r="F1011" s="47" t="n">
        <x:v>275.811</x:v>
      </x:c>
      <x:c r="G1011" s="47" t="n">
        <x:v>481.155</x:v>
      </x:c>
      <x:c r="H1011" s="50" t="n">
        <x:v>0.258088</x:v>
      </x:c>
      <x:c r="I1011" s="50" t="n">
        <x:v>0.792091</x:v>
      </x:c>
      <x:c r="J1011" s="50" t="n">
        <x:v>0.327551</x:v>
      </x:c>
      <x:c r="K1011" s="50" t="n">
        <x:v>0.808229</x:v>
      </x:c>
      <x:c r="L1011" s="47" t="n">
        <x:v>842.04</x:v>
      </x:c>
      <x:c r="M1011" s="47" t="n">
        <x:v>595.32</x:v>
      </x:c>
      <x:c r="N1011" s="28" t="str">
        <x:v>top-left</x:v>
      </x:c>
      <x:c r="O1011" s="28" t="str">
        <x:v>PDF points</x:v>
      </x:c>
    </x:row>
    <x:row r="1012" ht="22" customHeight="1">
      <x:c r="A1012" s="28" t="str">
        <x:v>ANC-SLE-045-01-R21</x:v>
      </x:c>
      <x:c r="B1012" s="28" t="str">
        <x:v>ANC-SLE-045-01</x:v>
      </x:c>
      <x:c r="C1012" s="28" t="n">
        <x:v>17</x:v>
      </x:c>
      <x:c r="D1012" s="47" t="n">
        <x:v>476.28</x:v>
      </x:c>
      <x:c r="E1012" s="47" t="n">
        <x:v>469.747</x:v>
      </x:c>
      <x:c r="F1012" s="47" t="n">
        <x:v>491.398</x:v>
      </x:c>
      <x:c r="G1012" s="47" t="n">
        <x:v>479.355</x:v>
      </x:c>
      <x:c r="H1012" s="50" t="n">
        <x:v>0.565626</x:v>
      </x:c>
      <x:c r="I1012" s="50" t="n">
        <x:v>0.789067</x:v>
      </x:c>
      <x:c r="J1012" s="50" t="n">
        <x:v>0.58358</x:v>
      </x:c>
      <x:c r="K1012" s="50" t="n">
        <x:v>0.805206</x:v>
      </x:c>
      <x:c r="L1012" s="47" t="n">
        <x:v>842.04</x:v>
      </x:c>
      <x:c r="M1012" s="47" t="n">
        <x:v>595.32</x:v>
      </x:c>
      <x:c r="N1012" s="28" t="str">
        <x:v>top-left</x:v>
      </x:c>
      <x:c r="O1012" s="28" t="str">
        <x:v>PDF points</x:v>
      </x:c>
    </x:row>
    <x:row r="1013" ht="22" customHeight="1">
      <x:c r="A1013" s="28" t="str">
        <x:v>ANC-SLE-045-01-R22</x:v>
      </x:c>
      <x:c r="B1013" s="28" t="str">
        <x:v>ANC-SLE-045-01</x:v>
      </x:c>
      <x:c r="C1013" s="28" t="n">
        <x:v>17</x:v>
      </x:c>
      <x:c r="D1013" s="47" t="n">
        <x:v>526.924</x:v>
      </x:c>
      <x:c r="E1013" s="47" t="n">
        <x:v>469.747</x:v>
      </x:c>
      <x:c r="F1013" s="47" t="n">
        <x:v>542.042</x:v>
      </x:c>
      <x:c r="G1013" s="47" t="n">
        <x:v>479.355</x:v>
      </x:c>
      <x:c r="H1013" s="50" t="n">
        <x:v>0.625771</x:v>
      </x:c>
      <x:c r="I1013" s="50" t="n">
        <x:v>0.789067</x:v>
      </x:c>
      <x:c r="J1013" s="50" t="n">
        <x:v>0.643724</x:v>
      </x:c>
      <x:c r="K1013" s="50" t="n">
        <x:v>0.805206</x:v>
      </x:c>
      <x:c r="L1013" s="47" t="n">
        <x:v>842.04</x:v>
      </x:c>
      <x:c r="M1013" s="47" t="n">
        <x:v>595.32</x:v>
      </x:c>
      <x:c r="N1013" s="28" t="str">
        <x:v>top-left</x:v>
      </x:c>
      <x:c r="O1013" s="28" t="str">
        <x:v>PDF points</x:v>
      </x:c>
    </x:row>
    <x:row r="1014" ht="22" customHeight="1">
      <x:c r="A1014" s="28" t="str">
        <x:v>ANC-SLE-045-01-R23</x:v>
      </x:c>
      <x:c r="B1014" s="28" t="str">
        <x:v>ANC-SLE-045-01</x:v>
      </x:c>
      <x:c r="C1014" s="28" t="n">
        <x:v>17</x:v>
      </x:c>
      <x:c r="D1014" s="47" t="n">
        <x:v>576.482</x:v>
      </x:c>
      <x:c r="E1014" s="47" t="n">
        <x:v>469.747</x:v>
      </x:c>
      <x:c r="F1014" s="47" t="n">
        <x:v>591.6</x:v>
      </x:c>
      <x:c r="G1014" s="47" t="n">
        <x:v>479.355</x:v>
      </x:c>
      <x:c r="H1014" s="50" t="n">
        <x:v>0.684626</x:v>
      </x:c>
      <x:c r="I1014" s="50" t="n">
        <x:v>0.789067</x:v>
      </x:c>
      <x:c r="J1014" s="50" t="n">
        <x:v>0.70258</x:v>
      </x:c>
      <x:c r="K1014" s="50" t="n">
        <x:v>0.805206</x:v>
      </x:c>
      <x:c r="L1014" s="47" t="n">
        <x:v>842.04</x:v>
      </x:c>
      <x:c r="M1014" s="47" t="n">
        <x:v>595.32</x:v>
      </x:c>
      <x:c r="N1014" s="28" t="str">
        <x:v>top-left</x:v>
      </x:c>
      <x:c r="O1014" s="28" t="str">
        <x:v>PDF points</x:v>
      </x:c>
    </x:row>
    <x:row r="1015" ht="22" customHeight="1">
      <x:c r="A1015" s="28" t="str">
        <x:v>ANC-SLE-045-01-R24</x:v>
      </x:c>
      <x:c r="B1015" s="28" t="str">
        <x:v>ANC-SLE-045-01</x:v>
      </x:c>
      <x:c r="C1015" s="28" t="n">
        <x:v>17</x:v>
      </x:c>
      <x:c r="D1015" s="47" t="n">
        <x:v>616.92</x:v>
      </x:c>
      <x:c r="E1015" s="47" t="n">
        <x:v>469.747</x:v>
      </x:c>
      <x:c r="F1015" s="47" t="n">
        <x:v>632.038</x:v>
      </x:c>
      <x:c r="G1015" s="47" t="n">
        <x:v>479.355</x:v>
      </x:c>
      <x:c r="H1015" s="50" t="n">
        <x:v>0.732649</x:v>
      </x:c>
      <x:c r="I1015" s="50" t="n">
        <x:v>0.789067</x:v>
      </x:c>
      <x:c r="J1015" s="50" t="n">
        <x:v>0.750603</x:v>
      </x:c>
      <x:c r="K1015" s="50" t="n">
        <x:v>0.805206</x:v>
      </x:c>
      <x:c r="L1015" s="47" t="n">
        <x:v>842.04</x:v>
      </x:c>
      <x:c r="M1015" s="47" t="n">
        <x:v>595.32</x:v>
      </x:c>
      <x:c r="N1015" s="28" t="str">
        <x:v>top-left</x:v>
      </x:c>
      <x:c r="O1015" s="28" t="str">
        <x:v>PDF points</x:v>
      </x:c>
    </x:row>
    <x:row r="1016" ht="22" customHeight="1">
      <x:c r="A1016" s="28" t="str">
        <x:v>ANC-SLE-045-01-R25</x:v>
      </x:c>
      <x:c r="B1016" s="28" t="str">
        <x:v>ANC-SLE-045-01</x:v>
      </x:c>
      <x:c r="C1016" s="28" t="n">
        <x:v>17</x:v>
      </x:c>
      <x:c r="D1016" s="47" t="n">
        <x:v>656.52</x:v>
      </x:c>
      <x:c r="E1016" s="47" t="n">
        <x:v>469.747</x:v>
      </x:c>
      <x:c r="F1016" s="47" t="n">
        <x:v>671.638</x:v>
      </x:c>
      <x:c r="G1016" s="47" t="n">
        <x:v>479.355</x:v>
      </x:c>
      <x:c r="H1016" s="50" t="n">
        <x:v>0.779678</x:v>
      </x:c>
      <x:c r="I1016" s="50" t="n">
        <x:v>0.789067</x:v>
      </x:c>
      <x:c r="J1016" s="50" t="n">
        <x:v>0.797632</x:v>
      </x:c>
      <x:c r="K1016" s="50" t="n">
        <x:v>0.805206</x:v>
      </x:c>
      <x:c r="L1016" s="47" t="n">
        <x:v>842.04</x:v>
      </x:c>
      <x:c r="M1016" s="47" t="n">
        <x:v>595.32</x:v>
      </x:c>
      <x:c r="N1016" s="28" t="str">
        <x:v>top-left</x:v>
      </x:c>
      <x:c r="O1016" s="28" t="str">
        <x:v>PDF points</x:v>
      </x:c>
    </x:row>
    <x:row r="1017" ht="22" customHeight="1">
      <x:c r="A1017" s="28" t="str">
        <x:v>ANC-SLE-045-01-R26</x:v>
      </x:c>
      <x:c r="B1017" s="28" t="str">
        <x:v>ANC-SLE-045-01</x:v>
      </x:c>
      <x:c r="C1017" s="28" t="n">
        <x:v>17</x:v>
      </x:c>
      <x:c r="D1017" s="47" t="n">
        <x:v>696</x:v>
      </x:c>
      <x:c r="E1017" s="47" t="n">
        <x:v>469.747</x:v>
      </x:c>
      <x:c r="F1017" s="47" t="n">
        <x:v>711.118</x:v>
      </x:c>
      <x:c r="G1017" s="47" t="n">
        <x:v>479.355</x:v>
      </x:c>
      <x:c r="H1017" s="50" t="n">
        <x:v>0.826564</x:v>
      </x:c>
      <x:c r="I1017" s="50" t="n">
        <x:v>0.789067</x:v>
      </x:c>
      <x:c r="J1017" s="50" t="n">
        <x:v>0.844518</x:v>
      </x:c>
      <x:c r="K1017" s="50" t="n">
        <x:v>0.805206</x:v>
      </x:c>
      <x:c r="L1017" s="47" t="n">
        <x:v>842.04</x:v>
      </x:c>
      <x:c r="M1017" s="47" t="n">
        <x:v>595.32</x:v>
      </x:c>
      <x:c r="N1017" s="28" t="str">
        <x:v>top-left</x:v>
      </x:c>
      <x:c r="O1017" s="28" t="str">
        <x:v>PDF points</x:v>
      </x:c>
    </x:row>
    <x:row r="1018" ht="22" customHeight="1">
      <x:c r="A1018" s="28" t="str">
        <x:v>ANC-SLE-045-01-R27</x:v>
      </x:c>
      <x:c r="B1018" s="28" t="str">
        <x:v>ANC-SLE-045-01</x:v>
      </x:c>
      <x:c r="C1018" s="28" t="n">
        <x:v>17</x:v>
      </x:c>
      <x:c r="D1018" s="47" t="n">
        <x:v>731.883</x:v>
      </x:c>
      <x:c r="E1018" s="47" t="n">
        <x:v>469.747</x:v>
      </x:c>
      <x:c r="F1018" s="47" t="n">
        <x:v>747</x:v>
      </x:c>
      <x:c r="G1018" s="47" t="n">
        <x:v>479.355</x:v>
      </x:c>
      <x:c r="H1018" s="50" t="n">
        <x:v>0.869178</x:v>
      </x:c>
      <x:c r="I1018" s="50" t="n">
        <x:v>0.789067</x:v>
      </x:c>
      <x:c r="J1018" s="50" t="n">
        <x:v>0.887131</x:v>
      </x:c>
      <x:c r="K1018" s="50" t="n">
        <x:v>0.805206</x:v>
      </x:c>
      <x:c r="L1018" s="47" t="n">
        <x:v>842.04</x:v>
      </x:c>
      <x:c r="M1018" s="47" t="n">
        <x:v>595.32</x:v>
      </x:c>
      <x:c r="N1018" s="28" t="str">
        <x:v>top-left</x:v>
      </x:c>
      <x:c r="O1018" s="28" t="str">
        <x:v>PDF points</x:v>
      </x:c>
    </x:row>
    <x:row r="1019" ht="22" customHeight="1">
      <x:c r="A1019" s="28" t="str">
        <x:v>ANC-SLE-045-01-R28</x:v>
      </x:c>
      <x:c r="B1019" s="28" t="str">
        <x:v>ANC-SLE-045-01</x:v>
      </x:c>
      <x:c r="C1019" s="28" t="n">
        <x:v>17</x:v>
      </x:c>
      <x:c r="D1019" s="47" t="n">
        <x:v>768.006</x:v>
      </x:c>
      <x:c r="E1019" s="47" t="n">
        <x:v>469.747</x:v>
      </x:c>
      <x:c r="F1019" s="47" t="n">
        <x:v>783.124</x:v>
      </x:c>
      <x:c r="G1019" s="47" t="n">
        <x:v>479.355</x:v>
      </x:c>
      <x:c r="H1019" s="50" t="n">
        <x:v>0.912078</x:v>
      </x:c>
      <x:c r="I1019" s="50" t="n">
        <x:v>0.789067</x:v>
      </x:c>
      <x:c r="J1019" s="50" t="n">
        <x:v>0.930032</x:v>
      </x:c>
      <x:c r="K1019" s="50" t="n">
        <x:v>0.805206</x:v>
      </x:c>
      <x:c r="L1019" s="47" t="n">
        <x:v>842.04</x:v>
      </x:c>
      <x:c r="M1019" s="47" t="n">
        <x:v>595.32</x:v>
      </x:c>
      <x:c r="N1019" s="28" t="str">
        <x:v>top-left</x:v>
      </x:c>
      <x:c r="O1019" s="28" t="str">
        <x:v>PDF points</x:v>
      </x:c>
    </x:row>
    <x:row r="1020" ht="22" customHeight="1">
      <x:c r="A1020" s="28" t="str">
        <x:v>ANC-SLE-045-01-R29</x:v>
      </x:c>
      <x:c r="B1020" s="28" t="str">
        <x:v>ANC-SLE-045-01</x:v>
      </x:c>
      <x:c r="C1020" s="28" t="n">
        <x:v>17</x:v>
      </x:c>
      <x:c r="D1020" s="47" t="n">
        <x:v>217.32</x:v>
      </x:c>
      <x:c r="E1020" s="47" t="n">
        <x:v>485.827</x:v>
      </x:c>
      <x:c r="F1020" s="47" t="n">
        <x:v>447.351</x:v>
      </x:c>
      <x:c r="G1020" s="47" t="n">
        <x:v>495.435</x:v>
      </x:c>
      <x:c r="H1020" s="50" t="n">
        <x:v>0.258088</x:v>
      </x:c>
      <x:c r="I1020" s="50" t="n">
        <x:v>0.816078</x:v>
      </x:c>
      <x:c r="J1020" s="50" t="n">
        <x:v>0.53127</x:v>
      </x:c>
      <x:c r="K1020" s="50" t="n">
        <x:v>0.832216</x:v>
      </x:c>
      <x:c r="L1020" s="47" t="n">
        <x:v>842.04</x:v>
      </x:c>
      <x:c r="M1020" s="47" t="n">
        <x:v>595.32</x:v>
      </x:c>
      <x:c r="N1020" s="28" t="str">
        <x:v>top-left</x:v>
      </x:c>
      <x:c r="O1020" s="28" t="str">
        <x:v>PDF points</x:v>
      </x:c>
    </x:row>
    <x:row r="1021" ht="22" customHeight="1">
      <x:c r="A1021" s="28" t="str">
        <x:v>ANC-SLE-046-01-R01</x:v>
      </x:c>
      <x:c r="B1021" s="28" t="str">
        <x:v>ANC-SLE-046-01</x:v>
      </x:c>
      <x:c r="C1021" s="28" t="n">
        <x:v>18</x:v>
      </x:c>
      <x:c r="D1021" s="47" t="n">
        <x:v>476.28</x:v>
      </x:c>
      <x:c r="E1021" s="47" t="n">
        <x:v>102.907</x:v>
      </x:c>
      <x:c r="F1021" s="47" t="n">
        <x:v>491.398</x:v>
      </x:c>
      <x:c r="G1021" s="47" t="n">
        <x:v>112.515</x:v>
      </x:c>
      <x:c r="H1021" s="50" t="n">
        <x:v>0.565626</x:v>
      </x:c>
      <x:c r="I1021" s="50" t="n">
        <x:v>0.172861</x:v>
      </x:c>
      <x:c r="J1021" s="50" t="n">
        <x:v>0.58358</x:v>
      </x:c>
      <x:c r="K1021" s="50" t="n">
        <x:v>0.188999</x:v>
      </x:c>
      <x:c r="L1021" s="47" t="n">
        <x:v>842.04</x:v>
      </x:c>
      <x:c r="M1021" s="47" t="n">
        <x:v>595.32</x:v>
      </x:c>
      <x:c r="N1021" s="28" t="str">
        <x:v>top-left</x:v>
      </x:c>
      <x:c r="O1021" s="28" t="str">
        <x:v>PDF points</x:v>
      </x:c>
    </x:row>
    <x:row r="1022" ht="22" customHeight="1">
      <x:c r="A1022" s="28" t="str">
        <x:v>ANC-SLE-046-01-R02</x:v>
      </x:c>
      <x:c r="B1022" s="28" t="str">
        <x:v>ANC-SLE-046-01</x:v>
      </x:c>
      <x:c r="C1022" s="28" t="n">
        <x:v>18</x:v>
      </x:c>
      <x:c r="D1022" s="47" t="n">
        <x:v>526.924</x:v>
      </x:c>
      <x:c r="E1022" s="47" t="n">
        <x:v>102.907</x:v>
      </x:c>
      <x:c r="F1022" s="47" t="n">
        <x:v>542.042</x:v>
      </x:c>
      <x:c r="G1022" s="47" t="n">
        <x:v>112.515</x:v>
      </x:c>
      <x:c r="H1022" s="50" t="n">
        <x:v>0.625771</x:v>
      </x:c>
      <x:c r="I1022" s="50" t="n">
        <x:v>0.172861</x:v>
      </x:c>
      <x:c r="J1022" s="50" t="n">
        <x:v>0.643724</x:v>
      </x:c>
      <x:c r="K1022" s="50" t="n">
        <x:v>0.188999</x:v>
      </x:c>
      <x:c r="L1022" s="47" t="n">
        <x:v>842.04</x:v>
      </x:c>
      <x:c r="M1022" s="47" t="n">
        <x:v>595.32</x:v>
      </x:c>
      <x:c r="N1022" s="28" t="str">
        <x:v>top-left</x:v>
      </x:c>
      <x:c r="O1022" s="28" t="str">
        <x:v>PDF points</x:v>
      </x:c>
    </x:row>
    <x:row r="1023" ht="22" customHeight="1">
      <x:c r="A1023" s="28" t="str">
        <x:v>ANC-SLE-046-01-R03</x:v>
      </x:c>
      <x:c r="B1023" s="28" t="str">
        <x:v>ANC-SLE-046-01</x:v>
      </x:c>
      <x:c r="C1023" s="28" t="n">
        <x:v>18</x:v>
      </x:c>
      <x:c r="D1023" s="47" t="n">
        <x:v>576.482</x:v>
      </x:c>
      <x:c r="E1023" s="47" t="n">
        <x:v>102.907</x:v>
      </x:c>
      <x:c r="F1023" s="47" t="n">
        <x:v>591.6</x:v>
      </x:c>
      <x:c r="G1023" s="47" t="n">
        <x:v>112.515</x:v>
      </x:c>
      <x:c r="H1023" s="50" t="n">
        <x:v>0.684626</x:v>
      </x:c>
      <x:c r="I1023" s="50" t="n">
        <x:v>0.172861</x:v>
      </x:c>
      <x:c r="J1023" s="50" t="n">
        <x:v>0.70258</x:v>
      </x:c>
      <x:c r="K1023" s="50" t="n">
        <x:v>0.188999</x:v>
      </x:c>
      <x:c r="L1023" s="47" t="n">
        <x:v>842.04</x:v>
      </x:c>
      <x:c r="M1023" s="47" t="n">
        <x:v>595.32</x:v>
      </x:c>
      <x:c r="N1023" s="28" t="str">
        <x:v>top-left</x:v>
      </x:c>
      <x:c r="O1023" s="28" t="str">
        <x:v>PDF points</x:v>
      </x:c>
    </x:row>
    <x:row r="1024" ht="22" customHeight="1">
      <x:c r="A1024" s="28" t="str">
        <x:v>ANC-SLE-046-01-R04</x:v>
      </x:c>
      <x:c r="B1024" s="28" t="str">
        <x:v>ANC-SLE-046-01</x:v>
      </x:c>
      <x:c r="C1024" s="28" t="n">
        <x:v>18</x:v>
      </x:c>
      <x:c r="D1024" s="47" t="n">
        <x:v>616.92</x:v>
      </x:c>
      <x:c r="E1024" s="47" t="n">
        <x:v>102.907</x:v>
      </x:c>
      <x:c r="F1024" s="47" t="n">
        <x:v>632.038</x:v>
      </x:c>
      <x:c r="G1024" s="47" t="n">
        <x:v>112.515</x:v>
      </x:c>
      <x:c r="H1024" s="50" t="n">
        <x:v>0.732649</x:v>
      </x:c>
      <x:c r="I1024" s="50" t="n">
        <x:v>0.172861</x:v>
      </x:c>
      <x:c r="J1024" s="50" t="n">
        <x:v>0.750603</x:v>
      </x:c>
      <x:c r="K1024" s="50" t="n">
        <x:v>0.188999</x:v>
      </x:c>
      <x:c r="L1024" s="47" t="n">
        <x:v>842.04</x:v>
      </x:c>
      <x:c r="M1024" s="47" t="n">
        <x:v>595.32</x:v>
      </x:c>
      <x:c r="N1024" s="28" t="str">
        <x:v>top-left</x:v>
      </x:c>
      <x:c r="O1024" s="28" t="str">
        <x:v>PDF points</x:v>
      </x:c>
    </x:row>
    <x:row r="1025" ht="22" customHeight="1">
      <x:c r="A1025" s="28" t="str">
        <x:v>ANC-SLE-046-01-R05</x:v>
      </x:c>
      <x:c r="B1025" s="28" t="str">
        <x:v>ANC-SLE-046-01</x:v>
      </x:c>
      <x:c r="C1025" s="28" t="n">
        <x:v>18</x:v>
      </x:c>
      <x:c r="D1025" s="47" t="n">
        <x:v>656.52</x:v>
      </x:c>
      <x:c r="E1025" s="47" t="n">
        <x:v>102.907</x:v>
      </x:c>
      <x:c r="F1025" s="47" t="n">
        <x:v>671.638</x:v>
      </x:c>
      <x:c r="G1025" s="47" t="n">
        <x:v>112.515</x:v>
      </x:c>
      <x:c r="H1025" s="50" t="n">
        <x:v>0.779678</x:v>
      </x:c>
      <x:c r="I1025" s="50" t="n">
        <x:v>0.172861</x:v>
      </x:c>
      <x:c r="J1025" s="50" t="n">
        <x:v>0.797632</x:v>
      </x:c>
      <x:c r="K1025" s="50" t="n">
        <x:v>0.188999</x:v>
      </x:c>
      <x:c r="L1025" s="47" t="n">
        <x:v>842.04</x:v>
      </x:c>
      <x:c r="M1025" s="47" t="n">
        <x:v>595.32</x:v>
      </x:c>
      <x:c r="N1025" s="28" t="str">
        <x:v>top-left</x:v>
      </x:c>
      <x:c r="O1025" s="28" t="str">
        <x:v>PDF points</x:v>
      </x:c>
    </x:row>
    <x:row r="1026" ht="22" customHeight="1">
      <x:c r="A1026" s="28" t="str">
        <x:v>ANC-SLE-046-01-R06</x:v>
      </x:c>
      <x:c r="B1026" s="28" t="str">
        <x:v>ANC-SLE-046-01</x:v>
      </x:c>
      <x:c r="C1026" s="28" t="n">
        <x:v>18</x:v>
      </x:c>
      <x:c r="D1026" s="47" t="n">
        <x:v>696</x:v>
      </x:c>
      <x:c r="E1026" s="47" t="n">
        <x:v>102.907</x:v>
      </x:c>
      <x:c r="F1026" s="47" t="n">
        <x:v>711.118</x:v>
      </x:c>
      <x:c r="G1026" s="47" t="n">
        <x:v>112.515</x:v>
      </x:c>
      <x:c r="H1026" s="50" t="n">
        <x:v>0.826564</x:v>
      </x:c>
      <x:c r="I1026" s="50" t="n">
        <x:v>0.172861</x:v>
      </x:c>
      <x:c r="J1026" s="50" t="n">
        <x:v>0.844518</x:v>
      </x:c>
      <x:c r="K1026" s="50" t="n">
        <x:v>0.188999</x:v>
      </x:c>
      <x:c r="L1026" s="47" t="n">
        <x:v>842.04</x:v>
      </x:c>
      <x:c r="M1026" s="47" t="n">
        <x:v>595.32</x:v>
      </x:c>
      <x:c r="N1026" s="28" t="str">
        <x:v>top-left</x:v>
      </x:c>
      <x:c r="O1026" s="28" t="str">
        <x:v>PDF points</x:v>
      </x:c>
    </x:row>
    <x:row r="1027" ht="22" customHeight="1">
      <x:c r="A1027" s="28" t="str">
        <x:v>ANC-SLE-046-01-R07</x:v>
      </x:c>
      <x:c r="B1027" s="28" t="str">
        <x:v>ANC-SLE-046-01</x:v>
      </x:c>
      <x:c r="C1027" s="28" t="n">
        <x:v>18</x:v>
      </x:c>
      <x:c r="D1027" s="47" t="n">
        <x:v>731.883</x:v>
      </x:c>
      <x:c r="E1027" s="47" t="n">
        <x:v>102.907</x:v>
      </x:c>
      <x:c r="F1027" s="47" t="n">
        <x:v>747</x:v>
      </x:c>
      <x:c r="G1027" s="47" t="n">
        <x:v>112.515</x:v>
      </x:c>
      <x:c r="H1027" s="50" t="n">
        <x:v>0.869178</x:v>
      </x:c>
      <x:c r="I1027" s="50" t="n">
        <x:v>0.172861</x:v>
      </x:c>
      <x:c r="J1027" s="50" t="n">
        <x:v>0.887131</x:v>
      </x:c>
      <x:c r="K1027" s="50" t="n">
        <x:v>0.188999</x:v>
      </x:c>
      <x:c r="L1027" s="47" t="n">
        <x:v>842.04</x:v>
      </x:c>
      <x:c r="M1027" s="47" t="n">
        <x:v>595.32</x:v>
      </x:c>
      <x:c r="N1027" s="28" t="str">
        <x:v>top-left</x:v>
      </x:c>
      <x:c r="O1027" s="28" t="str">
        <x:v>PDF points</x:v>
      </x:c>
    </x:row>
    <x:row r="1028" ht="22" customHeight="1">
      <x:c r="A1028" s="28" t="str">
        <x:v>ANC-SLE-046-01-R08</x:v>
      </x:c>
      <x:c r="B1028" s="28" t="str">
        <x:v>ANC-SLE-046-01</x:v>
      </x:c>
      <x:c r="C1028" s="28" t="n">
        <x:v>18</x:v>
      </x:c>
      <x:c r="D1028" s="47" t="n">
        <x:v>768.006</x:v>
      </x:c>
      <x:c r="E1028" s="47" t="n">
        <x:v>102.907</x:v>
      </x:c>
      <x:c r="F1028" s="47" t="n">
        <x:v>783.124</x:v>
      </x:c>
      <x:c r="G1028" s="47" t="n">
        <x:v>112.515</x:v>
      </x:c>
      <x:c r="H1028" s="50" t="n">
        <x:v>0.912078</x:v>
      </x:c>
      <x:c r="I1028" s="50" t="n">
        <x:v>0.172861</x:v>
      </x:c>
      <x:c r="J1028" s="50" t="n">
        <x:v>0.930032</x:v>
      </x:c>
      <x:c r="K1028" s="50" t="n">
        <x:v>0.188999</x:v>
      </x:c>
      <x:c r="L1028" s="47" t="n">
        <x:v>842.04</x:v>
      </x:c>
      <x:c r="M1028" s="47" t="n">
        <x:v>595.32</x:v>
      </x:c>
      <x:c r="N1028" s="28" t="str">
        <x:v>top-left</x:v>
      </x:c>
      <x:c r="O1028" s="28" t="str">
        <x:v>PDF points</x:v>
      </x:c>
    </x:row>
    <x:row r="1029" ht="22" customHeight="1">
      <x:c r="A1029" s="28" t="str">
        <x:v>ANC-SLE-046-01-R09</x:v>
      </x:c>
      <x:c r="B1029" s="28" t="str">
        <x:v>ANC-SLE-046-01</x:v>
      </x:c>
      <x:c r="C1029" s="28" t="n">
        <x:v>18</x:v>
      </x:c>
      <x:c r="D1029" s="47" t="n">
        <x:v>217.32</x:v>
      </x:c>
      <x:c r="E1029" s="47" t="n">
        <x:v>117.667</x:v>
      </x:c>
      <x:c r="F1029" s="47" t="n">
        <x:v>412.529</x:v>
      </x:c>
      <x:c r="G1029" s="47" t="n">
        <x:v>127.275</x:v>
      </x:c>
      <x:c r="H1029" s="50" t="n">
        <x:v>0.258088</x:v>
      </x:c>
      <x:c r="I1029" s="50" t="n">
        <x:v>0.197654</x:v>
      </x:c>
      <x:c r="J1029" s="50" t="n">
        <x:v>0.489916</x:v>
      </x:c>
      <x:c r="K1029" s="50" t="n">
        <x:v>0.213793</x:v>
      </x:c>
      <x:c r="L1029" s="47" t="n">
        <x:v>842.04</x:v>
      </x:c>
      <x:c r="M1029" s="47" t="n">
        <x:v>595.32</x:v>
      </x:c>
      <x:c r="N1029" s="28" t="str">
        <x:v>top-left</x:v>
      </x:c>
      <x:c r="O1029" s="28" t="str">
        <x:v>PDF points</x:v>
      </x:c>
    </x:row>
    <x:row r="1030" ht="22" customHeight="1">
      <x:c r="A1030" s="28" t="str">
        <x:v>ANC-SLE-046-01-R10</x:v>
      </x:c>
      <x:c r="B1030" s="28" t="str">
        <x:v>ANC-SLE-046-01</x:v>
      </x:c>
      <x:c r="C1030" s="28" t="n">
        <x:v>18</x:v>
      </x:c>
      <x:c r="D1030" s="47" t="n">
        <x:v>217.32</x:v>
      </x:c>
      <x:c r="E1030" s="47" t="n">
        <x:v>126.427</x:v>
      </x:c>
      <x:c r="F1030" s="47" t="n">
        <x:v>308.947</x:v>
      </x:c>
      <x:c r="G1030" s="47" t="n">
        <x:v>136.035</x:v>
      </x:c>
      <x:c r="H1030" s="50" t="n">
        <x:v>0.258088</x:v>
      </x:c>
      <x:c r="I1030" s="50" t="n">
        <x:v>0.212369</x:v>
      </x:c>
      <x:c r="J1030" s="50" t="n">
        <x:v>0.366903</x:v>
      </x:c>
      <x:c r="K1030" s="50" t="n">
        <x:v>0.228508</x:v>
      </x:c>
      <x:c r="L1030" s="47" t="n">
        <x:v>842.04</x:v>
      </x:c>
      <x:c r="M1030" s="47" t="n">
        <x:v>595.32</x:v>
      </x:c>
      <x:c r="N1030" s="28" t="str">
        <x:v>top-left</x:v>
      </x:c>
      <x:c r="O1030" s="28" t="str">
        <x:v>PDF points</x:v>
      </x:c>
    </x:row>
    <x:row r="1031" ht="22" customHeight="1">
      <x:c r="A1031" s="28" t="str">
        <x:v>ANC-SLE-046-01-R11</x:v>
      </x:c>
      <x:c r="B1031" s="28" t="str">
        <x:v>ANC-SLE-046-01</x:v>
      </x:c>
      <x:c r="C1031" s="28" t="n">
        <x:v>18</x:v>
      </x:c>
      <x:c r="D1031" s="47" t="n">
        <x:v>476.28</x:v>
      </x:c>
      <x:c r="E1031" s="47" t="n">
        <x:v>124.627</x:v>
      </x:c>
      <x:c r="F1031" s="47" t="n">
        <x:v>491.398</x:v>
      </x:c>
      <x:c r="G1031" s="47" t="n">
        <x:v>134.235</x:v>
      </x:c>
      <x:c r="H1031" s="50" t="n">
        <x:v>0.565626</x:v>
      </x:c>
      <x:c r="I1031" s="50" t="n">
        <x:v>0.209345</x:v>
      </x:c>
      <x:c r="J1031" s="50" t="n">
        <x:v>0.58358</x:v>
      </x:c>
      <x:c r="K1031" s="50" t="n">
        <x:v>0.225484</x:v>
      </x:c>
      <x:c r="L1031" s="47" t="n">
        <x:v>842.04</x:v>
      </x:c>
      <x:c r="M1031" s="47" t="n">
        <x:v>595.32</x:v>
      </x:c>
      <x:c r="N1031" s="28" t="str">
        <x:v>top-left</x:v>
      </x:c>
      <x:c r="O1031" s="28" t="str">
        <x:v>PDF points</x:v>
      </x:c>
    </x:row>
    <x:row r="1032" ht="22" customHeight="1">
      <x:c r="A1032" s="28" t="str">
        <x:v>ANC-SLE-046-01-R12</x:v>
      </x:c>
      <x:c r="B1032" s="28" t="str">
        <x:v>ANC-SLE-046-01</x:v>
      </x:c>
      <x:c r="C1032" s="28" t="n">
        <x:v>18</x:v>
      </x:c>
      <x:c r="D1032" s="47" t="n">
        <x:v>526.924</x:v>
      </x:c>
      <x:c r="E1032" s="47" t="n">
        <x:v>124.627</x:v>
      </x:c>
      <x:c r="F1032" s="47" t="n">
        <x:v>542.042</x:v>
      </x:c>
      <x:c r="G1032" s="47" t="n">
        <x:v>134.235</x:v>
      </x:c>
      <x:c r="H1032" s="50" t="n">
        <x:v>0.625771</x:v>
      </x:c>
      <x:c r="I1032" s="50" t="n">
        <x:v>0.209345</x:v>
      </x:c>
      <x:c r="J1032" s="50" t="n">
        <x:v>0.643724</x:v>
      </x:c>
      <x:c r="K1032" s="50" t="n">
        <x:v>0.225484</x:v>
      </x:c>
      <x:c r="L1032" s="47" t="n">
        <x:v>842.04</x:v>
      </x:c>
      <x:c r="M1032" s="47" t="n">
        <x:v>595.32</x:v>
      </x:c>
      <x:c r="N1032" s="28" t="str">
        <x:v>top-left</x:v>
      </x:c>
      <x:c r="O1032" s="28" t="str">
        <x:v>PDF points</x:v>
      </x:c>
    </x:row>
    <x:row r="1033" ht="22" customHeight="1">
      <x:c r="A1033" s="28" t="str">
        <x:v>ANC-SLE-046-01-R13</x:v>
      </x:c>
      <x:c r="B1033" s="28" t="str">
        <x:v>ANC-SLE-046-01</x:v>
      </x:c>
      <x:c r="C1033" s="28" t="n">
        <x:v>18</x:v>
      </x:c>
      <x:c r="D1033" s="47" t="n">
        <x:v>576.482</x:v>
      </x:c>
      <x:c r="E1033" s="47" t="n">
        <x:v>124.627</x:v>
      </x:c>
      <x:c r="F1033" s="47" t="n">
        <x:v>591.6</x:v>
      </x:c>
      <x:c r="G1033" s="47" t="n">
        <x:v>134.235</x:v>
      </x:c>
      <x:c r="H1033" s="50" t="n">
        <x:v>0.684626</x:v>
      </x:c>
      <x:c r="I1033" s="50" t="n">
        <x:v>0.209345</x:v>
      </x:c>
      <x:c r="J1033" s="50" t="n">
        <x:v>0.70258</x:v>
      </x:c>
      <x:c r="K1033" s="50" t="n">
        <x:v>0.225484</x:v>
      </x:c>
      <x:c r="L1033" s="47" t="n">
        <x:v>842.04</x:v>
      </x:c>
      <x:c r="M1033" s="47" t="n">
        <x:v>595.32</x:v>
      </x:c>
      <x:c r="N1033" s="28" t="str">
        <x:v>top-left</x:v>
      </x:c>
      <x:c r="O1033" s="28" t="str">
        <x:v>PDF points</x:v>
      </x:c>
    </x:row>
    <x:row r="1034" ht="22" customHeight="1">
      <x:c r="A1034" s="28" t="str">
        <x:v>ANC-SLE-046-01-R14</x:v>
      </x:c>
      <x:c r="B1034" s="28" t="str">
        <x:v>ANC-SLE-046-01</x:v>
      </x:c>
      <x:c r="C1034" s="28" t="n">
        <x:v>18</x:v>
      </x:c>
      <x:c r="D1034" s="47" t="n">
        <x:v>616.92</x:v>
      </x:c>
      <x:c r="E1034" s="47" t="n">
        <x:v>124.627</x:v>
      </x:c>
      <x:c r="F1034" s="47" t="n">
        <x:v>632.038</x:v>
      </x:c>
      <x:c r="G1034" s="47" t="n">
        <x:v>134.235</x:v>
      </x:c>
      <x:c r="H1034" s="50" t="n">
        <x:v>0.732649</x:v>
      </x:c>
      <x:c r="I1034" s="50" t="n">
        <x:v>0.209345</x:v>
      </x:c>
      <x:c r="J1034" s="50" t="n">
        <x:v>0.750603</x:v>
      </x:c>
      <x:c r="K1034" s="50" t="n">
        <x:v>0.225484</x:v>
      </x:c>
      <x:c r="L1034" s="47" t="n">
        <x:v>842.04</x:v>
      </x:c>
      <x:c r="M1034" s="47" t="n">
        <x:v>595.32</x:v>
      </x:c>
      <x:c r="N1034" s="28" t="str">
        <x:v>top-left</x:v>
      </x:c>
      <x:c r="O1034" s="28" t="str">
        <x:v>PDF points</x:v>
      </x:c>
    </x:row>
    <x:row r="1035" ht="22" customHeight="1">
      <x:c r="A1035" s="28" t="str">
        <x:v>ANC-SLE-046-01-R15</x:v>
      </x:c>
      <x:c r="B1035" s="28" t="str">
        <x:v>ANC-SLE-046-01</x:v>
      </x:c>
      <x:c r="C1035" s="28" t="n">
        <x:v>18</x:v>
      </x:c>
      <x:c r="D1035" s="47" t="n">
        <x:v>656.52</x:v>
      </x:c>
      <x:c r="E1035" s="47" t="n">
        <x:v>124.627</x:v>
      </x:c>
      <x:c r="F1035" s="47" t="n">
        <x:v>671.638</x:v>
      </x:c>
      <x:c r="G1035" s="47" t="n">
        <x:v>134.235</x:v>
      </x:c>
      <x:c r="H1035" s="50" t="n">
        <x:v>0.779678</x:v>
      </x:c>
      <x:c r="I1035" s="50" t="n">
        <x:v>0.209345</x:v>
      </x:c>
      <x:c r="J1035" s="50" t="n">
        <x:v>0.797632</x:v>
      </x:c>
      <x:c r="K1035" s="50" t="n">
        <x:v>0.225484</x:v>
      </x:c>
      <x:c r="L1035" s="47" t="n">
        <x:v>842.04</x:v>
      </x:c>
      <x:c r="M1035" s="47" t="n">
        <x:v>595.32</x:v>
      </x:c>
      <x:c r="N1035" s="28" t="str">
        <x:v>top-left</x:v>
      </x:c>
      <x:c r="O1035" s="28" t="str">
        <x:v>PDF points</x:v>
      </x:c>
    </x:row>
    <x:row r="1036" ht="22" customHeight="1">
      <x:c r="A1036" s="28" t="str">
        <x:v>ANC-SLE-046-01-R16</x:v>
      </x:c>
      <x:c r="B1036" s="28" t="str">
        <x:v>ANC-SLE-046-01</x:v>
      </x:c>
      <x:c r="C1036" s="28" t="n">
        <x:v>18</x:v>
      </x:c>
      <x:c r="D1036" s="47" t="n">
        <x:v>696</x:v>
      </x:c>
      <x:c r="E1036" s="47" t="n">
        <x:v>124.627</x:v>
      </x:c>
      <x:c r="F1036" s="47" t="n">
        <x:v>711.118</x:v>
      </x:c>
      <x:c r="G1036" s="47" t="n">
        <x:v>134.235</x:v>
      </x:c>
      <x:c r="H1036" s="50" t="n">
        <x:v>0.826564</x:v>
      </x:c>
      <x:c r="I1036" s="50" t="n">
        <x:v>0.209345</x:v>
      </x:c>
      <x:c r="J1036" s="50" t="n">
        <x:v>0.844518</x:v>
      </x:c>
      <x:c r="K1036" s="50" t="n">
        <x:v>0.225484</x:v>
      </x:c>
      <x:c r="L1036" s="47" t="n">
        <x:v>842.04</x:v>
      </x:c>
      <x:c r="M1036" s="47" t="n">
        <x:v>595.32</x:v>
      </x:c>
      <x:c r="N1036" s="28" t="str">
        <x:v>top-left</x:v>
      </x:c>
      <x:c r="O1036" s="28" t="str">
        <x:v>PDF points</x:v>
      </x:c>
    </x:row>
    <x:row r="1037" ht="22" customHeight="1">
      <x:c r="A1037" s="28" t="str">
        <x:v>ANC-SLE-046-01-R17</x:v>
      </x:c>
      <x:c r="B1037" s="28" t="str">
        <x:v>ANC-SLE-046-01</x:v>
      </x:c>
      <x:c r="C1037" s="28" t="n">
        <x:v>18</x:v>
      </x:c>
      <x:c r="D1037" s="47" t="n">
        <x:v>731.88</x:v>
      </x:c>
      <x:c r="E1037" s="47" t="n">
        <x:v>124.627</x:v>
      </x:c>
      <x:c r="F1037" s="47" t="n">
        <x:v>746.998</x:v>
      </x:c>
      <x:c r="G1037" s="47" t="n">
        <x:v>134.235</x:v>
      </x:c>
      <x:c r="H1037" s="50" t="n">
        <x:v>0.869175</x:v>
      </x:c>
      <x:c r="I1037" s="50" t="n">
        <x:v>0.209345</x:v>
      </x:c>
      <x:c r="J1037" s="50" t="n">
        <x:v>0.887129</x:v>
      </x:c>
      <x:c r="K1037" s="50" t="n">
        <x:v>0.225484</x:v>
      </x:c>
      <x:c r="L1037" s="47" t="n">
        <x:v>842.04</x:v>
      </x:c>
      <x:c r="M1037" s="47" t="n">
        <x:v>595.32</x:v>
      </x:c>
      <x:c r="N1037" s="28" t="str">
        <x:v>top-left</x:v>
      </x:c>
      <x:c r="O1037" s="28" t="str">
        <x:v>PDF points</x:v>
      </x:c>
    </x:row>
    <x:row r="1038" ht="22" customHeight="1">
      <x:c r="A1038" s="28" t="str">
        <x:v>ANC-SLE-046-01-R18</x:v>
      </x:c>
      <x:c r="B1038" s="28" t="str">
        <x:v>ANC-SLE-046-01</x:v>
      </x:c>
      <x:c r="C1038" s="28" t="n">
        <x:v>18</x:v>
      </x:c>
      <x:c r="D1038" s="47" t="n">
        <x:v>768</x:v>
      </x:c>
      <x:c r="E1038" s="47" t="n">
        <x:v>124.627</x:v>
      </x:c>
      <x:c r="F1038" s="47" t="n">
        <x:v>783.118</x:v>
      </x:c>
      <x:c r="G1038" s="47" t="n">
        <x:v>134.235</x:v>
      </x:c>
      <x:c r="H1038" s="50" t="n">
        <x:v>0.912071</x:v>
      </x:c>
      <x:c r="I1038" s="50" t="n">
        <x:v>0.209345</x:v>
      </x:c>
      <x:c r="J1038" s="50" t="n">
        <x:v>0.930024</x:v>
      </x:c>
      <x:c r="K1038" s="50" t="n">
        <x:v>0.225484</x:v>
      </x:c>
      <x:c r="L1038" s="47" t="n">
        <x:v>842.04</x:v>
      </x:c>
      <x:c r="M1038" s="47" t="n">
        <x:v>595.32</x:v>
      </x:c>
      <x:c r="N1038" s="28" t="str">
        <x:v>top-left</x:v>
      </x:c>
      <x:c r="O1038" s="28" t="str">
        <x:v>PDF points</x:v>
      </x:c>
    </x:row>
    <x:row r="1039" ht="22" customHeight="1">
      <x:c r="A1039" s="28" t="str">
        <x:v>ANC-SLE-046-01-R19</x:v>
      </x:c>
      <x:c r="B1039" s="28" t="str">
        <x:v>ANC-SLE-046-01</x:v>
      </x:c>
      <x:c r="C1039" s="28" t="n">
        <x:v>18</x:v>
      </x:c>
      <x:c r="D1039" s="47" t="n">
        <x:v>217.32</x:v>
      </x:c>
      <x:c r="E1039" s="47" t="n">
        <x:v>140.707</x:v>
      </x:c>
      <x:c r="F1039" s="47" t="n">
        <x:v>427.967</x:v>
      </x:c>
      <x:c r="G1039" s="47" t="n">
        <x:v>150.315</x:v>
      </x:c>
      <x:c r="H1039" s="50" t="n">
        <x:v>0.258088</x:v>
      </x:c>
      <x:c r="I1039" s="50" t="n">
        <x:v>0.236356</x:v>
      </x:c>
      <x:c r="J1039" s="50" t="n">
        <x:v>0.50825</x:v>
      </x:c>
      <x:c r="K1039" s="50" t="n">
        <x:v>0.252495</x:v>
      </x:c>
      <x:c r="L1039" s="47" t="n">
        <x:v>842.04</x:v>
      </x:c>
      <x:c r="M1039" s="47" t="n">
        <x:v>595.32</x:v>
      </x:c>
      <x:c r="N1039" s="28" t="str">
        <x:v>top-left</x:v>
      </x:c>
      <x:c r="O1039" s="28" t="str">
        <x:v>PDF points</x:v>
      </x:c>
    </x:row>
    <x:row r="1040" ht="22" customHeight="1">
      <x:c r="A1040" s="28" t="str">
        <x:v>ANC-SLE-046-01-R20</x:v>
      </x:c>
      <x:c r="B1040" s="28" t="str">
        <x:v>ANC-SLE-046-01</x:v>
      </x:c>
      <x:c r="C1040" s="28" t="n">
        <x:v>18</x:v>
      </x:c>
      <x:c r="D1040" s="47" t="n">
        <x:v>217.32</x:v>
      </x:c>
      <x:c r="E1040" s="47" t="n">
        <x:v>149.467</x:v>
      </x:c>
      <x:c r="F1040" s="47" t="n">
        <x:v>302.109</x:v>
      </x:c>
      <x:c r="G1040" s="47" t="n">
        <x:v>159.075</x:v>
      </x:c>
      <x:c r="H1040" s="50" t="n">
        <x:v>0.258088</x:v>
      </x:c>
      <x:c r="I1040" s="50" t="n">
        <x:v>0.251071</x:v>
      </x:c>
      <x:c r="J1040" s="50" t="n">
        <x:v>0.358782</x:v>
      </x:c>
      <x:c r="K1040" s="50" t="n">
        <x:v>0.267209</x:v>
      </x:c>
      <x:c r="L1040" s="47" t="n">
        <x:v>842.04</x:v>
      </x:c>
      <x:c r="M1040" s="47" t="n">
        <x:v>595.32</x:v>
      </x:c>
      <x:c r="N1040" s="28" t="str">
        <x:v>top-left</x:v>
      </x:c>
      <x:c r="O1040" s="28" t="str">
        <x:v>PDF points</x:v>
      </x:c>
    </x:row>
    <x:row r="1041" ht="22" customHeight="1">
      <x:c r="A1041" s="28" t="str">
        <x:v>ANC-SLE-046-01-R21</x:v>
      </x:c>
      <x:c r="B1041" s="28" t="str">
        <x:v>ANC-SLE-046-01</x:v>
      </x:c>
      <x:c r="C1041" s="28" t="n">
        <x:v>18</x:v>
      </x:c>
      <x:c r="D1041" s="47" t="n">
        <x:v>476.28</x:v>
      </x:c>
      <x:c r="E1041" s="47" t="n">
        <x:v>147.667</x:v>
      </x:c>
      <x:c r="F1041" s="47" t="n">
        <x:v>491.398</x:v>
      </x:c>
      <x:c r="G1041" s="47" t="n">
        <x:v>157.275</x:v>
      </x:c>
      <x:c r="H1041" s="50" t="n">
        <x:v>0.565626</x:v>
      </x:c>
      <x:c r="I1041" s="50" t="n">
        <x:v>0.248047</x:v>
      </x:c>
      <x:c r="J1041" s="50" t="n">
        <x:v>0.58358</x:v>
      </x:c>
      <x:c r="K1041" s="50" t="n">
        <x:v>0.264186</x:v>
      </x:c>
      <x:c r="L1041" s="47" t="n">
        <x:v>842.04</x:v>
      </x:c>
      <x:c r="M1041" s="47" t="n">
        <x:v>595.32</x:v>
      </x:c>
      <x:c r="N1041" s="28" t="str">
        <x:v>top-left</x:v>
      </x:c>
      <x:c r="O1041" s="28" t="str">
        <x:v>PDF points</x:v>
      </x:c>
    </x:row>
    <x:row r="1042" ht="22" customHeight="1">
      <x:c r="A1042" s="28" t="str">
        <x:v>ANC-SLE-046-01-R22</x:v>
      </x:c>
      <x:c r="B1042" s="28" t="str">
        <x:v>ANC-SLE-046-01</x:v>
      </x:c>
      <x:c r="C1042" s="28" t="n">
        <x:v>18</x:v>
      </x:c>
      <x:c r="D1042" s="47" t="n">
        <x:v>526.924</x:v>
      </x:c>
      <x:c r="E1042" s="47" t="n">
        <x:v>147.667</x:v>
      </x:c>
      <x:c r="F1042" s="47" t="n">
        <x:v>542.042</x:v>
      </x:c>
      <x:c r="G1042" s="47" t="n">
        <x:v>157.275</x:v>
      </x:c>
      <x:c r="H1042" s="50" t="n">
        <x:v>0.625771</x:v>
      </x:c>
      <x:c r="I1042" s="50" t="n">
        <x:v>0.248047</x:v>
      </x:c>
      <x:c r="J1042" s="50" t="n">
        <x:v>0.643724</x:v>
      </x:c>
      <x:c r="K1042" s="50" t="n">
        <x:v>0.264186</x:v>
      </x:c>
      <x:c r="L1042" s="47" t="n">
        <x:v>842.04</x:v>
      </x:c>
      <x:c r="M1042" s="47" t="n">
        <x:v>595.32</x:v>
      </x:c>
      <x:c r="N1042" s="28" t="str">
        <x:v>top-left</x:v>
      </x:c>
      <x:c r="O1042" s="28" t="str">
        <x:v>PDF points</x:v>
      </x:c>
    </x:row>
    <x:row r="1043" ht="22" customHeight="1">
      <x:c r="A1043" s="28" t="str">
        <x:v>ANC-SLE-046-01-R23</x:v>
      </x:c>
      <x:c r="B1043" s="28" t="str">
        <x:v>ANC-SLE-046-01</x:v>
      </x:c>
      <x:c r="C1043" s="28" t="n">
        <x:v>18</x:v>
      </x:c>
      <x:c r="D1043" s="47" t="n">
        <x:v>576.482</x:v>
      </x:c>
      <x:c r="E1043" s="47" t="n">
        <x:v>147.667</x:v>
      </x:c>
      <x:c r="F1043" s="47" t="n">
        <x:v>591.6</x:v>
      </x:c>
      <x:c r="G1043" s="47" t="n">
        <x:v>157.275</x:v>
      </x:c>
      <x:c r="H1043" s="50" t="n">
        <x:v>0.684626</x:v>
      </x:c>
      <x:c r="I1043" s="50" t="n">
        <x:v>0.248047</x:v>
      </x:c>
      <x:c r="J1043" s="50" t="n">
        <x:v>0.70258</x:v>
      </x:c>
      <x:c r="K1043" s="50" t="n">
        <x:v>0.264186</x:v>
      </x:c>
      <x:c r="L1043" s="47" t="n">
        <x:v>842.04</x:v>
      </x:c>
      <x:c r="M1043" s="47" t="n">
        <x:v>595.32</x:v>
      </x:c>
      <x:c r="N1043" s="28" t="str">
        <x:v>top-left</x:v>
      </x:c>
      <x:c r="O1043" s="28" t="str">
        <x:v>PDF points</x:v>
      </x:c>
    </x:row>
    <x:row r="1044" ht="22" customHeight="1">
      <x:c r="A1044" s="28" t="str">
        <x:v>ANC-SLE-046-01-R24</x:v>
      </x:c>
      <x:c r="B1044" s="28" t="str">
        <x:v>ANC-SLE-046-01</x:v>
      </x:c>
      <x:c r="C1044" s="28" t="n">
        <x:v>18</x:v>
      </x:c>
      <x:c r="D1044" s="47" t="n">
        <x:v>616.92</x:v>
      </x:c>
      <x:c r="E1044" s="47" t="n">
        <x:v>147.667</x:v>
      </x:c>
      <x:c r="F1044" s="47" t="n">
        <x:v>632.038</x:v>
      </x:c>
      <x:c r="G1044" s="47" t="n">
        <x:v>157.275</x:v>
      </x:c>
      <x:c r="H1044" s="50" t="n">
        <x:v>0.732649</x:v>
      </x:c>
      <x:c r="I1044" s="50" t="n">
        <x:v>0.248047</x:v>
      </x:c>
      <x:c r="J1044" s="50" t="n">
        <x:v>0.750603</x:v>
      </x:c>
      <x:c r="K1044" s="50" t="n">
        <x:v>0.264186</x:v>
      </x:c>
      <x:c r="L1044" s="47" t="n">
        <x:v>842.04</x:v>
      </x:c>
      <x:c r="M1044" s="47" t="n">
        <x:v>595.32</x:v>
      </x:c>
      <x:c r="N1044" s="28" t="str">
        <x:v>top-left</x:v>
      </x:c>
      <x:c r="O1044" s="28" t="str">
        <x:v>PDF points</x:v>
      </x:c>
    </x:row>
    <x:row r="1045" ht="22" customHeight="1">
      <x:c r="A1045" s="28" t="str">
        <x:v>ANC-SLE-046-01-R25</x:v>
      </x:c>
      <x:c r="B1045" s="28" t="str">
        <x:v>ANC-SLE-046-01</x:v>
      </x:c>
      <x:c r="C1045" s="28" t="n">
        <x:v>18</x:v>
      </x:c>
      <x:c r="D1045" s="47" t="n">
        <x:v>656.52</x:v>
      </x:c>
      <x:c r="E1045" s="47" t="n">
        <x:v>147.667</x:v>
      </x:c>
      <x:c r="F1045" s="47" t="n">
        <x:v>671.638</x:v>
      </x:c>
      <x:c r="G1045" s="47" t="n">
        <x:v>157.275</x:v>
      </x:c>
      <x:c r="H1045" s="50" t="n">
        <x:v>0.779678</x:v>
      </x:c>
      <x:c r="I1045" s="50" t="n">
        <x:v>0.248047</x:v>
      </x:c>
      <x:c r="J1045" s="50" t="n">
        <x:v>0.797632</x:v>
      </x:c>
      <x:c r="K1045" s="50" t="n">
        <x:v>0.264186</x:v>
      </x:c>
      <x:c r="L1045" s="47" t="n">
        <x:v>842.04</x:v>
      </x:c>
      <x:c r="M1045" s="47" t="n">
        <x:v>595.32</x:v>
      </x:c>
      <x:c r="N1045" s="28" t="str">
        <x:v>top-left</x:v>
      </x:c>
      <x:c r="O1045" s="28" t="str">
        <x:v>PDF points</x:v>
      </x:c>
    </x:row>
    <x:row r="1046" ht="22" customHeight="1">
      <x:c r="A1046" s="28" t="str">
        <x:v>ANC-SLE-046-01-R26</x:v>
      </x:c>
      <x:c r="B1046" s="28" t="str">
        <x:v>ANC-SLE-046-01</x:v>
      </x:c>
      <x:c r="C1046" s="28" t="n">
        <x:v>18</x:v>
      </x:c>
      <x:c r="D1046" s="47" t="n">
        <x:v>696</x:v>
      </x:c>
      <x:c r="E1046" s="47" t="n">
        <x:v>147.667</x:v>
      </x:c>
      <x:c r="F1046" s="47" t="n">
        <x:v>711.118</x:v>
      </x:c>
      <x:c r="G1046" s="47" t="n">
        <x:v>157.275</x:v>
      </x:c>
      <x:c r="H1046" s="50" t="n">
        <x:v>0.826564</x:v>
      </x:c>
      <x:c r="I1046" s="50" t="n">
        <x:v>0.248047</x:v>
      </x:c>
      <x:c r="J1046" s="50" t="n">
        <x:v>0.844518</x:v>
      </x:c>
      <x:c r="K1046" s="50" t="n">
        <x:v>0.264186</x:v>
      </x:c>
      <x:c r="L1046" s="47" t="n">
        <x:v>842.04</x:v>
      </x:c>
      <x:c r="M1046" s="47" t="n">
        <x:v>595.32</x:v>
      </x:c>
      <x:c r="N1046" s="28" t="str">
        <x:v>top-left</x:v>
      </x:c>
      <x:c r="O1046" s="28" t="str">
        <x:v>PDF points</x:v>
      </x:c>
    </x:row>
    <x:row r="1047" ht="22" customHeight="1">
      <x:c r="A1047" s="28" t="str">
        <x:v>ANC-SLE-046-01-R27</x:v>
      </x:c>
      <x:c r="B1047" s="28" t="str">
        <x:v>ANC-SLE-046-01</x:v>
      </x:c>
      <x:c r="C1047" s="28" t="n">
        <x:v>18</x:v>
      </x:c>
      <x:c r="D1047" s="47" t="n">
        <x:v>731.88</x:v>
      </x:c>
      <x:c r="E1047" s="47" t="n">
        <x:v>147.667</x:v>
      </x:c>
      <x:c r="F1047" s="47" t="n">
        <x:v>746.998</x:v>
      </x:c>
      <x:c r="G1047" s="47" t="n">
        <x:v>157.275</x:v>
      </x:c>
      <x:c r="H1047" s="50" t="n">
        <x:v>0.869175</x:v>
      </x:c>
      <x:c r="I1047" s="50" t="n">
        <x:v>0.248047</x:v>
      </x:c>
      <x:c r="J1047" s="50" t="n">
        <x:v>0.887129</x:v>
      </x:c>
      <x:c r="K1047" s="50" t="n">
        <x:v>0.264186</x:v>
      </x:c>
      <x:c r="L1047" s="47" t="n">
        <x:v>842.04</x:v>
      </x:c>
      <x:c r="M1047" s="47" t="n">
        <x:v>595.32</x:v>
      </x:c>
      <x:c r="N1047" s="28" t="str">
        <x:v>top-left</x:v>
      </x:c>
      <x:c r="O1047" s="28" t="str">
        <x:v>PDF points</x:v>
      </x:c>
    </x:row>
    <x:row r="1048" ht="22" customHeight="1">
      <x:c r="A1048" s="28" t="str">
        <x:v>ANC-SLE-046-01-R28</x:v>
      </x:c>
      <x:c r="B1048" s="28" t="str">
        <x:v>ANC-SLE-046-01</x:v>
      </x:c>
      <x:c r="C1048" s="28" t="n">
        <x:v>18</x:v>
      </x:c>
      <x:c r="D1048" s="47" t="n">
        <x:v>768.004</x:v>
      </x:c>
      <x:c r="E1048" s="47" t="n">
        <x:v>147.667</x:v>
      </x:c>
      <x:c r="F1048" s="47" t="n">
        <x:v>783.121</x:v>
      </x:c>
      <x:c r="G1048" s="47" t="n">
        <x:v>157.275</x:v>
      </x:c>
      <x:c r="H1048" s="50" t="n">
        <x:v>0.912075</x:v>
      </x:c>
      <x:c r="I1048" s="50" t="n">
        <x:v>0.248047</x:v>
      </x:c>
      <x:c r="J1048" s="50" t="n">
        <x:v>0.930029</x:v>
      </x:c>
      <x:c r="K1048" s="50" t="n">
        <x:v>0.264186</x:v>
      </x:c>
      <x:c r="L1048" s="47" t="n">
        <x:v>842.04</x:v>
      </x:c>
      <x:c r="M1048" s="47" t="n">
        <x:v>595.32</x:v>
      </x:c>
      <x:c r="N1048" s="28" t="str">
        <x:v>top-left</x:v>
      </x:c>
      <x:c r="O1048" s="28" t="str">
        <x:v>PDF points</x:v>
      </x:c>
    </x:row>
    <x:row r="1049" ht="22" customHeight="1">
      <x:c r="A1049" s="28" t="str">
        <x:v>ANC-SLE-046-01-R29</x:v>
      </x:c>
      <x:c r="B1049" s="28" t="str">
        <x:v>ANC-SLE-046-01</x:v>
      </x:c>
      <x:c r="C1049" s="28" t="n">
        <x:v>18</x:v>
      </x:c>
      <x:c r="D1049" s="47" t="n">
        <x:v>217.32</x:v>
      </x:c>
      <x:c r="E1049" s="47" t="n">
        <x:v>163.747</x:v>
      </x:c>
      <x:c r="F1049" s="47" t="n">
        <x:v>374.94</x:v>
      </x:c>
      <x:c r="G1049" s="47" t="n">
        <x:v>173.355</x:v>
      </x:c>
      <x:c r="H1049" s="50" t="n">
        <x:v>0.258088</x:v>
      </x:c>
      <x:c r="I1049" s="50" t="n">
        <x:v>0.275058</x:v>
      </x:c>
      <x:c r="J1049" s="50" t="n">
        <x:v>0.445276</x:v>
      </x:c>
      <x:c r="K1049" s="50" t="n">
        <x:v>0.291197</x:v>
      </x:c>
      <x:c r="L1049" s="47" t="n">
        <x:v>842.04</x:v>
      </x:c>
      <x:c r="M1049" s="47" t="n">
        <x:v>595.32</x:v>
      </x:c>
      <x:c r="N1049" s="28" t="str">
        <x:v>top-left</x:v>
      </x:c>
      <x:c r="O1049" s="28" t="str">
        <x:v>PDF points</x:v>
      </x:c>
    </x:row>
    <x:row r="1050" ht="22" customHeight="1">
      <x:c r="A1050" s="28" t="str">
        <x:v>ANC-SLE-046-01-R30</x:v>
      </x:c>
      <x:c r="B1050" s="28" t="str">
        <x:v>ANC-SLE-046-01</x:v>
      </x:c>
      <x:c r="C1050" s="28" t="n">
        <x:v>18</x:v>
      </x:c>
      <x:c r="D1050" s="47" t="n">
        <x:v>476.28</x:v>
      </x:c>
      <x:c r="E1050" s="47" t="n">
        <x:v>166.507</x:v>
      </x:c>
      <x:c r="F1050" s="47" t="n">
        <x:v>491.398</x:v>
      </x:c>
      <x:c r="G1050" s="47" t="n">
        <x:v>176.115</x:v>
      </x:c>
      <x:c r="H1050" s="50" t="n">
        <x:v>0.565626</x:v>
      </x:c>
      <x:c r="I1050" s="50" t="n">
        <x:v>0.279694</x:v>
      </x:c>
      <x:c r="J1050" s="50" t="n">
        <x:v>0.58358</x:v>
      </x:c>
      <x:c r="K1050" s="50" t="n">
        <x:v>0.295833</x:v>
      </x:c>
      <x:c r="L1050" s="47" t="n">
        <x:v>842.04</x:v>
      </x:c>
      <x:c r="M1050" s="47" t="n">
        <x:v>595.32</x:v>
      </x:c>
      <x:c r="N1050" s="28" t="str">
        <x:v>top-left</x:v>
      </x:c>
      <x:c r="O1050" s="28" t="str">
        <x:v>PDF points</x:v>
      </x:c>
    </x:row>
    <x:row r="1051" ht="22" customHeight="1">
      <x:c r="A1051" s="28" t="str">
        <x:v>ANC-SLE-046-01-R31</x:v>
      </x:c>
      <x:c r="B1051" s="28" t="str">
        <x:v>ANC-SLE-046-01</x:v>
      </x:c>
      <x:c r="C1051" s="28" t="n">
        <x:v>18</x:v>
      </x:c>
      <x:c r="D1051" s="47" t="n">
        <x:v>526.924</x:v>
      </x:c>
      <x:c r="E1051" s="47" t="n">
        <x:v>166.507</x:v>
      </x:c>
      <x:c r="F1051" s="47" t="n">
        <x:v>542.042</x:v>
      </x:c>
      <x:c r="G1051" s="47" t="n">
        <x:v>176.115</x:v>
      </x:c>
      <x:c r="H1051" s="50" t="n">
        <x:v>0.625771</x:v>
      </x:c>
      <x:c r="I1051" s="50" t="n">
        <x:v>0.279694</x:v>
      </x:c>
      <x:c r="J1051" s="50" t="n">
        <x:v>0.643724</x:v>
      </x:c>
      <x:c r="K1051" s="50" t="n">
        <x:v>0.295833</x:v>
      </x:c>
      <x:c r="L1051" s="47" t="n">
        <x:v>842.04</x:v>
      </x:c>
      <x:c r="M1051" s="47" t="n">
        <x:v>595.32</x:v>
      </x:c>
      <x:c r="N1051" s="28" t="str">
        <x:v>top-left</x:v>
      </x:c>
      <x:c r="O1051" s="28" t="str">
        <x:v>PDF points</x:v>
      </x:c>
    </x:row>
    <x:row r="1052" ht="22" customHeight="1">
      <x:c r="A1052" s="28" t="str">
        <x:v>ANC-SLE-046-01-R32</x:v>
      </x:c>
      <x:c r="B1052" s="28" t="str">
        <x:v>ANC-SLE-046-01</x:v>
      </x:c>
      <x:c r="C1052" s="28" t="n">
        <x:v>18</x:v>
      </x:c>
      <x:c r="D1052" s="47" t="n">
        <x:v>576.482</x:v>
      </x:c>
      <x:c r="E1052" s="47" t="n">
        <x:v>166.507</x:v>
      </x:c>
      <x:c r="F1052" s="47" t="n">
        <x:v>591.6</x:v>
      </x:c>
      <x:c r="G1052" s="47" t="n">
        <x:v>176.115</x:v>
      </x:c>
      <x:c r="H1052" s="50" t="n">
        <x:v>0.684626</x:v>
      </x:c>
      <x:c r="I1052" s="50" t="n">
        <x:v>0.279694</x:v>
      </x:c>
      <x:c r="J1052" s="50" t="n">
        <x:v>0.70258</x:v>
      </x:c>
      <x:c r="K1052" s="50" t="n">
        <x:v>0.295833</x:v>
      </x:c>
      <x:c r="L1052" s="47" t="n">
        <x:v>842.04</x:v>
      </x:c>
      <x:c r="M1052" s="47" t="n">
        <x:v>595.32</x:v>
      </x:c>
      <x:c r="N1052" s="28" t="str">
        <x:v>top-left</x:v>
      </x:c>
      <x:c r="O1052" s="28" t="str">
        <x:v>PDF points</x:v>
      </x:c>
    </x:row>
    <x:row r="1053" ht="22" customHeight="1">
      <x:c r="A1053" s="28" t="str">
        <x:v>ANC-SLE-046-01-R33</x:v>
      </x:c>
      <x:c r="B1053" s="28" t="str">
        <x:v>ANC-SLE-046-01</x:v>
      </x:c>
      <x:c r="C1053" s="28" t="n">
        <x:v>18</x:v>
      </x:c>
      <x:c r="D1053" s="47" t="n">
        <x:v>616.92</x:v>
      </x:c>
      <x:c r="E1053" s="47" t="n">
        <x:v>166.507</x:v>
      </x:c>
      <x:c r="F1053" s="47" t="n">
        <x:v>632.038</x:v>
      </x:c>
      <x:c r="G1053" s="47" t="n">
        <x:v>176.115</x:v>
      </x:c>
      <x:c r="H1053" s="50" t="n">
        <x:v>0.732649</x:v>
      </x:c>
      <x:c r="I1053" s="50" t="n">
        <x:v>0.279694</x:v>
      </x:c>
      <x:c r="J1053" s="50" t="n">
        <x:v>0.750603</x:v>
      </x:c>
      <x:c r="K1053" s="50" t="n">
        <x:v>0.295833</x:v>
      </x:c>
      <x:c r="L1053" s="47" t="n">
        <x:v>842.04</x:v>
      </x:c>
      <x:c r="M1053" s="47" t="n">
        <x:v>595.32</x:v>
      </x:c>
      <x:c r="N1053" s="28" t="str">
        <x:v>top-left</x:v>
      </x:c>
      <x:c r="O1053" s="28" t="str">
        <x:v>PDF points</x:v>
      </x:c>
    </x:row>
    <x:row r="1054" ht="22" customHeight="1">
      <x:c r="A1054" s="28" t="str">
        <x:v>ANC-SLE-046-01-R34</x:v>
      </x:c>
      <x:c r="B1054" s="28" t="str">
        <x:v>ANC-SLE-046-01</x:v>
      </x:c>
      <x:c r="C1054" s="28" t="n">
        <x:v>18</x:v>
      </x:c>
      <x:c r="D1054" s="47" t="n">
        <x:v>656.52</x:v>
      </x:c>
      <x:c r="E1054" s="47" t="n">
        <x:v>166.507</x:v>
      </x:c>
      <x:c r="F1054" s="47" t="n">
        <x:v>671.638</x:v>
      </x:c>
      <x:c r="G1054" s="47" t="n">
        <x:v>176.115</x:v>
      </x:c>
      <x:c r="H1054" s="50" t="n">
        <x:v>0.779678</x:v>
      </x:c>
      <x:c r="I1054" s="50" t="n">
        <x:v>0.279694</x:v>
      </x:c>
      <x:c r="J1054" s="50" t="n">
        <x:v>0.797632</x:v>
      </x:c>
      <x:c r="K1054" s="50" t="n">
        <x:v>0.295833</x:v>
      </x:c>
      <x:c r="L1054" s="47" t="n">
        <x:v>842.04</x:v>
      </x:c>
      <x:c r="M1054" s="47" t="n">
        <x:v>595.32</x:v>
      </x:c>
      <x:c r="N1054" s="28" t="str">
        <x:v>top-left</x:v>
      </x:c>
      <x:c r="O1054" s="28" t="str">
        <x:v>PDF points</x:v>
      </x:c>
    </x:row>
    <x:row r="1055" ht="22" customHeight="1">
      <x:c r="A1055" s="28" t="str">
        <x:v>ANC-SLE-046-01-R35</x:v>
      </x:c>
      <x:c r="B1055" s="28" t="str">
        <x:v>ANC-SLE-046-01</x:v>
      </x:c>
      <x:c r="C1055" s="28" t="n">
        <x:v>18</x:v>
      </x:c>
      <x:c r="D1055" s="47" t="n">
        <x:v>696</x:v>
      </x:c>
      <x:c r="E1055" s="47" t="n">
        <x:v>166.507</x:v>
      </x:c>
      <x:c r="F1055" s="47" t="n">
        <x:v>711.118</x:v>
      </x:c>
      <x:c r="G1055" s="47" t="n">
        <x:v>176.115</x:v>
      </x:c>
      <x:c r="H1055" s="50" t="n">
        <x:v>0.826564</x:v>
      </x:c>
      <x:c r="I1055" s="50" t="n">
        <x:v>0.279694</x:v>
      </x:c>
      <x:c r="J1055" s="50" t="n">
        <x:v>0.844518</x:v>
      </x:c>
      <x:c r="K1055" s="50" t="n">
        <x:v>0.295833</x:v>
      </x:c>
      <x:c r="L1055" s="47" t="n">
        <x:v>842.04</x:v>
      </x:c>
      <x:c r="M1055" s="47" t="n">
        <x:v>595.32</x:v>
      </x:c>
      <x:c r="N1055" s="28" t="str">
        <x:v>top-left</x:v>
      </x:c>
      <x:c r="O1055" s="28" t="str">
        <x:v>PDF points</x:v>
      </x:c>
    </x:row>
    <x:row r="1056" ht="22" customHeight="1">
      <x:c r="A1056" s="28" t="str">
        <x:v>ANC-SLE-046-01-R36</x:v>
      </x:c>
      <x:c r="B1056" s="28" t="str">
        <x:v>ANC-SLE-046-01</x:v>
      </x:c>
      <x:c r="C1056" s="28" t="n">
        <x:v>18</x:v>
      </x:c>
      <x:c r="D1056" s="47" t="n">
        <x:v>731.88</x:v>
      </x:c>
      <x:c r="E1056" s="47" t="n">
        <x:v>166.507</x:v>
      </x:c>
      <x:c r="F1056" s="47" t="n">
        <x:v>746.998</x:v>
      </x:c>
      <x:c r="G1056" s="47" t="n">
        <x:v>176.115</x:v>
      </x:c>
      <x:c r="H1056" s="50" t="n">
        <x:v>0.869175</x:v>
      </x:c>
      <x:c r="I1056" s="50" t="n">
        <x:v>0.279694</x:v>
      </x:c>
      <x:c r="J1056" s="50" t="n">
        <x:v>0.887129</x:v>
      </x:c>
      <x:c r="K1056" s="50" t="n">
        <x:v>0.295833</x:v>
      </x:c>
      <x:c r="L1056" s="47" t="n">
        <x:v>842.04</x:v>
      </x:c>
      <x:c r="M1056" s="47" t="n">
        <x:v>595.32</x:v>
      </x:c>
      <x:c r="N1056" s="28" t="str">
        <x:v>top-left</x:v>
      </x:c>
      <x:c r="O1056" s="28" t="str">
        <x:v>PDF points</x:v>
      </x:c>
    </x:row>
    <x:row r="1057" ht="22" customHeight="1">
      <x:c r="A1057" s="28" t="str">
        <x:v>ANC-SLE-046-01-R37</x:v>
      </x:c>
      <x:c r="B1057" s="28" t="str">
        <x:v>ANC-SLE-046-01</x:v>
      </x:c>
      <x:c r="C1057" s="28" t="n">
        <x:v>18</x:v>
      </x:c>
      <x:c r="D1057" s="47" t="n">
        <x:v>768</x:v>
      </x:c>
      <x:c r="E1057" s="47" t="n">
        <x:v>166.507</x:v>
      </x:c>
      <x:c r="F1057" s="47" t="n">
        <x:v>783.118</x:v>
      </x:c>
      <x:c r="G1057" s="47" t="n">
        <x:v>176.115</x:v>
      </x:c>
      <x:c r="H1057" s="50" t="n">
        <x:v>0.912071</x:v>
      </x:c>
      <x:c r="I1057" s="50" t="n">
        <x:v>0.279694</x:v>
      </x:c>
      <x:c r="J1057" s="50" t="n">
        <x:v>0.930024</x:v>
      </x:c>
      <x:c r="K1057" s="50" t="n">
        <x:v>0.295833</x:v>
      </x:c>
      <x:c r="L1057" s="47" t="n">
        <x:v>842.04</x:v>
      </x:c>
      <x:c r="M1057" s="47" t="n">
        <x:v>595.32</x:v>
      </x:c>
      <x:c r="N1057" s="28" t="str">
        <x:v>top-left</x:v>
      </x:c>
      <x:c r="O1057" s="28" t="str">
        <x:v>PDF points</x:v>
      </x:c>
    </x:row>
    <x:row r="1058" ht="22" customHeight="1">
      <x:c r="A1058" s="28" t="str">
        <x:v>ANC-SLE-046-01-R38</x:v>
      </x:c>
      <x:c r="B1058" s="28" t="str">
        <x:v>ANC-SLE-046-01</x:v>
      </x:c>
      <x:c r="C1058" s="28" t="n">
        <x:v>18</x:v>
      </x:c>
      <x:c r="D1058" s="47" t="n">
        <x:v>57</x:v>
      </x:c>
      <x:c r="E1058" s="47" t="n">
        <x:v>178.507</x:v>
      </x:c>
      <x:c r="F1058" s="47" t="n">
        <x:v>106.151</x:v>
      </x:c>
      <x:c r="G1058" s="47" t="n">
        <x:v>187.753</x:v>
      </x:c>
      <x:c r="H1058" s="50" t="n">
        <x:v>0.067693</x:v>
      </x:c>
      <x:c r="I1058" s="50" t="n">
        <x:v>0.299851</x:v>
      </x:c>
      <x:c r="J1058" s="50" t="n">
        <x:v>0.126064</x:v>
      </x:c>
      <x:c r="K1058" s="50" t="n">
        <x:v>0.315382</x:v>
      </x:c>
      <x:c r="L1058" s="47" t="n">
        <x:v>842.04</x:v>
      </x:c>
      <x:c r="M1058" s="47" t="n">
        <x:v>595.32</x:v>
      </x:c>
      <x:c r="N1058" s="28" t="str">
        <x:v>top-left</x:v>
      </x:c>
      <x:c r="O1058" s="28" t="str">
        <x:v>PDF points</x:v>
      </x:c>
    </x:row>
    <x:row r="1059" ht="22" customHeight="1">
      <x:c r="A1059" s="28" t="str">
        <x:v>ANC-SLE-046-01-R39</x:v>
      </x:c>
      <x:c r="B1059" s="28" t="str">
        <x:v>ANC-SLE-046-01</x:v>
      </x:c>
      <x:c r="C1059" s="28" t="n">
        <x:v>18</x:v>
      </x:c>
      <x:c r="D1059" s="47" t="n">
        <x:v>122.88</x:v>
      </x:c>
      <x:c r="E1059" s="47" t="n">
        <x:v>178.507</x:v>
      </x:c>
      <x:c r="F1059" s="47" t="n">
        <x:v>199.601</x:v>
      </x:c>
      <x:c r="G1059" s="47" t="n">
        <x:v>188.115</x:v>
      </x:c>
      <x:c r="H1059" s="50" t="n">
        <x:v>0.145931</x:v>
      </x:c>
      <x:c r="I1059" s="50" t="n">
        <x:v>0.299851</x:v>
      </x:c>
      <x:c r="J1059" s="50" t="n">
        <x:v>0.237045</x:v>
      </x:c>
      <x:c r="K1059" s="50" t="n">
        <x:v>0.31599</x:v>
      </x:c>
      <x:c r="L1059" s="47" t="n">
        <x:v>842.04</x:v>
      </x:c>
      <x:c r="M1059" s="47" t="n">
        <x:v>595.32</x:v>
      </x:c>
      <x:c r="N1059" s="28" t="str">
        <x:v>top-left</x:v>
      </x:c>
      <x:c r="O1059" s="28" t="str">
        <x:v>PDF points</x:v>
      </x:c>
    </x:row>
    <x:row r="1060" ht="22" customHeight="1">
      <x:c r="A1060" s="28" t="str">
        <x:v>ANC-SLE-046-01-R40</x:v>
      </x:c>
      <x:c r="B1060" s="28" t="str">
        <x:v>ANC-SLE-046-01</x:v>
      </x:c>
      <x:c r="C1060" s="28" t="n">
        <x:v>18</x:v>
      </x:c>
      <x:c r="D1060" s="47" t="n">
        <x:v>217.32</x:v>
      </x:c>
      <x:c r="E1060" s="47" t="n">
        <x:v>178.507</x:v>
      </x:c>
      <x:c r="F1060" s="47" t="n">
        <x:v>244.255</x:v>
      </x:c>
      <x:c r="G1060" s="47" t="n">
        <x:v>188.115</x:v>
      </x:c>
      <x:c r="H1060" s="50" t="n">
        <x:v>0.258088</x:v>
      </x:c>
      <x:c r="I1060" s="50" t="n">
        <x:v>0.299851</x:v>
      </x:c>
      <x:c r="J1060" s="50" t="n">
        <x:v>0.290075</x:v>
      </x:c>
      <x:c r="K1060" s="50" t="n">
        <x:v>0.31599</x:v>
      </x:c>
      <x:c r="L1060" s="47" t="n">
        <x:v>842.04</x:v>
      </x:c>
      <x:c r="M1060" s="47" t="n">
        <x:v>595.32</x:v>
      </x:c>
      <x:c r="N1060" s="28" t="str">
        <x:v>top-left</x:v>
      </x:c>
      <x:c r="O1060" s="28" t="str">
        <x:v>PDF points</x:v>
      </x:c>
    </x:row>
    <x:row r="1061" ht="22" customHeight="1">
      <x:c r="A1061" s="28" t="str">
        <x:v>ANC-SLE-047-01-R01</x:v>
      </x:c>
      <x:c r="B1061" s="28" t="str">
        <x:v>ANC-SLE-047-01</x:v>
      </x:c>
      <x:c r="C1061" s="28" t="n">
        <x:v>18</x:v>
      </x:c>
      <x:c r="D1061" s="47" t="n">
        <x:v>51.12</x:v>
      </x:c>
      <x:c r="E1061" s="47" t="n">
        <x:v>76.707</x:v>
      </x:c>
      <x:c r="F1061" s="47" t="n">
        <x:v>105.195</x:v>
      </x:c>
      <x:c r="G1061" s="47" t="n">
        <x:v>87.057</x:v>
      </x:c>
      <x:c r="H1061" s="50" t="n">
        <x:v>0.06071</x:v>
      </x:c>
      <x:c r="I1061" s="50" t="n">
        <x:v>0.12885</x:v>
      </x:c>
      <x:c r="J1061" s="50" t="n">
        <x:v>0.124928</x:v>
      </x:c>
      <x:c r="K1061" s="50" t="n">
        <x:v>0.146236</x:v>
      </x:c>
      <x:c r="L1061" s="47" t="n">
        <x:v>842.04</x:v>
      </x:c>
      <x:c r="M1061" s="47" t="n">
        <x:v>595.32</x:v>
      </x:c>
      <x:c r="N1061" s="28" t="str">
        <x:v>top-left</x:v>
      </x:c>
      <x:c r="O1061" s="28" t="str">
        <x:v>PDF points</x:v>
      </x:c>
    </x:row>
    <x:row r="1062" ht="22" customHeight="1">
      <x:c r="A1062" s="28" t="str">
        <x:v>ANC-SLE-047-01-R02</x:v>
      </x:c>
      <x:c r="B1062" s="28" t="str">
        <x:v>ANC-SLE-047-01</x:v>
      </x:c>
      <x:c r="C1062" s="28" t="n">
        <x:v>18</x:v>
      </x:c>
      <x:c r="D1062" s="47" t="n">
        <x:v>122.88</x:v>
      </x:c>
      <x:c r="E1062" s="47" t="n">
        <x:v>76.707</x:v>
      </x:c>
      <x:c r="F1062" s="47" t="n">
        <x:v>190.181</x:v>
      </x:c>
      <x:c r="G1062" s="47" t="n">
        <x:v>87.057</x:v>
      </x:c>
      <x:c r="H1062" s="50" t="n">
        <x:v>0.145931</x:v>
      </x:c>
      <x:c r="I1062" s="50" t="n">
        <x:v>0.12885</x:v>
      </x:c>
      <x:c r="J1062" s="50" t="n">
        <x:v>0.225858</x:v>
      </x:c>
      <x:c r="K1062" s="50" t="n">
        <x:v>0.146236</x:v>
      </x:c>
      <x:c r="L1062" s="47" t="n">
        <x:v>842.04</x:v>
      </x:c>
      <x:c r="M1062" s="47" t="n">
        <x:v>595.32</x:v>
      </x:c>
      <x:c r="N1062" s="28" t="str">
        <x:v>top-left</x:v>
      </x:c>
      <x:c r="O1062" s="28" t="str">
        <x:v>PDF points</x:v>
      </x:c>
    </x:row>
    <x:row r="1063" ht="22" customHeight="1">
      <x:c r="A1063" s="28" t="str">
        <x:v>ANC-SLE-047-01-R03</x:v>
      </x:c>
      <x:c r="B1063" s="28" t="str">
        <x:v>ANC-SLE-047-01</x:v>
      </x:c>
      <x:c r="C1063" s="28" t="n">
        <x:v>18</x:v>
      </x:c>
      <x:c r="D1063" s="47" t="n">
        <x:v>217.32</x:v>
      </x:c>
      <x:c r="E1063" s="47" t="n">
        <x:v>76.707</x:v>
      </x:c>
      <x:c r="F1063" s="47" t="n">
        <x:v>290.663</x:v>
      </x:c>
      <x:c r="G1063" s="47" t="n">
        <x:v>87.057</x:v>
      </x:c>
      <x:c r="H1063" s="50" t="n">
        <x:v>0.258088</x:v>
      </x:c>
      <x:c r="I1063" s="50" t="n">
        <x:v>0.12885</x:v>
      </x:c>
      <x:c r="J1063" s="50" t="n">
        <x:v>0.345189</x:v>
      </x:c>
      <x:c r="K1063" s="50" t="n">
        <x:v>0.146236</x:v>
      </x:c>
      <x:c r="L1063" s="47" t="n">
        <x:v>842.04</x:v>
      </x:c>
      <x:c r="M1063" s="47" t="n">
        <x:v>595.32</x:v>
      </x:c>
      <x:c r="N1063" s="28" t="str">
        <x:v>top-left</x:v>
      </x:c>
      <x:c r="O1063" s="28" t="str">
        <x:v>PDF points</x:v>
      </x:c>
    </x:row>
    <x:row r="1064" ht="22" customHeight="1">
      <x:c r="A1064" s="28" t="str">
        <x:v>ANC-SLE-047-01-R04</x:v>
      </x:c>
      <x:c r="B1064" s="28" t="str">
        <x:v>ANC-SLE-047-01</x:v>
      </x:c>
      <x:c r="C1064" s="28" t="n">
        <x:v>18</x:v>
      </x:c>
      <x:c r="D1064" s="47" t="n">
        <x:v>464.88</x:v>
      </x:c>
      <x:c r="E1064" s="47" t="n">
        <x:v>76.707</x:v>
      </x:c>
      <x:c r="F1064" s="47" t="n">
        <x:v>502.028</x:v>
      </x:c>
      <x:c r="G1064" s="47" t="n">
        <x:v>87.057</x:v>
      </x:c>
      <x:c r="H1064" s="50" t="n">
        <x:v>0.552088</x:v>
      </x:c>
      <x:c r="I1064" s="50" t="n">
        <x:v>0.12885</x:v>
      </x:c>
      <x:c r="J1064" s="50" t="n">
        <x:v>0.596205</x:v>
      </x:c>
      <x:c r="K1064" s="50" t="n">
        <x:v>0.146236</x:v>
      </x:c>
      <x:c r="L1064" s="47" t="n">
        <x:v>842.04</x:v>
      </x:c>
      <x:c r="M1064" s="47" t="n">
        <x:v>595.32</x:v>
      </x:c>
      <x:c r="N1064" s="28" t="str">
        <x:v>top-left</x:v>
      </x:c>
      <x:c r="O1064" s="28" t="str">
        <x:v>PDF points</x:v>
      </x:c>
    </x:row>
    <x:row r="1065" ht="22" customHeight="1">
      <x:c r="A1065" s="28" t="str">
        <x:v>ANC-SLE-047-01-R05</x:v>
      </x:c>
      <x:c r="B1065" s="28" t="str">
        <x:v>ANC-SLE-047-01</x:v>
      </x:c>
      <x:c r="C1065" s="28" t="n">
        <x:v>18</x:v>
      </x:c>
      <x:c r="D1065" s="47" t="n">
        <x:v>464.88</x:v>
      </x:c>
      <x:c r="E1065" s="47" t="n">
        <x:v>86.547</x:v>
      </x:c>
      <x:c r="F1065" s="47" t="n">
        <x:v>492.414</x:v>
      </x:c>
      <x:c r="G1065" s="47" t="n">
        <x:v>96.897</x:v>
      </x:c>
      <x:c r="H1065" s="50" t="n">
        <x:v>0.552088</x:v>
      </x:c>
      <x:c r="I1065" s="50" t="n">
        <x:v>0.145379</x:v>
      </x:c>
      <x:c r="J1065" s="50" t="n">
        <x:v>0.584787</x:v>
      </x:c>
      <x:c r="K1065" s="50" t="n">
        <x:v>0.162765</x:v>
      </x:c>
      <x:c r="L1065" s="47" t="n">
        <x:v>842.04</x:v>
      </x:c>
      <x:c r="M1065" s="47" t="n">
        <x:v>595.32</x:v>
      </x:c>
      <x:c r="N1065" s="28" t="str">
        <x:v>top-left</x:v>
      </x:c>
      <x:c r="O1065" s="28" t="str">
        <x:v>PDF points</x:v>
      </x:c>
    </x:row>
    <x:row r="1066" ht="22" customHeight="1">
      <x:c r="A1066" s="28" t="str">
        <x:v>ANC-SLE-047-01-R06</x:v>
      </x:c>
      <x:c r="B1066" s="28" t="str">
        <x:v>ANC-SLE-047-01</x:v>
      </x:c>
      <x:c r="C1066" s="28" t="n">
        <x:v>18</x:v>
      </x:c>
      <x:c r="D1066" s="47" t="n">
        <x:v>513.36</x:v>
      </x:c>
      <x:c r="E1066" s="47" t="n">
        <x:v>76.707</x:v>
      </x:c>
      <x:c r="F1066" s="47" t="n">
        <x:v>548.46</x:v>
      </x:c>
      <x:c r="G1066" s="47" t="n">
        <x:v>87.057</x:v>
      </x:c>
      <x:c r="H1066" s="50" t="n">
        <x:v>0.609662</x:v>
      </x:c>
      <x:c r="I1066" s="50" t="n">
        <x:v>0.12885</x:v>
      </x:c>
      <x:c r="J1066" s="50" t="n">
        <x:v>0.651347</x:v>
      </x:c>
      <x:c r="K1066" s="50" t="n">
        <x:v>0.146236</x:v>
      </x:c>
      <x:c r="L1066" s="47" t="n">
        <x:v>842.04</x:v>
      </x:c>
      <x:c r="M1066" s="47" t="n">
        <x:v>595.32</x:v>
      </x:c>
      <x:c r="N1066" s="28" t="str">
        <x:v>top-left</x:v>
      </x:c>
      <x:c r="O1066" s="28" t="str">
        <x:v>PDF points</x:v>
      </x:c>
    </x:row>
    <x:row r="1067" ht="22" customHeight="1">
      <x:c r="A1067" s="28" t="str">
        <x:v>ANC-SLE-047-01-R07</x:v>
      </x:c>
      <x:c r="B1067" s="28" t="str">
        <x:v>ANC-SLE-047-01</x:v>
      </x:c>
      <x:c r="C1067" s="28" t="n">
        <x:v>18</x:v>
      </x:c>
      <x:c r="D1067" s="47" t="n">
        <x:v>515.763</x:v>
      </x:c>
      <x:c r="E1067" s="47" t="n">
        <x:v>86.547</x:v>
      </x:c>
      <x:c r="F1067" s="47" t="n">
        <x:v>543.297</x:v>
      </x:c>
      <x:c r="G1067" s="47" t="n">
        <x:v>96.897</x:v>
      </x:c>
      <x:c r="H1067" s="50" t="n">
        <x:v>0.612516</x:v>
      </x:c>
      <x:c r="I1067" s="50" t="n">
        <x:v>0.145379</x:v>
      </x:c>
      <x:c r="J1067" s="50" t="n">
        <x:v>0.645215</x:v>
      </x:c>
      <x:c r="K1067" s="50" t="n">
        <x:v>0.162765</x:v>
      </x:c>
      <x:c r="L1067" s="47" t="n">
        <x:v>842.04</x:v>
      </x:c>
      <x:c r="M1067" s="47" t="n">
        <x:v>595.32</x:v>
      </x:c>
      <x:c r="N1067" s="28" t="str">
        <x:v>top-left</x:v>
      </x:c>
      <x:c r="O1067" s="28" t="str">
        <x:v>PDF points</x:v>
      </x:c>
    </x:row>
    <x:row r="1068" ht="22" customHeight="1">
      <x:c r="A1068" s="28" t="str">
        <x:v>ANC-SLE-047-01-R08</x:v>
      </x:c>
      <x:c r="B1068" s="28" t="str">
        <x:v>ANC-SLE-047-01</x:v>
      </x:c>
      <x:c r="C1068" s="28" t="n">
        <x:v>18</x:v>
      </x:c>
      <x:c r="D1068" s="47" t="n">
        <x:v>566.4</x:v>
      </x:c>
      <x:c r="E1068" s="47" t="n">
        <x:v>76.707</x:v>
      </x:c>
      <x:c r="F1068" s="47" t="n">
        <x:v>592.982</x:v>
      </x:c>
      <x:c r="G1068" s="47" t="n">
        <x:v>87.057</x:v>
      </x:c>
      <x:c r="H1068" s="50" t="n">
        <x:v>0.672652</x:v>
      </x:c>
      <x:c r="I1068" s="50" t="n">
        <x:v>0.12885</x:v>
      </x:c>
      <x:c r="J1068" s="50" t="n">
        <x:v>0.704221</x:v>
      </x:c>
      <x:c r="K1068" s="50" t="n">
        <x:v>0.146236</x:v>
      </x:c>
      <x:c r="L1068" s="47" t="n">
        <x:v>842.04</x:v>
      </x:c>
      <x:c r="M1068" s="47" t="n">
        <x:v>595.32</x:v>
      </x:c>
      <x:c r="N1068" s="28" t="str">
        <x:v>top-left</x:v>
      </x:c>
      <x:c r="O1068" s="28" t="str">
        <x:v>PDF points</x:v>
      </x:c>
    </x:row>
    <x:row r="1069" ht="22" customHeight="1">
      <x:c r="A1069" s="28" t="str">
        <x:v>ANC-SLE-047-01-R09</x:v>
      </x:c>
      <x:c r="B1069" s="28" t="str">
        <x:v>ANC-SLE-047-01</x:v>
      </x:c>
      <x:c r="C1069" s="28" t="n">
        <x:v>18</x:v>
      </x:c>
      <x:c r="D1069" s="47" t="n">
        <x:v>568.803</x:v>
      </x:c>
      <x:c r="E1069" s="47" t="n">
        <x:v>86.547</x:v>
      </x:c>
      <x:c r="F1069" s="47" t="n">
        <x:v>596.337</x:v>
      </x:c>
      <x:c r="G1069" s="47" t="n">
        <x:v>96.897</x:v>
      </x:c>
      <x:c r="H1069" s="50" t="n">
        <x:v>0.675506</x:v>
      </x:c>
      <x:c r="I1069" s="50" t="n">
        <x:v>0.145379</x:v>
      </x:c>
      <x:c r="J1069" s="50" t="n">
        <x:v>0.708205</x:v>
      </x:c>
      <x:c r="K1069" s="50" t="n">
        <x:v>0.162765</x:v>
      </x:c>
      <x:c r="L1069" s="47" t="n">
        <x:v>842.04</x:v>
      </x:c>
      <x:c r="M1069" s="47" t="n">
        <x:v>595.32</x:v>
      </x:c>
      <x:c r="N1069" s="28" t="str">
        <x:v>top-left</x:v>
      </x:c>
      <x:c r="O1069" s="28" t="str">
        <x:v>PDF points</x:v>
      </x:c>
    </x:row>
    <x:row r="1070" ht="22" customHeight="1">
      <x:c r="A1070" s="28" t="str">
        <x:v>ANC-SLE-047-01-R10</x:v>
      </x:c>
      <x:c r="B1070" s="28" t="str">
        <x:v>ANC-SLE-047-01</x:v>
      </x:c>
      <x:c r="C1070" s="28" t="n">
        <x:v>18</x:v>
      </x:c>
      <x:c r="D1070" s="47" t="n">
        <x:v>691.32</x:v>
      </x:c>
      <x:c r="E1070" s="47" t="n">
        <x:v>76.707</x:v>
      </x:c>
      <x:c r="F1070" s="47" t="n">
        <x:v>708.538</x:v>
      </x:c>
      <x:c r="G1070" s="47" t="n">
        <x:v>87.057</x:v>
      </x:c>
      <x:c r="H1070" s="50" t="n">
        <x:v>0.821006</x:v>
      </x:c>
      <x:c r="I1070" s="50" t="n">
        <x:v>0.12885</x:v>
      </x:c>
      <x:c r="J1070" s="50" t="n">
        <x:v>0.841454</x:v>
      </x:c>
      <x:c r="K1070" s="50" t="n">
        <x:v>0.146236</x:v>
      </x:c>
      <x:c r="L1070" s="47" t="n">
        <x:v>842.04</x:v>
      </x:c>
      <x:c r="M1070" s="47" t="n">
        <x:v>595.32</x:v>
      </x:c>
      <x:c r="N1070" s="28" t="str">
        <x:v>top-left</x:v>
      </x:c>
      <x:c r="O1070" s="28" t="str">
        <x:v>PDF points</x:v>
      </x:c>
    </x:row>
    <x:row r="1071" ht="22" customHeight="1">
      <x:c r="A1071" s="28" t="str">
        <x:v>ANC-SLE-047-01-R11</x:v>
      </x:c>
      <x:c r="B1071" s="28" t="str">
        <x:v>ANC-SLE-047-01</x:v>
      </x:c>
      <x:c r="C1071" s="28" t="n">
        <x:v>18</x:v>
      </x:c>
      <x:c r="D1071" s="47" t="n">
        <x:v>614.88</x:v>
      </x:c>
      <x:c r="E1071" s="47" t="n">
        <x:v>87.027</x:v>
      </x:c>
      <x:c r="F1071" s="47" t="n">
        <x:v>634.059</x:v>
      </x:c>
      <x:c r="G1071" s="47" t="n">
        <x:v>97.377</x:v>
      </x:c>
      <x:c r="H1071" s="50" t="n">
        <x:v>0.730227</x:v>
      </x:c>
      <x:c r="I1071" s="50" t="n">
        <x:v>0.146185</x:v>
      </x:c>
      <x:c r="J1071" s="50" t="n">
        <x:v>0.753004</x:v>
      </x:c>
      <x:c r="K1071" s="50" t="n">
        <x:v>0.163571</x:v>
      </x:c>
      <x:c r="L1071" s="47" t="n">
        <x:v>842.04</x:v>
      </x:c>
      <x:c r="M1071" s="47" t="n">
        <x:v>595.32</x:v>
      </x:c>
      <x:c r="N1071" s="28" t="str">
        <x:v>top-left</x:v>
      </x:c>
      <x:c r="O1071" s="28" t="str">
        <x:v>PDF points</x:v>
      </x:c>
    </x:row>
    <x:row r="1072" ht="22" customHeight="1">
      <x:c r="A1072" s="28" t="str">
        <x:v>ANC-SLE-047-01-R12</x:v>
      </x:c>
      <x:c r="B1072" s="28" t="str">
        <x:v>ANC-SLE-047-01</x:v>
      </x:c>
      <x:c r="C1072" s="28" t="n">
        <x:v>18</x:v>
      </x:c>
      <x:c r="D1072" s="47" t="n">
        <x:v>654.48</x:v>
      </x:c>
      <x:c r="E1072" s="47" t="n">
        <x:v>87.027</x:v>
      </x:c>
      <x:c r="F1072" s="47" t="n">
        <x:v>673.659</x:v>
      </x:c>
      <x:c r="G1072" s="47" t="n">
        <x:v>97.377</x:v>
      </x:c>
      <x:c r="H1072" s="50" t="n">
        <x:v>0.777255</x:v>
      </x:c>
      <x:c r="I1072" s="50" t="n">
        <x:v>0.146185</x:v>
      </x:c>
      <x:c r="J1072" s="50" t="n">
        <x:v>0.800032</x:v>
      </x:c>
      <x:c r="K1072" s="50" t="n">
        <x:v>0.163571</x:v>
      </x:c>
      <x:c r="L1072" s="47" t="n">
        <x:v>842.04</x:v>
      </x:c>
      <x:c r="M1072" s="47" t="n">
        <x:v>595.32</x:v>
      </x:c>
      <x:c r="N1072" s="28" t="str">
        <x:v>top-left</x:v>
      </x:c>
      <x:c r="O1072" s="28" t="str">
        <x:v>PDF points</x:v>
      </x:c>
    </x:row>
    <x:row r="1073" ht="22" customHeight="1">
      <x:c r="A1073" s="28" t="str">
        <x:v>ANC-SLE-047-01-R13</x:v>
      </x:c>
      <x:c r="B1073" s="28" t="str">
        <x:v>ANC-SLE-047-01</x:v>
      </x:c>
      <x:c r="C1073" s="28" t="n">
        <x:v>18</x:v>
      </x:c>
      <x:c r="D1073" s="47" t="n">
        <x:v>693.96</x:v>
      </x:c>
      <x:c r="E1073" s="47" t="n">
        <x:v>87.027</x:v>
      </x:c>
      <x:c r="F1073" s="47" t="n">
        <x:v>713.139</x:v>
      </x:c>
      <x:c r="G1073" s="47" t="n">
        <x:v>97.377</x:v>
      </x:c>
      <x:c r="H1073" s="50" t="n">
        <x:v>0.824141</x:v>
      </x:c>
      <x:c r="I1073" s="50" t="n">
        <x:v>0.146185</x:v>
      </x:c>
      <x:c r="J1073" s="50" t="n">
        <x:v>0.846918</x:v>
      </x:c>
      <x:c r="K1073" s="50" t="n">
        <x:v>0.163571</x:v>
      </x:c>
      <x:c r="L1073" s="47" t="n">
        <x:v>842.04</x:v>
      </x:c>
      <x:c r="M1073" s="47" t="n">
        <x:v>595.32</x:v>
      </x:c>
      <x:c r="N1073" s="28" t="str">
        <x:v>top-left</x:v>
      </x:c>
      <x:c r="O1073" s="28" t="str">
        <x:v>PDF points</x:v>
      </x:c>
    </x:row>
    <x:row r="1074" ht="22" customHeight="1">
      <x:c r="A1074" s="28" t="str">
        <x:v>ANC-SLE-047-01-R14</x:v>
      </x:c>
      <x:c r="B1074" s="28" t="str">
        <x:v>ANC-SLE-047-01</x:v>
      </x:c>
      <x:c r="C1074" s="28" t="n">
        <x:v>18</x:v>
      </x:c>
      <x:c r="D1074" s="47" t="n">
        <x:v>729.84</x:v>
      </x:c>
      <x:c r="E1074" s="47" t="n">
        <x:v>87.027</x:v>
      </x:c>
      <x:c r="F1074" s="47" t="n">
        <x:v>749.019</x:v>
      </x:c>
      <x:c r="G1074" s="47" t="n">
        <x:v>97.377</x:v>
      </x:c>
      <x:c r="H1074" s="50" t="n">
        <x:v>0.866752</x:v>
      </x:c>
      <x:c r="I1074" s="50" t="n">
        <x:v>0.146185</x:v>
      </x:c>
      <x:c r="J1074" s="50" t="n">
        <x:v>0.889529</x:v>
      </x:c>
      <x:c r="K1074" s="50" t="n">
        <x:v>0.163571</x:v>
      </x:c>
      <x:c r="L1074" s="47" t="n">
        <x:v>842.04</x:v>
      </x:c>
      <x:c r="M1074" s="47" t="n">
        <x:v>595.32</x:v>
      </x:c>
      <x:c r="N1074" s="28" t="str">
        <x:v>top-left</x:v>
      </x:c>
      <x:c r="O1074" s="28" t="str">
        <x:v>PDF points</x:v>
      </x:c>
    </x:row>
    <x:row r="1075" ht="22" customHeight="1">
      <x:c r="A1075" s="28" t="str">
        <x:v>ANC-SLE-047-01-R15</x:v>
      </x:c>
      <x:c r="B1075" s="28" t="str">
        <x:v>ANC-SLE-047-01</x:v>
      </x:c>
      <x:c r="C1075" s="28" t="n">
        <x:v>18</x:v>
      </x:c>
      <x:c r="D1075" s="47" t="n">
        <x:v>765.96</x:v>
      </x:c>
      <x:c r="E1075" s="47" t="n">
        <x:v>87.027</x:v>
      </x:c>
      <x:c r="F1075" s="47" t="n">
        <x:v>785.139</x:v>
      </x:c>
      <x:c r="G1075" s="47" t="n">
        <x:v>97.377</x:v>
      </x:c>
      <x:c r="H1075" s="50" t="n">
        <x:v>0.909648</x:v>
      </x:c>
      <x:c r="I1075" s="50" t="n">
        <x:v>0.146185</x:v>
      </x:c>
      <x:c r="J1075" s="50" t="n">
        <x:v>0.932425</x:v>
      </x:c>
      <x:c r="K1075" s="50" t="n">
        <x:v>0.163571</x:v>
      </x:c>
      <x:c r="L1075" s="47" t="n">
        <x:v>842.04</x:v>
      </x:c>
      <x:c r="M1075" s="47" t="n">
        <x:v>595.32</x:v>
      </x:c>
      <x:c r="N1075" s="28" t="str">
        <x:v>top-left</x:v>
      </x:c>
      <x:c r="O1075" s="28" t="str">
        <x:v>PDF points</x:v>
      </x:c>
    </x:row>
    <x:row r="1076" ht="22" customHeight="1">
      <x:c r="A1076" s="28" t="str">
        <x:v>ANC-SLE-047-01-R16</x:v>
      </x:c>
      <x:c r="B1076" s="28" t="str">
        <x:v>ANC-SLE-047-01</x:v>
      </x:c>
      <x:c r="C1076" s="28" t="n">
        <x:v>18</x:v>
      </x:c>
      <x:c r="D1076" s="47" t="n">
        <x:v>122.88</x:v>
      </x:c>
      <x:c r="E1076" s="47" t="n">
        <x:v>97.267</x:v>
      </x:c>
      <x:c r="F1076" s="47" t="n">
        <x:v>174.059</x:v>
      </x:c>
      <x:c r="G1076" s="47" t="n">
        <x:v>106.875</x:v>
      </x:c>
      <x:c r="H1076" s="50" t="n">
        <x:v>0.145931</x:v>
      </x:c>
      <x:c r="I1076" s="50" t="n">
        <x:v>0.163387</x:v>
      </x:c>
      <x:c r="J1076" s="50" t="n">
        <x:v>0.206712</x:v>
      </x:c>
      <x:c r="K1076" s="50" t="n">
        <x:v>0.179526</x:v>
      </x:c>
      <x:c r="L1076" s="47" t="n">
        <x:v>842.04</x:v>
      </x:c>
      <x:c r="M1076" s="47" t="n">
        <x:v>595.32</x:v>
      </x:c>
      <x:c r="N1076" s="28" t="str">
        <x:v>top-left</x:v>
      </x:c>
      <x:c r="O1076" s="28" t="str">
        <x:v>PDF points</x:v>
      </x:c>
    </x:row>
    <x:row r="1077" ht="22" customHeight="1">
      <x:c r="A1077" s="28" t="str">
        <x:v>ANC-SLE-047-01-R17</x:v>
      </x:c>
      <x:c r="B1077" s="28" t="str">
        <x:v>ANC-SLE-047-01</x:v>
      </x:c>
      <x:c r="C1077" s="28" t="n">
        <x:v>18</x:v>
      </x:c>
      <x:c r="D1077" s="47" t="n">
        <x:v>217.32</x:v>
      </x:c>
      <x:c r="E1077" s="47" t="n">
        <x:v>97.267</x:v>
      </x:c>
      <x:c r="F1077" s="47" t="n">
        <x:v>452.057</x:v>
      </x:c>
      <x:c r="G1077" s="47" t="n">
        <x:v>106.875</x:v>
      </x:c>
      <x:c r="H1077" s="50" t="n">
        <x:v>0.258088</x:v>
      </x:c>
      <x:c r="I1077" s="50" t="n">
        <x:v>0.163387</x:v>
      </x:c>
      <x:c r="J1077" s="50" t="n">
        <x:v>0.53686</x:v>
      </x:c>
      <x:c r="K1077" s="50" t="n">
        <x:v>0.179526</x:v>
      </x:c>
      <x:c r="L1077" s="47" t="n">
        <x:v>842.04</x:v>
      </x:c>
      <x:c r="M1077" s="47" t="n">
        <x:v>595.32</x:v>
      </x:c>
      <x:c r="N1077" s="28" t="str">
        <x:v>top-left</x:v>
      </x:c>
      <x:c r="O1077" s="28" t="str">
        <x:v>PDF points</x:v>
      </x:c>
    </x:row>
    <x:row r="1078" ht="22" customHeight="1">
      <x:c r="A1078" s="28" t="str">
        <x:v>ANC-SLE-047-01-R18</x:v>
      </x:c>
      <x:c r="B1078" s="28" t="str">
        <x:v>ANC-SLE-047-01</x:v>
      </x:c>
      <x:c r="C1078" s="28" t="n">
        <x:v>18</x:v>
      </x:c>
      <x:c r="D1078" s="47" t="n">
        <x:v>217.32</x:v>
      </x:c>
      <x:c r="E1078" s="47" t="n">
        <x:v>105.907</x:v>
      </x:c>
      <x:c r="F1078" s="47" t="n">
        <x:v>421.409</x:v>
      </x:c>
      <x:c r="G1078" s="47" t="n">
        <x:v>115.515</x:v>
      </x:c>
      <x:c r="H1078" s="50" t="n">
        <x:v>0.258088</x:v>
      </x:c>
      <x:c r="I1078" s="50" t="n">
        <x:v>0.1779</x:v>
      </x:c>
      <x:c r="J1078" s="50" t="n">
        <x:v>0.500462</x:v>
      </x:c>
      <x:c r="K1078" s="50" t="n">
        <x:v>0.194039</x:v>
      </x:c>
      <x:c r="L1078" s="47" t="n">
        <x:v>842.04</x:v>
      </x:c>
      <x:c r="M1078" s="47" t="n">
        <x:v>595.32</x:v>
      </x:c>
      <x:c r="N1078" s="28" t="str">
        <x:v>top-left</x:v>
      </x:c>
      <x:c r="O1078" s="28" t="str">
        <x:v>PDF points</x:v>
      </x:c>
    </x:row>
    <x:row r="1079" ht="22" customHeight="1">
      <x:c r="A1079" s="28" t="str">
        <x:v>ANC-SLE-048-01-R01</x:v>
      </x:c>
      <x:c r="B1079" s="28" t="str">
        <x:v>ANC-SLE-048-01</x:v>
      </x:c>
      <x:c r="C1079" s="28" t="n">
        <x:v>18</x:v>
      </x:c>
      <x:c r="D1079" s="47" t="n">
        <x:v>476.28</x:v>
      </x:c>
      <x:c r="E1079" s="47" t="n">
        <x:v>102.907</x:v>
      </x:c>
      <x:c r="F1079" s="47" t="n">
        <x:v>491.398</x:v>
      </x:c>
      <x:c r="G1079" s="47" t="n">
        <x:v>112.515</x:v>
      </x:c>
      <x:c r="H1079" s="50" t="n">
        <x:v>0.565626</x:v>
      </x:c>
      <x:c r="I1079" s="50" t="n">
        <x:v>0.172861</x:v>
      </x:c>
      <x:c r="J1079" s="50" t="n">
        <x:v>0.58358</x:v>
      </x:c>
      <x:c r="K1079" s="50" t="n">
        <x:v>0.188999</x:v>
      </x:c>
      <x:c r="L1079" s="47" t="n">
        <x:v>842.04</x:v>
      </x:c>
      <x:c r="M1079" s="47" t="n">
        <x:v>595.32</x:v>
      </x:c>
      <x:c r="N1079" s="28" t="str">
        <x:v>top-left</x:v>
      </x:c>
      <x:c r="O1079" s="28" t="str">
        <x:v>PDF points</x:v>
      </x:c>
    </x:row>
    <x:row r="1080" ht="22" customHeight="1">
      <x:c r="A1080" s="28" t="str">
        <x:v>ANC-SLE-048-01-R02</x:v>
      </x:c>
      <x:c r="B1080" s="28" t="str">
        <x:v>ANC-SLE-048-01</x:v>
      </x:c>
      <x:c r="C1080" s="28" t="n">
        <x:v>18</x:v>
      </x:c>
      <x:c r="D1080" s="47" t="n">
        <x:v>526.924</x:v>
      </x:c>
      <x:c r="E1080" s="47" t="n">
        <x:v>102.907</x:v>
      </x:c>
      <x:c r="F1080" s="47" t="n">
        <x:v>542.042</x:v>
      </x:c>
      <x:c r="G1080" s="47" t="n">
        <x:v>112.515</x:v>
      </x:c>
      <x:c r="H1080" s="50" t="n">
        <x:v>0.625771</x:v>
      </x:c>
      <x:c r="I1080" s="50" t="n">
        <x:v>0.172861</x:v>
      </x:c>
      <x:c r="J1080" s="50" t="n">
        <x:v>0.643724</x:v>
      </x:c>
      <x:c r="K1080" s="50" t="n">
        <x:v>0.188999</x:v>
      </x:c>
      <x:c r="L1080" s="47" t="n">
        <x:v>842.04</x:v>
      </x:c>
      <x:c r="M1080" s="47" t="n">
        <x:v>595.32</x:v>
      </x:c>
      <x:c r="N1080" s="28" t="str">
        <x:v>top-left</x:v>
      </x:c>
      <x:c r="O1080" s="28" t="str">
        <x:v>PDF points</x:v>
      </x:c>
    </x:row>
    <x:row r="1081" ht="22" customHeight="1">
      <x:c r="A1081" s="28" t="str">
        <x:v>ANC-SLE-048-01-R03</x:v>
      </x:c>
      <x:c r="B1081" s="28" t="str">
        <x:v>ANC-SLE-048-01</x:v>
      </x:c>
      <x:c r="C1081" s="28" t="n">
        <x:v>18</x:v>
      </x:c>
      <x:c r="D1081" s="47" t="n">
        <x:v>576.482</x:v>
      </x:c>
      <x:c r="E1081" s="47" t="n">
        <x:v>102.907</x:v>
      </x:c>
      <x:c r="F1081" s="47" t="n">
        <x:v>591.6</x:v>
      </x:c>
      <x:c r="G1081" s="47" t="n">
        <x:v>112.515</x:v>
      </x:c>
      <x:c r="H1081" s="50" t="n">
        <x:v>0.684626</x:v>
      </x:c>
      <x:c r="I1081" s="50" t="n">
        <x:v>0.172861</x:v>
      </x:c>
      <x:c r="J1081" s="50" t="n">
        <x:v>0.70258</x:v>
      </x:c>
      <x:c r="K1081" s="50" t="n">
        <x:v>0.188999</x:v>
      </x:c>
      <x:c r="L1081" s="47" t="n">
        <x:v>842.04</x:v>
      </x:c>
      <x:c r="M1081" s="47" t="n">
        <x:v>595.32</x:v>
      </x:c>
      <x:c r="N1081" s="28" t="str">
        <x:v>top-left</x:v>
      </x:c>
      <x:c r="O1081" s="28" t="str">
        <x:v>PDF points</x:v>
      </x:c>
    </x:row>
    <x:row r="1082" ht="22" customHeight="1">
      <x:c r="A1082" s="28" t="str">
        <x:v>ANC-SLE-048-01-R04</x:v>
      </x:c>
      <x:c r="B1082" s="28" t="str">
        <x:v>ANC-SLE-048-01</x:v>
      </x:c>
      <x:c r="C1082" s="28" t="n">
        <x:v>18</x:v>
      </x:c>
      <x:c r="D1082" s="47" t="n">
        <x:v>616.92</x:v>
      </x:c>
      <x:c r="E1082" s="47" t="n">
        <x:v>102.907</x:v>
      </x:c>
      <x:c r="F1082" s="47" t="n">
        <x:v>632.038</x:v>
      </x:c>
      <x:c r="G1082" s="47" t="n">
        <x:v>112.515</x:v>
      </x:c>
      <x:c r="H1082" s="50" t="n">
        <x:v>0.732649</x:v>
      </x:c>
      <x:c r="I1082" s="50" t="n">
        <x:v>0.172861</x:v>
      </x:c>
      <x:c r="J1082" s="50" t="n">
        <x:v>0.750603</x:v>
      </x:c>
      <x:c r="K1082" s="50" t="n">
        <x:v>0.188999</x:v>
      </x:c>
      <x:c r="L1082" s="47" t="n">
        <x:v>842.04</x:v>
      </x:c>
      <x:c r="M1082" s="47" t="n">
        <x:v>595.32</x:v>
      </x:c>
      <x:c r="N1082" s="28" t="str">
        <x:v>top-left</x:v>
      </x:c>
      <x:c r="O1082" s="28" t="str">
        <x:v>PDF points</x:v>
      </x:c>
    </x:row>
    <x:row r="1083" ht="22" customHeight="1">
      <x:c r="A1083" s="28" t="str">
        <x:v>ANC-SLE-048-01-R05</x:v>
      </x:c>
      <x:c r="B1083" s="28" t="str">
        <x:v>ANC-SLE-048-01</x:v>
      </x:c>
      <x:c r="C1083" s="28" t="n">
        <x:v>18</x:v>
      </x:c>
      <x:c r="D1083" s="47" t="n">
        <x:v>656.52</x:v>
      </x:c>
      <x:c r="E1083" s="47" t="n">
        <x:v>102.907</x:v>
      </x:c>
      <x:c r="F1083" s="47" t="n">
        <x:v>671.638</x:v>
      </x:c>
      <x:c r="G1083" s="47" t="n">
        <x:v>112.515</x:v>
      </x:c>
      <x:c r="H1083" s="50" t="n">
        <x:v>0.779678</x:v>
      </x:c>
      <x:c r="I1083" s="50" t="n">
        <x:v>0.172861</x:v>
      </x:c>
      <x:c r="J1083" s="50" t="n">
        <x:v>0.797632</x:v>
      </x:c>
      <x:c r="K1083" s="50" t="n">
        <x:v>0.188999</x:v>
      </x:c>
      <x:c r="L1083" s="47" t="n">
        <x:v>842.04</x:v>
      </x:c>
      <x:c r="M1083" s="47" t="n">
        <x:v>595.32</x:v>
      </x:c>
      <x:c r="N1083" s="28" t="str">
        <x:v>top-left</x:v>
      </x:c>
      <x:c r="O1083" s="28" t="str">
        <x:v>PDF points</x:v>
      </x:c>
    </x:row>
    <x:row r="1084" ht="22" customHeight="1">
      <x:c r="A1084" s="28" t="str">
        <x:v>ANC-SLE-048-01-R06</x:v>
      </x:c>
      <x:c r="B1084" s="28" t="str">
        <x:v>ANC-SLE-048-01</x:v>
      </x:c>
      <x:c r="C1084" s="28" t="n">
        <x:v>18</x:v>
      </x:c>
      <x:c r="D1084" s="47" t="n">
        <x:v>696</x:v>
      </x:c>
      <x:c r="E1084" s="47" t="n">
        <x:v>102.907</x:v>
      </x:c>
      <x:c r="F1084" s="47" t="n">
        <x:v>711.118</x:v>
      </x:c>
      <x:c r="G1084" s="47" t="n">
        <x:v>112.515</x:v>
      </x:c>
      <x:c r="H1084" s="50" t="n">
        <x:v>0.826564</x:v>
      </x:c>
      <x:c r="I1084" s="50" t="n">
        <x:v>0.172861</x:v>
      </x:c>
      <x:c r="J1084" s="50" t="n">
        <x:v>0.844518</x:v>
      </x:c>
      <x:c r="K1084" s="50" t="n">
        <x:v>0.188999</x:v>
      </x:c>
      <x:c r="L1084" s="47" t="n">
        <x:v>842.04</x:v>
      </x:c>
      <x:c r="M1084" s="47" t="n">
        <x:v>595.32</x:v>
      </x:c>
      <x:c r="N1084" s="28" t="str">
        <x:v>top-left</x:v>
      </x:c>
      <x:c r="O1084" s="28" t="str">
        <x:v>PDF points</x:v>
      </x:c>
    </x:row>
    <x:row r="1085" ht="22" customHeight="1">
      <x:c r="A1085" s="28" t="str">
        <x:v>ANC-SLE-048-01-R07</x:v>
      </x:c>
      <x:c r="B1085" s="28" t="str">
        <x:v>ANC-SLE-048-01</x:v>
      </x:c>
      <x:c r="C1085" s="28" t="n">
        <x:v>18</x:v>
      </x:c>
      <x:c r="D1085" s="47" t="n">
        <x:v>731.883</x:v>
      </x:c>
      <x:c r="E1085" s="47" t="n">
        <x:v>102.907</x:v>
      </x:c>
      <x:c r="F1085" s="47" t="n">
        <x:v>747</x:v>
      </x:c>
      <x:c r="G1085" s="47" t="n">
        <x:v>112.515</x:v>
      </x:c>
      <x:c r="H1085" s="50" t="n">
        <x:v>0.869178</x:v>
      </x:c>
      <x:c r="I1085" s="50" t="n">
        <x:v>0.172861</x:v>
      </x:c>
      <x:c r="J1085" s="50" t="n">
        <x:v>0.887131</x:v>
      </x:c>
      <x:c r="K1085" s="50" t="n">
        <x:v>0.188999</x:v>
      </x:c>
      <x:c r="L1085" s="47" t="n">
        <x:v>842.04</x:v>
      </x:c>
      <x:c r="M1085" s="47" t="n">
        <x:v>595.32</x:v>
      </x:c>
      <x:c r="N1085" s="28" t="str">
        <x:v>top-left</x:v>
      </x:c>
      <x:c r="O1085" s="28" t="str">
        <x:v>PDF points</x:v>
      </x:c>
    </x:row>
    <x:row r="1086" ht="22" customHeight="1">
      <x:c r="A1086" s="28" t="str">
        <x:v>ANC-SLE-048-01-R08</x:v>
      </x:c>
      <x:c r="B1086" s="28" t="str">
        <x:v>ANC-SLE-048-01</x:v>
      </x:c>
      <x:c r="C1086" s="28" t="n">
        <x:v>18</x:v>
      </x:c>
      <x:c r="D1086" s="47" t="n">
        <x:v>768.006</x:v>
      </x:c>
      <x:c r="E1086" s="47" t="n">
        <x:v>102.907</x:v>
      </x:c>
      <x:c r="F1086" s="47" t="n">
        <x:v>783.124</x:v>
      </x:c>
      <x:c r="G1086" s="47" t="n">
        <x:v>112.515</x:v>
      </x:c>
      <x:c r="H1086" s="50" t="n">
        <x:v>0.912078</x:v>
      </x:c>
      <x:c r="I1086" s="50" t="n">
        <x:v>0.172861</x:v>
      </x:c>
      <x:c r="J1086" s="50" t="n">
        <x:v>0.930032</x:v>
      </x:c>
      <x:c r="K1086" s="50" t="n">
        <x:v>0.188999</x:v>
      </x:c>
      <x:c r="L1086" s="47" t="n">
        <x:v>842.04</x:v>
      </x:c>
      <x:c r="M1086" s="47" t="n">
        <x:v>595.32</x:v>
      </x:c>
      <x:c r="N1086" s="28" t="str">
        <x:v>top-left</x:v>
      </x:c>
      <x:c r="O1086" s="28" t="str">
        <x:v>PDF points</x:v>
      </x:c>
    </x:row>
    <x:row r="1087" ht="22" customHeight="1">
      <x:c r="A1087" s="28" t="str">
        <x:v>ANC-SLE-048-01-R09</x:v>
      </x:c>
      <x:c r="B1087" s="28" t="str">
        <x:v>ANC-SLE-048-01</x:v>
      </x:c>
      <x:c r="C1087" s="28" t="n">
        <x:v>18</x:v>
      </x:c>
      <x:c r="D1087" s="47" t="n">
        <x:v>217.32</x:v>
      </x:c>
      <x:c r="E1087" s="47" t="n">
        <x:v>117.667</x:v>
      </x:c>
      <x:c r="F1087" s="47" t="n">
        <x:v>412.529</x:v>
      </x:c>
      <x:c r="G1087" s="47" t="n">
        <x:v>127.275</x:v>
      </x:c>
      <x:c r="H1087" s="50" t="n">
        <x:v>0.258088</x:v>
      </x:c>
      <x:c r="I1087" s="50" t="n">
        <x:v>0.197654</x:v>
      </x:c>
      <x:c r="J1087" s="50" t="n">
        <x:v>0.489916</x:v>
      </x:c>
      <x:c r="K1087" s="50" t="n">
        <x:v>0.213793</x:v>
      </x:c>
      <x:c r="L1087" s="47" t="n">
        <x:v>842.04</x:v>
      </x:c>
      <x:c r="M1087" s="47" t="n">
        <x:v>595.32</x:v>
      </x:c>
      <x:c r="N1087" s="28" t="str">
        <x:v>top-left</x:v>
      </x:c>
      <x:c r="O1087" s="28" t="str">
        <x:v>PDF points</x:v>
      </x:c>
    </x:row>
    <x:row r="1088" ht="22" customHeight="1">
      <x:c r="A1088" s="28" t="str">
        <x:v>ANC-SLE-048-01-R10</x:v>
      </x:c>
      <x:c r="B1088" s="28" t="str">
        <x:v>ANC-SLE-048-01</x:v>
      </x:c>
      <x:c r="C1088" s="28" t="n">
        <x:v>18</x:v>
      </x:c>
      <x:c r="D1088" s="47" t="n">
        <x:v>217.32</x:v>
      </x:c>
      <x:c r="E1088" s="47" t="n">
        <x:v>126.427</x:v>
      </x:c>
      <x:c r="F1088" s="47" t="n">
        <x:v>308.947</x:v>
      </x:c>
      <x:c r="G1088" s="47" t="n">
        <x:v>136.035</x:v>
      </x:c>
      <x:c r="H1088" s="50" t="n">
        <x:v>0.258088</x:v>
      </x:c>
      <x:c r="I1088" s="50" t="n">
        <x:v>0.212369</x:v>
      </x:c>
      <x:c r="J1088" s="50" t="n">
        <x:v>0.366903</x:v>
      </x:c>
      <x:c r="K1088" s="50" t="n">
        <x:v>0.228508</x:v>
      </x:c>
      <x:c r="L1088" s="47" t="n">
        <x:v>842.04</x:v>
      </x:c>
      <x:c r="M1088" s="47" t="n">
        <x:v>595.32</x:v>
      </x:c>
      <x:c r="N1088" s="28" t="str">
        <x:v>top-left</x:v>
      </x:c>
      <x:c r="O1088" s="28" t="str">
        <x:v>PDF points</x:v>
      </x:c>
    </x:row>
    <x:row r="1089" ht="22" customHeight="1">
      <x:c r="A1089" s="28" t="str">
        <x:v>ANC-SLE-048-01-R11</x:v>
      </x:c>
      <x:c r="B1089" s="28" t="str">
        <x:v>ANC-SLE-048-01</x:v>
      </x:c>
      <x:c r="C1089" s="28" t="n">
        <x:v>18</x:v>
      </x:c>
      <x:c r="D1089" s="47" t="n">
        <x:v>476.28</x:v>
      </x:c>
      <x:c r="E1089" s="47" t="n">
        <x:v>124.627</x:v>
      </x:c>
      <x:c r="F1089" s="47" t="n">
        <x:v>491.398</x:v>
      </x:c>
      <x:c r="G1089" s="47" t="n">
        <x:v>134.235</x:v>
      </x:c>
      <x:c r="H1089" s="50" t="n">
        <x:v>0.565626</x:v>
      </x:c>
      <x:c r="I1089" s="50" t="n">
        <x:v>0.209345</x:v>
      </x:c>
      <x:c r="J1089" s="50" t="n">
        <x:v>0.58358</x:v>
      </x:c>
      <x:c r="K1089" s="50" t="n">
        <x:v>0.225484</x:v>
      </x:c>
      <x:c r="L1089" s="47" t="n">
        <x:v>842.04</x:v>
      </x:c>
      <x:c r="M1089" s="47" t="n">
        <x:v>595.32</x:v>
      </x:c>
      <x:c r="N1089" s="28" t="str">
        <x:v>top-left</x:v>
      </x:c>
      <x:c r="O1089" s="28" t="str">
        <x:v>PDF points</x:v>
      </x:c>
    </x:row>
    <x:row r="1090" ht="22" customHeight="1">
      <x:c r="A1090" s="28" t="str">
        <x:v>ANC-SLE-048-01-R12</x:v>
      </x:c>
      <x:c r="B1090" s="28" t="str">
        <x:v>ANC-SLE-048-01</x:v>
      </x:c>
      <x:c r="C1090" s="28" t="n">
        <x:v>18</x:v>
      </x:c>
      <x:c r="D1090" s="47" t="n">
        <x:v>526.924</x:v>
      </x:c>
      <x:c r="E1090" s="47" t="n">
        <x:v>124.627</x:v>
      </x:c>
      <x:c r="F1090" s="47" t="n">
        <x:v>542.042</x:v>
      </x:c>
      <x:c r="G1090" s="47" t="n">
        <x:v>134.235</x:v>
      </x:c>
      <x:c r="H1090" s="50" t="n">
        <x:v>0.625771</x:v>
      </x:c>
      <x:c r="I1090" s="50" t="n">
        <x:v>0.209345</x:v>
      </x:c>
      <x:c r="J1090" s="50" t="n">
        <x:v>0.643724</x:v>
      </x:c>
      <x:c r="K1090" s="50" t="n">
        <x:v>0.225484</x:v>
      </x:c>
      <x:c r="L1090" s="47" t="n">
        <x:v>842.04</x:v>
      </x:c>
      <x:c r="M1090" s="47" t="n">
        <x:v>595.32</x:v>
      </x:c>
      <x:c r="N1090" s="28" t="str">
        <x:v>top-left</x:v>
      </x:c>
      <x:c r="O1090" s="28" t="str">
        <x:v>PDF points</x:v>
      </x:c>
    </x:row>
    <x:row r="1091" ht="22" customHeight="1">
      <x:c r="A1091" s="28" t="str">
        <x:v>ANC-SLE-048-01-R13</x:v>
      </x:c>
      <x:c r="B1091" s="28" t="str">
        <x:v>ANC-SLE-048-01</x:v>
      </x:c>
      <x:c r="C1091" s="28" t="n">
        <x:v>18</x:v>
      </x:c>
      <x:c r="D1091" s="47" t="n">
        <x:v>576.482</x:v>
      </x:c>
      <x:c r="E1091" s="47" t="n">
        <x:v>124.627</x:v>
      </x:c>
      <x:c r="F1091" s="47" t="n">
        <x:v>591.6</x:v>
      </x:c>
      <x:c r="G1091" s="47" t="n">
        <x:v>134.235</x:v>
      </x:c>
      <x:c r="H1091" s="50" t="n">
        <x:v>0.684626</x:v>
      </x:c>
      <x:c r="I1091" s="50" t="n">
        <x:v>0.209345</x:v>
      </x:c>
      <x:c r="J1091" s="50" t="n">
        <x:v>0.70258</x:v>
      </x:c>
      <x:c r="K1091" s="50" t="n">
        <x:v>0.225484</x:v>
      </x:c>
      <x:c r="L1091" s="47" t="n">
        <x:v>842.04</x:v>
      </x:c>
      <x:c r="M1091" s="47" t="n">
        <x:v>595.32</x:v>
      </x:c>
      <x:c r="N1091" s="28" t="str">
        <x:v>top-left</x:v>
      </x:c>
      <x:c r="O1091" s="28" t="str">
        <x:v>PDF points</x:v>
      </x:c>
    </x:row>
    <x:row r="1092" ht="22" customHeight="1">
      <x:c r="A1092" s="28" t="str">
        <x:v>ANC-SLE-048-01-R14</x:v>
      </x:c>
      <x:c r="B1092" s="28" t="str">
        <x:v>ANC-SLE-048-01</x:v>
      </x:c>
      <x:c r="C1092" s="28" t="n">
        <x:v>18</x:v>
      </x:c>
      <x:c r="D1092" s="47" t="n">
        <x:v>616.92</x:v>
      </x:c>
      <x:c r="E1092" s="47" t="n">
        <x:v>124.627</x:v>
      </x:c>
      <x:c r="F1092" s="47" t="n">
        <x:v>632.038</x:v>
      </x:c>
      <x:c r="G1092" s="47" t="n">
        <x:v>134.235</x:v>
      </x:c>
      <x:c r="H1092" s="50" t="n">
        <x:v>0.732649</x:v>
      </x:c>
      <x:c r="I1092" s="50" t="n">
        <x:v>0.209345</x:v>
      </x:c>
      <x:c r="J1092" s="50" t="n">
        <x:v>0.750603</x:v>
      </x:c>
      <x:c r="K1092" s="50" t="n">
        <x:v>0.225484</x:v>
      </x:c>
      <x:c r="L1092" s="47" t="n">
        <x:v>842.04</x:v>
      </x:c>
      <x:c r="M1092" s="47" t="n">
        <x:v>595.32</x:v>
      </x:c>
      <x:c r="N1092" s="28" t="str">
        <x:v>top-left</x:v>
      </x:c>
      <x:c r="O1092" s="28" t="str">
        <x:v>PDF points</x:v>
      </x:c>
    </x:row>
    <x:row r="1093" ht="22" customHeight="1">
      <x:c r="A1093" s="28" t="str">
        <x:v>ANC-SLE-048-01-R15</x:v>
      </x:c>
      <x:c r="B1093" s="28" t="str">
        <x:v>ANC-SLE-048-01</x:v>
      </x:c>
      <x:c r="C1093" s="28" t="n">
        <x:v>18</x:v>
      </x:c>
      <x:c r="D1093" s="47" t="n">
        <x:v>656.52</x:v>
      </x:c>
      <x:c r="E1093" s="47" t="n">
        <x:v>124.627</x:v>
      </x:c>
      <x:c r="F1093" s="47" t="n">
        <x:v>671.638</x:v>
      </x:c>
      <x:c r="G1093" s="47" t="n">
        <x:v>134.235</x:v>
      </x:c>
      <x:c r="H1093" s="50" t="n">
        <x:v>0.779678</x:v>
      </x:c>
      <x:c r="I1093" s="50" t="n">
        <x:v>0.209345</x:v>
      </x:c>
      <x:c r="J1093" s="50" t="n">
        <x:v>0.797632</x:v>
      </x:c>
      <x:c r="K1093" s="50" t="n">
        <x:v>0.225484</x:v>
      </x:c>
      <x:c r="L1093" s="47" t="n">
        <x:v>842.04</x:v>
      </x:c>
      <x:c r="M1093" s="47" t="n">
        <x:v>595.32</x:v>
      </x:c>
      <x:c r="N1093" s="28" t="str">
        <x:v>top-left</x:v>
      </x:c>
      <x:c r="O1093" s="28" t="str">
        <x:v>PDF points</x:v>
      </x:c>
    </x:row>
    <x:row r="1094" ht="22" customHeight="1">
      <x:c r="A1094" s="28" t="str">
        <x:v>ANC-SLE-048-01-R16</x:v>
      </x:c>
      <x:c r="B1094" s="28" t="str">
        <x:v>ANC-SLE-048-01</x:v>
      </x:c>
      <x:c r="C1094" s="28" t="n">
        <x:v>18</x:v>
      </x:c>
      <x:c r="D1094" s="47" t="n">
        <x:v>696</x:v>
      </x:c>
      <x:c r="E1094" s="47" t="n">
        <x:v>124.627</x:v>
      </x:c>
      <x:c r="F1094" s="47" t="n">
        <x:v>711.118</x:v>
      </x:c>
      <x:c r="G1094" s="47" t="n">
        <x:v>134.235</x:v>
      </x:c>
      <x:c r="H1094" s="50" t="n">
        <x:v>0.826564</x:v>
      </x:c>
      <x:c r="I1094" s="50" t="n">
        <x:v>0.209345</x:v>
      </x:c>
      <x:c r="J1094" s="50" t="n">
        <x:v>0.844518</x:v>
      </x:c>
      <x:c r="K1094" s="50" t="n">
        <x:v>0.225484</x:v>
      </x:c>
      <x:c r="L1094" s="47" t="n">
        <x:v>842.04</x:v>
      </x:c>
      <x:c r="M1094" s="47" t="n">
        <x:v>595.32</x:v>
      </x:c>
      <x:c r="N1094" s="28" t="str">
        <x:v>top-left</x:v>
      </x:c>
      <x:c r="O1094" s="28" t="str">
        <x:v>PDF points</x:v>
      </x:c>
    </x:row>
    <x:row r="1095" ht="22" customHeight="1">
      <x:c r="A1095" s="28" t="str">
        <x:v>ANC-SLE-048-01-R17</x:v>
      </x:c>
      <x:c r="B1095" s="28" t="str">
        <x:v>ANC-SLE-048-01</x:v>
      </x:c>
      <x:c r="C1095" s="28" t="n">
        <x:v>18</x:v>
      </x:c>
      <x:c r="D1095" s="47" t="n">
        <x:v>731.88</x:v>
      </x:c>
      <x:c r="E1095" s="47" t="n">
        <x:v>124.627</x:v>
      </x:c>
      <x:c r="F1095" s="47" t="n">
        <x:v>746.998</x:v>
      </x:c>
      <x:c r="G1095" s="47" t="n">
        <x:v>134.235</x:v>
      </x:c>
      <x:c r="H1095" s="50" t="n">
        <x:v>0.869175</x:v>
      </x:c>
      <x:c r="I1095" s="50" t="n">
        <x:v>0.209345</x:v>
      </x:c>
      <x:c r="J1095" s="50" t="n">
        <x:v>0.887129</x:v>
      </x:c>
      <x:c r="K1095" s="50" t="n">
        <x:v>0.225484</x:v>
      </x:c>
      <x:c r="L1095" s="47" t="n">
        <x:v>842.04</x:v>
      </x:c>
      <x:c r="M1095" s="47" t="n">
        <x:v>595.32</x:v>
      </x:c>
      <x:c r="N1095" s="28" t="str">
        <x:v>top-left</x:v>
      </x:c>
      <x:c r="O1095" s="28" t="str">
        <x:v>PDF points</x:v>
      </x:c>
    </x:row>
    <x:row r="1096" ht="22" customHeight="1">
      <x:c r="A1096" s="28" t="str">
        <x:v>ANC-SLE-048-01-R18</x:v>
      </x:c>
      <x:c r="B1096" s="28" t="str">
        <x:v>ANC-SLE-048-01</x:v>
      </x:c>
      <x:c r="C1096" s="28" t="n">
        <x:v>18</x:v>
      </x:c>
      <x:c r="D1096" s="47" t="n">
        <x:v>768</x:v>
      </x:c>
      <x:c r="E1096" s="47" t="n">
        <x:v>124.627</x:v>
      </x:c>
      <x:c r="F1096" s="47" t="n">
        <x:v>783.118</x:v>
      </x:c>
      <x:c r="G1096" s="47" t="n">
        <x:v>134.235</x:v>
      </x:c>
      <x:c r="H1096" s="50" t="n">
        <x:v>0.912071</x:v>
      </x:c>
      <x:c r="I1096" s="50" t="n">
        <x:v>0.209345</x:v>
      </x:c>
      <x:c r="J1096" s="50" t="n">
        <x:v>0.930024</x:v>
      </x:c>
      <x:c r="K1096" s="50" t="n">
        <x:v>0.225484</x:v>
      </x:c>
      <x:c r="L1096" s="47" t="n">
        <x:v>842.04</x:v>
      </x:c>
      <x:c r="M1096" s="47" t="n">
        <x:v>595.32</x:v>
      </x:c>
      <x:c r="N1096" s="28" t="str">
        <x:v>top-left</x:v>
      </x:c>
      <x:c r="O1096" s="28" t="str">
        <x:v>PDF points</x:v>
      </x:c>
    </x:row>
    <x:row r="1097" ht="22" customHeight="1">
      <x:c r="A1097" s="28" t="str">
        <x:v>ANC-SLE-048-01-R19</x:v>
      </x:c>
      <x:c r="B1097" s="28" t="str">
        <x:v>ANC-SLE-048-01</x:v>
      </x:c>
      <x:c r="C1097" s="28" t="n">
        <x:v>18</x:v>
      </x:c>
      <x:c r="D1097" s="47" t="n">
        <x:v>217.32</x:v>
      </x:c>
      <x:c r="E1097" s="47" t="n">
        <x:v>140.707</x:v>
      </x:c>
      <x:c r="F1097" s="47" t="n">
        <x:v>427.967</x:v>
      </x:c>
      <x:c r="G1097" s="47" t="n">
        <x:v>150.315</x:v>
      </x:c>
      <x:c r="H1097" s="50" t="n">
        <x:v>0.258088</x:v>
      </x:c>
      <x:c r="I1097" s="50" t="n">
        <x:v>0.236356</x:v>
      </x:c>
      <x:c r="J1097" s="50" t="n">
        <x:v>0.50825</x:v>
      </x:c>
      <x:c r="K1097" s="50" t="n">
        <x:v>0.252495</x:v>
      </x:c>
      <x:c r="L1097" s="47" t="n">
        <x:v>842.04</x:v>
      </x:c>
      <x:c r="M1097" s="47" t="n">
        <x:v>595.32</x:v>
      </x:c>
      <x:c r="N1097" s="28" t="str">
        <x:v>top-left</x:v>
      </x:c>
      <x:c r="O1097" s="28" t="str">
        <x:v>PDF points</x:v>
      </x:c>
    </x:row>
    <x:row r="1098" ht="22" customHeight="1">
      <x:c r="A1098" s="28" t="str">
        <x:v>ANC-SLE-048-01-R20</x:v>
      </x:c>
      <x:c r="B1098" s="28" t="str">
        <x:v>ANC-SLE-048-01</x:v>
      </x:c>
      <x:c r="C1098" s="28" t="n">
        <x:v>18</x:v>
      </x:c>
      <x:c r="D1098" s="47" t="n">
        <x:v>217.32</x:v>
      </x:c>
      <x:c r="E1098" s="47" t="n">
        <x:v>149.467</x:v>
      </x:c>
      <x:c r="F1098" s="47" t="n">
        <x:v>302.109</x:v>
      </x:c>
      <x:c r="G1098" s="47" t="n">
        <x:v>159.075</x:v>
      </x:c>
      <x:c r="H1098" s="50" t="n">
        <x:v>0.258088</x:v>
      </x:c>
      <x:c r="I1098" s="50" t="n">
        <x:v>0.251071</x:v>
      </x:c>
      <x:c r="J1098" s="50" t="n">
        <x:v>0.358782</x:v>
      </x:c>
      <x:c r="K1098" s="50" t="n">
        <x:v>0.267209</x:v>
      </x:c>
      <x:c r="L1098" s="47" t="n">
        <x:v>842.04</x:v>
      </x:c>
      <x:c r="M1098" s="47" t="n">
        <x:v>595.32</x:v>
      </x:c>
      <x:c r="N1098" s="28" t="str">
        <x:v>top-left</x:v>
      </x:c>
      <x:c r="O1098" s="28" t="str">
        <x:v>PDF points</x:v>
      </x:c>
    </x:row>
    <x:row r="1099" ht="22" customHeight="1">
      <x:c r="A1099" s="28" t="str">
        <x:v>ANC-SLE-048-01-R21</x:v>
      </x:c>
      <x:c r="B1099" s="28" t="str">
        <x:v>ANC-SLE-048-01</x:v>
      </x:c>
      <x:c r="C1099" s="28" t="n">
        <x:v>18</x:v>
      </x:c>
      <x:c r="D1099" s="47" t="n">
        <x:v>476.28</x:v>
      </x:c>
      <x:c r="E1099" s="47" t="n">
        <x:v>147.667</x:v>
      </x:c>
      <x:c r="F1099" s="47" t="n">
        <x:v>491.398</x:v>
      </x:c>
      <x:c r="G1099" s="47" t="n">
        <x:v>157.275</x:v>
      </x:c>
      <x:c r="H1099" s="50" t="n">
        <x:v>0.565626</x:v>
      </x:c>
      <x:c r="I1099" s="50" t="n">
        <x:v>0.248047</x:v>
      </x:c>
      <x:c r="J1099" s="50" t="n">
        <x:v>0.58358</x:v>
      </x:c>
      <x:c r="K1099" s="50" t="n">
        <x:v>0.264186</x:v>
      </x:c>
      <x:c r="L1099" s="47" t="n">
        <x:v>842.04</x:v>
      </x:c>
      <x:c r="M1099" s="47" t="n">
        <x:v>595.32</x:v>
      </x:c>
      <x:c r="N1099" s="28" t="str">
        <x:v>top-left</x:v>
      </x:c>
      <x:c r="O1099" s="28" t="str">
        <x:v>PDF points</x:v>
      </x:c>
    </x:row>
    <x:row r="1100" ht="22" customHeight="1">
      <x:c r="A1100" s="28" t="str">
        <x:v>ANC-SLE-048-01-R22</x:v>
      </x:c>
      <x:c r="B1100" s="28" t="str">
        <x:v>ANC-SLE-048-01</x:v>
      </x:c>
      <x:c r="C1100" s="28" t="n">
        <x:v>18</x:v>
      </x:c>
      <x:c r="D1100" s="47" t="n">
        <x:v>526.924</x:v>
      </x:c>
      <x:c r="E1100" s="47" t="n">
        <x:v>147.667</x:v>
      </x:c>
      <x:c r="F1100" s="47" t="n">
        <x:v>542.042</x:v>
      </x:c>
      <x:c r="G1100" s="47" t="n">
        <x:v>157.275</x:v>
      </x:c>
      <x:c r="H1100" s="50" t="n">
        <x:v>0.625771</x:v>
      </x:c>
      <x:c r="I1100" s="50" t="n">
        <x:v>0.248047</x:v>
      </x:c>
      <x:c r="J1100" s="50" t="n">
        <x:v>0.643724</x:v>
      </x:c>
      <x:c r="K1100" s="50" t="n">
        <x:v>0.264186</x:v>
      </x:c>
      <x:c r="L1100" s="47" t="n">
        <x:v>842.04</x:v>
      </x:c>
      <x:c r="M1100" s="47" t="n">
        <x:v>595.32</x:v>
      </x:c>
      <x:c r="N1100" s="28" t="str">
        <x:v>top-left</x:v>
      </x:c>
      <x:c r="O1100" s="28" t="str">
        <x:v>PDF points</x:v>
      </x:c>
    </x:row>
    <x:row r="1101" ht="22" customHeight="1">
      <x:c r="A1101" s="28" t="str">
        <x:v>ANC-SLE-048-01-R23</x:v>
      </x:c>
      <x:c r="B1101" s="28" t="str">
        <x:v>ANC-SLE-048-01</x:v>
      </x:c>
      <x:c r="C1101" s="28" t="n">
        <x:v>18</x:v>
      </x:c>
      <x:c r="D1101" s="47" t="n">
        <x:v>576.482</x:v>
      </x:c>
      <x:c r="E1101" s="47" t="n">
        <x:v>147.667</x:v>
      </x:c>
      <x:c r="F1101" s="47" t="n">
        <x:v>591.6</x:v>
      </x:c>
      <x:c r="G1101" s="47" t="n">
        <x:v>157.275</x:v>
      </x:c>
      <x:c r="H1101" s="50" t="n">
        <x:v>0.684626</x:v>
      </x:c>
      <x:c r="I1101" s="50" t="n">
        <x:v>0.248047</x:v>
      </x:c>
      <x:c r="J1101" s="50" t="n">
        <x:v>0.70258</x:v>
      </x:c>
      <x:c r="K1101" s="50" t="n">
        <x:v>0.264186</x:v>
      </x:c>
      <x:c r="L1101" s="47" t="n">
        <x:v>842.04</x:v>
      </x:c>
      <x:c r="M1101" s="47" t="n">
        <x:v>595.32</x:v>
      </x:c>
      <x:c r="N1101" s="28" t="str">
        <x:v>top-left</x:v>
      </x:c>
      <x:c r="O1101" s="28" t="str">
        <x:v>PDF points</x:v>
      </x:c>
    </x:row>
    <x:row r="1102" ht="22" customHeight="1">
      <x:c r="A1102" s="28" t="str">
        <x:v>ANC-SLE-048-01-R24</x:v>
      </x:c>
      <x:c r="B1102" s="28" t="str">
        <x:v>ANC-SLE-048-01</x:v>
      </x:c>
      <x:c r="C1102" s="28" t="n">
        <x:v>18</x:v>
      </x:c>
      <x:c r="D1102" s="47" t="n">
        <x:v>616.92</x:v>
      </x:c>
      <x:c r="E1102" s="47" t="n">
        <x:v>147.667</x:v>
      </x:c>
      <x:c r="F1102" s="47" t="n">
        <x:v>632.038</x:v>
      </x:c>
      <x:c r="G1102" s="47" t="n">
        <x:v>157.275</x:v>
      </x:c>
      <x:c r="H1102" s="50" t="n">
        <x:v>0.732649</x:v>
      </x:c>
      <x:c r="I1102" s="50" t="n">
        <x:v>0.248047</x:v>
      </x:c>
      <x:c r="J1102" s="50" t="n">
        <x:v>0.750603</x:v>
      </x:c>
      <x:c r="K1102" s="50" t="n">
        <x:v>0.264186</x:v>
      </x:c>
      <x:c r="L1102" s="47" t="n">
        <x:v>842.04</x:v>
      </x:c>
      <x:c r="M1102" s="47" t="n">
        <x:v>595.32</x:v>
      </x:c>
      <x:c r="N1102" s="28" t="str">
        <x:v>top-left</x:v>
      </x:c>
      <x:c r="O1102" s="28" t="str">
        <x:v>PDF points</x:v>
      </x:c>
    </x:row>
    <x:row r="1103" ht="22" customHeight="1">
      <x:c r="A1103" s="28" t="str">
        <x:v>ANC-SLE-048-01-R25</x:v>
      </x:c>
      <x:c r="B1103" s="28" t="str">
        <x:v>ANC-SLE-048-01</x:v>
      </x:c>
      <x:c r="C1103" s="28" t="n">
        <x:v>18</x:v>
      </x:c>
      <x:c r="D1103" s="47" t="n">
        <x:v>656.52</x:v>
      </x:c>
      <x:c r="E1103" s="47" t="n">
        <x:v>147.667</x:v>
      </x:c>
      <x:c r="F1103" s="47" t="n">
        <x:v>671.638</x:v>
      </x:c>
      <x:c r="G1103" s="47" t="n">
        <x:v>157.275</x:v>
      </x:c>
      <x:c r="H1103" s="50" t="n">
        <x:v>0.779678</x:v>
      </x:c>
      <x:c r="I1103" s="50" t="n">
        <x:v>0.248047</x:v>
      </x:c>
      <x:c r="J1103" s="50" t="n">
        <x:v>0.797632</x:v>
      </x:c>
      <x:c r="K1103" s="50" t="n">
        <x:v>0.264186</x:v>
      </x:c>
      <x:c r="L1103" s="47" t="n">
        <x:v>842.04</x:v>
      </x:c>
      <x:c r="M1103" s="47" t="n">
        <x:v>595.32</x:v>
      </x:c>
      <x:c r="N1103" s="28" t="str">
        <x:v>top-left</x:v>
      </x:c>
      <x:c r="O1103" s="28" t="str">
        <x:v>PDF points</x:v>
      </x:c>
    </x:row>
    <x:row r="1104" ht="22" customHeight="1">
      <x:c r="A1104" s="28" t="str">
        <x:v>ANC-SLE-048-01-R26</x:v>
      </x:c>
      <x:c r="B1104" s="28" t="str">
        <x:v>ANC-SLE-048-01</x:v>
      </x:c>
      <x:c r="C1104" s="28" t="n">
        <x:v>18</x:v>
      </x:c>
      <x:c r="D1104" s="47" t="n">
        <x:v>696</x:v>
      </x:c>
      <x:c r="E1104" s="47" t="n">
        <x:v>147.667</x:v>
      </x:c>
      <x:c r="F1104" s="47" t="n">
        <x:v>711.118</x:v>
      </x:c>
      <x:c r="G1104" s="47" t="n">
        <x:v>157.275</x:v>
      </x:c>
      <x:c r="H1104" s="50" t="n">
        <x:v>0.826564</x:v>
      </x:c>
      <x:c r="I1104" s="50" t="n">
        <x:v>0.248047</x:v>
      </x:c>
      <x:c r="J1104" s="50" t="n">
        <x:v>0.844518</x:v>
      </x:c>
      <x:c r="K1104" s="50" t="n">
        <x:v>0.264186</x:v>
      </x:c>
      <x:c r="L1104" s="47" t="n">
        <x:v>842.04</x:v>
      </x:c>
      <x:c r="M1104" s="47" t="n">
        <x:v>595.32</x:v>
      </x:c>
      <x:c r="N1104" s="28" t="str">
        <x:v>top-left</x:v>
      </x:c>
      <x:c r="O1104" s="28" t="str">
        <x:v>PDF points</x:v>
      </x:c>
    </x:row>
    <x:row r="1105" ht="22" customHeight="1">
      <x:c r="A1105" s="28" t="str">
        <x:v>ANC-SLE-048-01-R27</x:v>
      </x:c>
      <x:c r="B1105" s="28" t="str">
        <x:v>ANC-SLE-048-01</x:v>
      </x:c>
      <x:c r="C1105" s="28" t="n">
        <x:v>18</x:v>
      </x:c>
      <x:c r="D1105" s="47" t="n">
        <x:v>731.88</x:v>
      </x:c>
      <x:c r="E1105" s="47" t="n">
        <x:v>147.667</x:v>
      </x:c>
      <x:c r="F1105" s="47" t="n">
        <x:v>746.998</x:v>
      </x:c>
      <x:c r="G1105" s="47" t="n">
        <x:v>157.275</x:v>
      </x:c>
      <x:c r="H1105" s="50" t="n">
        <x:v>0.869175</x:v>
      </x:c>
      <x:c r="I1105" s="50" t="n">
        <x:v>0.248047</x:v>
      </x:c>
      <x:c r="J1105" s="50" t="n">
        <x:v>0.887129</x:v>
      </x:c>
      <x:c r="K1105" s="50" t="n">
        <x:v>0.264186</x:v>
      </x:c>
      <x:c r="L1105" s="47" t="n">
        <x:v>842.04</x:v>
      </x:c>
      <x:c r="M1105" s="47" t="n">
        <x:v>595.32</x:v>
      </x:c>
      <x:c r="N1105" s="28" t="str">
        <x:v>top-left</x:v>
      </x:c>
      <x:c r="O1105" s="28" t="str">
        <x:v>PDF points</x:v>
      </x:c>
    </x:row>
    <x:row r="1106" ht="22" customHeight="1">
      <x:c r="A1106" s="28" t="str">
        <x:v>ANC-SLE-048-01-R28</x:v>
      </x:c>
      <x:c r="B1106" s="28" t="str">
        <x:v>ANC-SLE-048-01</x:v>
      </x:c>
      <x:c r="C1106" s="28" t="n">
        <x:v>18</x:v>
      </x:c>
      <x:c r="D1106" s="47" t="n">
        <x:v>768.004</x:v>
      </x:c>
      <x:c r="E1106" s="47" t="n">
        <x:v>147.667</x:v>
      </x:c>
      <x:c r="F1106" s="47" t="n">
        <x:v>783.121</x:v>
      </x:c>
      <x:c r="G1106" s="47" t="n">
        <x:v>157.275</x:v>
      </x:c>
      <x:c r="H1106" s="50" t="n">
        <x:v>0.912075</x:v>
      </x:c>
      <x:c r="I1106" s="50" t="n">
        <x:v>0.248047</x:v>
      </x:c>
      <x:c r="J1106" s="50" t="n">
        <x:v>0.930029</x:v>
      </x:c>
      <x:c r="K1106" s="50" t="n">
        <x:v>0.264186</x:v>
      </x:c>
      <x:c r="L1106" s="47" t="n">
        <x:v>842.04</x:v>
      </x:c>
      <x:c r="M1106" s="47" t="n">
        <x:v>595.32</x:v>
      </x:c>
      <x:c r="N1106" s="28" t="str">
        <x:v>top-left</x:v>
      </x:c>
      <x:c r="O1106" s="28" t="str">
        <x:v>PDF points</x:v>
      </x:c>
    </x:row>
    <x:row r="1107" ht="22" customHeight="1">
      <x:c r="A1107" s="28" t="str">
        <x:v>ANC-SLE-048-01-R29</x:v>
      </x:c>
      <x:c r="B1107" s="28" t="str">
        <x:v>ANC-SLE-048-01</x:v>
      </x:c>
      <x:c r="C1107" s="28" t="n">
        <x:v>18</x:v>
      </x:c>
      <x:c r="D1107" s="47" t="n">
        <x:v>217.32</x:v>
      </x:c>
      <x:c r="E1107" s="47" t="n">
        <x:v>163.747</x:v>
      </x:c>
      <x:c r="F1107" s="47" t="n">
        <x:v>374.94</x:v>
      </x:c>
      <x:c r="G1107" s="47" t="n">
        <x:v>173.355</x:v>
      </x:c>
      <x:c r="H1107" s="50" t="n">
        <x:v>0.258088</x:v>
      </x:c>
      <x:c r="I1107" s="50" t="n">
        <x:v>0.275058</x:v>
      </x:c>
      <x:c r="J1107" s="50" t="n">
        <x:v>0.445276</x:v>
      </x:c>
      <x:c r="K1107" s="50" t="n">
        <x:v>0.291197</x:v>
      </x:c>
      <x:c r="L1107" s="47" t="n">
        <x:v>842.04</x:v>
      </x:c>
      <x:c r="M1107" s="47" t="n">
        <x:v>595.32</x:v>
      </x:c>
      <x:c r="N1107" s="28" t="str">
        <x:v>top-left</x:v>
      </x:c>
      <x:c r="O1107" s="28" t="str">
        <x:v>PDF points</x:v>
      </x:c>
    </x:row>
    <x:row r="1108" ht="22" customHeight="1">
      <x:c r="A1108" s="28" t="str">
        <x:v>ANC-SLE-048-01-R30</x:v>
      </x:c>
      <x:c r="B1108" s="28" t="str">
        <x:v>ANC-SLE-048-01</x:v>
      </x:c>
      <x:c r="C1108" s="28" t="n">
        <x:v>18</x:v>
      </x:c>
      <x:c r="D1108" s="47" t="n">
        <x:v>476.28</x:v>
      </x:c>
      <x:c r="E1108" s="47" t="n">
        <x:v>166.507</x:v>
      </x:c>
      <x:c r="F1108" s="47" t="n">
        <x:v>491.398</x:v>
      </x:c>
      <x:c r="G1108" s="47" t="n">
        <x:v>176.115</x:v>
      </x:c>
      <x:c r="H1108" s="50" t="n">
        <x:v>0.565626</x:v>
      </x:c>
      <x:c r="I1108" s="50" t="n">
        <x:v>0.279694</x:v>
      </x:c>
      <x:c r="J1108" s="50" t="n">
        <x:v>0.58358</x:v>
      </x:c>
      <x:c r="K1108" s="50" t="n">
        <x:v>0.295833</x:v>
      </x:c>
      <x:c r="L1108" s="47" t="n">
        <x:v>842.04</x:v>
      </x:c>
      <x:c r="M1108" s="47" t="n">
        <x:v>595.32</x:v>
      </x:c>
      <x:c r="N1108" s="28" t="str">
        <x:v>top-left</x:v>
      </x:c>
      <x:c r="O1108" s="28" t="str">
        <x:v>PDF points</x:v>
      </x:c>
    </x:row>
    <x:row r="1109" ht="22" customHeight="1">
      <x:c r="A1109" s="28" t="str">
        <x:v>ANC-SLE-048-01-R31</x:v>
      </x:c>
      <x:c r="B1109" s="28" t="str">
        <x:v>ANC-SLE-048-01</x:v>
      </x:c>
      <x:c r="C1109" s="28" t="n">
        <x:v>18</x:v>
      </x:c>
      <x:c r="D1109" s="47" t="n">
        <x:v>526.924</x:v>
      </x:c>
      <x:c r="E1109" s="47" t="n">
        <x:v>166.507</x:v>
      </x:c>
      <x:c r="F1109" s="47" t="n">
        <x:v>542.042</x:v>
      </x:c>
      <x:c r="G1109" s="47" t="n">
        <x:v>176.115</x:v>
      </x:c>
      <x:c r="H1109" s="50" t="n">
        <x:v>0.625771</x:v>
      </x:c>
      <x:c r="I1109" s="50" t="n">
        <x:v>0.279694</x:v>
      </x:c>
      <x:c r="J1109" s="50" t="n">
        <x:v>0.643724</x:v>
      </x:c>
      <x:c r="K1109" s="50" t="n">
        <x:v>0.295833</x:v>
      </x:c>
      <x:c r="L1109" s="47" t="n">
        <x:v>842.04</x:v>
      </x:c>
      <x:c r="M1109" s="47" t="n">
        <x:v>595.32</x:v>
      </x:c>
      <x:c r="N1109" s="28" t="str">
        <x:v>top-left</x:v>
      </x:c>
      <x:c r="O1109" s="28" t="str">
        <x:v>PDF points</x:v>
      </x:c>
    </x:row>
    <x:row r="1110" ht="22" customHeight="1">
      <x:c r="A1110" s="28" t="str">
        <x:v>ANC-SLE-048-01-R32</x:v>
      </x:c>
      <x:c r="B1110" s="28" t="str">
        <x:v>ANC-SLE-048-01</x:v>
      </x:c>
      <x:c r="C1110" s="28" t="n">
        <x:v>18</x:v>
      </x:c>
      <x:c r="D1110" s="47" t="n">
        <x:v>576.482</x:v>
      </x:c>
      <x:c r="E1110" s="47" t="n">
        <x:v>166.507</x:v>
      </x:c>
      <x:c r="F1110" s="47" t="n">
        <x:v>591.6</x:v>
      </x:c>
      <x:c r="G1110" s="47" t="n">
        <x:v>176.115</x:v>
      </x:c>
      <x:c r="H1110" s="50" t="n">
        <x:v>0.684626</x:v>
      </x:c>
      <x:c r="I1110" s="50" t="n">
        <x:v>0.279694</x:v>
      </x:c>
      <x:c r="J1110" s="50" t="n">
        <x:v>0.70258</x:v>
      </x:c>
      <x:c r="K1110" s="50" t="n">
        <x:v>0.295833</x:v>
      </x:c>
      <x:c r="L1110" s="47" t="n">
        <x:v>842.04</x:v>
      </x:c>
      <x:c r="M1110" s="47" t="n">
        <x:v>595.32</x:v>
      </x:c>
      <x:c r="N1110" s="28" t="str">
        <x:v>top-left</x:v>
      </x:c>
      <x:c r="O1110" s="28" t="str">
        <x:v>PDF points</x:v>
      </x:c>
    </x:row>
    <x:row r="1111" ht="22" customHeight="1">
      <x:c r="A1111" s="28" t="str">
        <x:v>ANC-SLE-048-01-R33</x:v>
      </x:c>
      <x:c r="B1111" s="28" t="str">
        <x:v>ANC-SLE-048-01</x:v>
      </x:c>
      <x:c r="C1111" s="28" t="n">
        <x:v>18</x:v>
      </x:c>
      <x:c r="D1111" s="47" t="n">
        <x:v>616.92</x:v>
      </x:c>
      <x:c r="E1111" s="47" t="n">
        <x:v>166.507</x:v>
      </x:c>
      <x:c r="F1111" s="47" t="n">
        <x:v>632.038</x:v>
      </x:c>
      <x:c r="G1111" s="47" t="n">
        <x:v>176.115</x:v>
      </x:c>
      <x:c r="H1111" s="50" t="n">
        <x:v>0.732649</x:v>
      </x:c>
      <x:c r="I1111" s="50" t="n">
        <x:v>0.279694</x:v>
      </x:c>
      <x:c r="J1111" s="50" t="n">
        <x:v>0.750603</x:v>
      </x:c>
      <x:c r="K1111" s="50" t="n">
        <x:v>0.295833</x:v>
      </x:c>
      <x:c r="L1111" s="47" t="n">
        <x:v>842.04</x:v>
      </x:c>
      <x:c r="M1111" s="47" t="n">
        <x:v>595.32</x:v>
      </x:c>
      <x:c r="N1111" s="28" t="str">
        <x:v>top-left</x:v>
      </x:c>
      <x:c r="O1111" s="28" t="str">
        <x:v>PDF points</x:v>
      </x:c>
    </x:row>
    <x:row r="1112" ht="22" customHeight="1">
      <x:c r="A1112" s="28" t="str">
        <x:v>ANC-SLE-048-01-R34</x:v>
      </x:c>
      <x:c r="B1112" s="28" t="str">
        <x:v>ANC-SLE-048-01</x:v>
      </x:c>
      <x:c r="C1112" s="28" t="n">
        <x:v>18</x:v>
      </x:c>
      <x:c r="D1112" s="47" t="n">
        <x:v>656.52</x:v>
      </x:c>
      <x:c r="E1112" s="47" t="n">
        <x:v>166.507</x:v>
      </x:c>
      <x:c r="F1112" s="47" t="n">
        <x:v>671.638</x:v>
      </x:c>
      <x:c r="G1112" s="47" t="n">
        <x:v>176.115</x:v>
      </x:c>
      <x:c r="H1112" s="50" t="n">
        <x:v>0.779678</x:v>
      </x:c>
      <x:c r="I1112" s="50" t="n">
        <x:v>0.279694</x:v>
      </x:c>
      <x:c r="J1112" s="50" t="n">
        <x:v>0.797632</x:v>
      </x:c>
      <x:c r="K1112" s="50" t="n">
        <x:v>0.295833</x:v>
      </x:c>
      <x:c r="L1112" s="47" t="n">
        <x:v>842.04</x:v>
      </x:c>
      <x:c r="M1112" s="47" t="n">
        <x:v>595.32</x:v>
      </x:c>
      <x:c r="N1112" s="28" t="str">
        <x:v>top-left</x:v>
      </x:c>
      <x:c r="O1112" s="28" t="str">
        <x:v>PDF points</x:v>
      </x:c>
    </x:row>
    <x:row r="1113" ht="22" customHeight="1">
      <x:c r="A1113" s="28" t="str">
        <x:v>ANC-SLE-048-01-R35</x:v>
      </x:c>
      <x:c r="B1113" s="28" t="str">
        <x:v>ANC-SLE-048-01</x:v>
      </x:c>
      <x:c r="C1113" s="28" t="n">
        <x:v>18</x:v>
      </x:c>
      <x:c r="D1113" s="47" t="n">
        <x:v>696</x:v>
      </x:c>
      <x:c r="E1113" s="47" t="n">
        <x:v>166.507</x:v>
      </x:c>
      <x:c r="F1113" s="47" t="n">
        <x:v>711.118</x:v>
      </x:c>
      <x:c r="G1113" s="47" t="n">
        <x:v>176.115</x:v>
      </x:c>
      <x:c r="H1113" s="50" t="n">
        <x:v>0.826564</x:v>
      </x:c>
      <x:c r="I1113" s="50" t="n">
        <x:v>0.279694</x:v>
      </x:c>
      <x:c r="J1113" s="50" t="n">
        <x:v>0.844518</x:v>
      </x:c>
      <x:c r="K1113" s="50" t="n">
        <x:v>0.295833</x:v>
      </x:c>
      <x:c r="L1113" s="47" t="n">
        <x:v>842.04</x:v>
      </x:c>
      <x:c r="M1113" s="47" t="n">
        <x:v>595.32</x:v>
      </x:c>
      <x:c r="N1113" s="28" t="str">
        <x:v>top-left</x:v>
      </x:c>
      <x:c r="O1113" s="28" t="str">
        <x:v>PDF points</x:v>
      </x:c>
    </x:row>
    <x:row r="1114" ht="22" customHeight="1">
      <x:c r="A1114" s="28" t="str">
        <x:v>ANC-SLE-048-01-R36</x:v>
      </x:c>
      <x:c r="B1114" s="28" t="str">
        <x:v>ANC-SLE-048-01</x:v>
      </x:c>
      <x:c r="C1114" s="28" t="n">
        <x:v>18</x:v>
      </x:c>
      <x:c r="D1114" s="47" t="n">
        <x:v>731.88</x:v>
      </x:c>
      <x:c r="E1114" s="47" t="n">
        <x:v>166.507</x:v>
      </x:c>
      <x:c r="F1114" s="47" t="n">
        <x:v>746.998</x:v>
      </x:c>
      <x:c r="G1114" s="47" t="n">
        <x:v>176.115</x:v>
      </x:c>
      <x:c r="H1114" s="50" t="n">
        <x:v>0.869175</x:v>
      </x:c>
      <x:c r="I1114" s="50" t="n">
        <x:v>0.279694</x:v>
      </x:c>
      <x:c r="J1114" s="50" t="n">
        <x:v>0.887129</x:v>
      </x:c>
      <x:c r="K1114" s="50" t="n">
        <x:v>0.295833</x:v>
      </x:c>
      <x:c r="L1114" s="47" t="n">
        <x:v>842.04</x:v>
      </x:c>
      <x:c r="M1114" s="47" t="n">
        <x:v>595.32</x:v>
      </x:c>
      <x:c r="N1114" s="28" t="str">
        <x:v>top-left</x:v>
      </x:c>
      <x:c r="O1114" s="28" t="str">
        <x:v>PDF points</x:v>
      </x:c>
    </x:row>
    <x:row r="1115" ht="22" customHeight="1">
      <x:c r="A1115" s="28" t="str">
        <x:v>ANC-SLE-048-01-R37</x:v>
      </x:c>
      <x:c r="B1115" s="28" t="str">
        <x:v>ANC-SLE-048-01</x:v>
      </x:c>
      <x:c r="C1115" s="28" t="n">
        <x:v>18</x:v>
      </x:c>
      <x:c r="D1115" s="47" t="n">
        <x:v>768</x:v>
      </x:c>
      <x:c r="E1115" s="47" t="n">
        <x:v>166.507</x:v>
      </x:c>
      <x:c r="F1115" s="47" t="n">
        <x:v>783.118</x:v>
      </x:c>
      <x:c r="G1115" s="47" t="n">
        <x:v>176.115</x:v>
      </x:c>
      <x:c r="H1115" s="50" t="n">
        <x:v>0.912071</x:v>
      </x:c>
      <x:c r="I1115" s="50" t="n">
        <x:v>0.279694</x:v>
      </x:c>
      <x:c r="J1115" s="50" t="n">
        <x:v>0.930024</x:v>
      </x:c>
      <x:c r="K1115" s="50" t="n">
        <x:v>0.295833</x:v>
      </x:c>
      <x:c r="L1115" s="47" t="n">
        <x:v>842.04</x:v>
      </x:c>
      <x:c r="M1115" s="47" t="n">
        <x:v>595.32</x:v>
      </x:c>
      <x:c r="N1115" s="28" t="str">
        <x:v>top-left</x:v>
      </x:c>
      <x:c r="O1115" s="28" t="str">
        <x:v>PDF points</x:v>
      </x:c>
    </x:row>
    <x:row r="1116" ht="22" customHeight="1">
      <x:c r="A1116" s="28" t="str">
        <x:v>ANC-SLE-048-01-R38</x:v>
      </x:c>
      <x:c r="B1116" s="28" t="str">
        <x:v>ANC-SLE-048-01</x:v>
      </x:c>
      <x:c r="C1116" s="28" t="n">
        <x:v>18</x:v>
      </x:c>
      <x:c r="D1116" s="47" t="n">
        <x:v>57</x:v>
      </x:c>
      <x:c r="E1116" s="47" t="n">
        <x:v>178.507</x:v>
      </x:c>
      <x:c r="F1116" s="47" t="n">
        <x:v>106.151</x:v>
      </x:c>
      <x:c r="G1116" s="47" t="n">
        <x:v>187.753</x:v>
      </x:c>
      <x:c r="H1116" s="50" t="n">
        <x:v>0.067693</x:v>
      </x:c>
      <x:c r="I1116" s="50" t="n">
        <x:v>0.299851</x:v>
      </x:c>
      <x:c r="J1116" s="50" t="n">
        <x:v>0.126064</x:v>
      </x:c>
      <x:c r="K1116" s="50" t="n">
        <x:v>0.315382</x:v>
      </x:c>
      <x:c r="L1116" s="47" t="n">
        <x:v>842.04</x:v>
      </x:c>
      <x:c r="M1116" s="47" t="n">
        <x:v>595.32</x:v>
      </x:c>
      <x:c r="N1116" s="28" t="str">
        <x:v>top-left</x:v>
      </x:c>
      <x:c r="O1116" s="28" t="str">
        <x:v>PDF points</x:v>
      </x:c>
    </x:row>
    <x:row r="1117" ht="22" customHeight="1">
      <x:c r="A1117" s="28" t="str">
        <x:v>ANC-SLE-048-01-R39</x:v>
      </x:c>
      <x:c r="B1117" s="28" t="str">
        <x:v>ANC-SLE-048-01</x:v>
      </x:c>
      <x:c r="C1117" s="28" t="n">
        <x:v>18</x:v>
      </x:c>
      <x:c r="D1117" s="47" t="n">
        <x:v>122.88</x:v>
      </x:c>
      <x:c r="E1117" s="47" t="n">
        <x:v>178.507</x:v>
      </x:c>
      <x:c r="F1117" s="47" t="n">
        <x:v>199.601</x:v>
      </x:c>
      <x:c r="G1117" s="47" t="n">
        <x:v>188.115</x:v>
      </x:c>
      <x:c r="H1117" s="50" t="n">
        <x:v>0.145931</x:v>
      </x:c>
      <x:c r="I1117" s="50" t="n">
        <x:v>0.299851</x:v>
      </x:c>
      <x:c r="J1117" s="50" t="n">
        <x:v>0.237045</x:v>
      </x:c>
      <x:c r="K1117" s="50" t="n">
        <x:v>0.31599</x:v>
      </x:c>
      <x:c r="L1117" s="47" t="n">
        <x:v>842.04</x:v>
      </x:c>
      <x:c r="M1117" s="47" t="n">
        <x:v>595.32</x:v>
      </x:c>
      <x:c r="N1117" s="28" t="str">
        <x:v>top-left</x:v>
      </x:c>
      <x:c r="O1117" s="28" t="str">
        <x:v>PDF points</x:v>
      </x:c>
    </x:row>
    <x:row r="1118" ht="22" customHeight="1">
      <x:c r="A1118" s="28" t="str">
        <x:v>ANC-SLE-048-01-R40</x:v>
      </x:c>
      <x:c r="B1118" s="28" t="str">
        <x:v>ANC-SLE-048-01</x:v>
      </x:c>
      <x:c r="C1118" s="28" t="n">
        <x:v>18</x:v>
      </x:c>
      <x:c r="D1118" s="47" t="n">
        <x:v>217.32</x:v>
      </x:c>
      <x:c r="E1118" s="47" t="n">
        <x:v>178.507</x:v>
      </x:c>
      <x:c r="F1118" s="47" t="n">
        <x:v>244.255</x:v>
      </x:c>
      <x:c r="G1118" s="47" t="n">
        <x:v>188.115</x:v>
      </x:c>
      <x:c r="H1118" s="50" t="n">
        <x:v>0.258088</x:v>
      </x:c>
      <x:c r="I1118" s="50" t="n">
        <x:v>0.299851</x:v>
      </x:c>
      <x:c r="J1118" s="50" t="n">
        <x:v>0.290075</x:v>
      </x:c>
      <x:c r="K1118" s="50" t="n">
        <x:v>0.31599</x:v>
      </x:c>
      <x:c r="L1118" s="47" t="n">
        <x:v>842.04</x:v>
      </x:c>
      <x:c r="M1118" s="47" t="n">
        <x:v>595.32</x:v>
      </x:c>
      <x:c r="N1118" s="28" t="str">
        <x:v>top-left</x:v>
      </x:c>
      <x:c r="O1118" s="28" t="str">
        <x:v>PDF points</x:v>
      </x:c>
    </x:row>
    <x:row r="1119" ht="22" customHeight="1">
      <x:c r="A1119" s="28" t="str">
        <x:v>ANC-SLE-049-01-R01</x:v>
      </x:c>
      <x:c r="B1119" s="28" t="str">
        <x:v>ANC-SLE-049-01</x:v>
      </x:c>
      <x:c r="C1119" s="28" t="n">
        <x:v>18</x:v>
      </x:c>
      <x:c r="D1119" s="47" t="n">
        <x:v>217.32</x:v>
      </x:c>
      <x:c r="E1119" s="47" t="n">
        <x:v>163.747</x:v>
      </x:c>
      <x:c r="F1119" s="47" t="n">
        <x:v>374.94</x:v>
      </x:c>
      <x:c r="G1119" s="47" t="n">
        <x:v>173.355</x:v>
      </x:c>
      <x:c r="H1119" s="50" t="n">
        <x:v>0.258088</x:v>
      </x:c>
      <x:c r="I1119" s="50" t="n">
        <x:v>0.275058</x:v>
      </x:c>
      <x:c r="J1119" s="50" t="n">
        <x:v>0.445276</x:v>
      </x:c>
      <x:c r="K1119" s="50" t="n">
        <x:v>0.291197</x:v>
      </x:c>
      <x:c r="L1119" s="47" t="n">
        <x:v>842.04</x:v>
      </x:c>
      <x:c r="M1119" s="47" t="n">
        <x:v>595.32</x:v>
      </x:c>
      <x:c r="N1119" s="28" t="str">
        <x:v>top-left</x:v>
      </x:c>
      <x:c r="O1119" s="28" t="str">
        <x:v>PDF points</x:v>
      </x:c>
    </x:row>
    <x:row r="1120" ht="22" customHeight="1">
      <x:c r="A1120" s="28" t="str">
        <x:v>ANC-SLE-050-01-R01</x:v>
      </x:c>
      <x:c r="B1120" s="28" t="str">
        <x:v>ANC-SLE-050-01</x:v>
      </x:c>
      <x:c r="C1120" s="28" t="n">
        <x:v>18</x:v>
      </x:c>
      <x:c r="D1120" s="47" t="n">
        <x:v>476.28</x:v>
      </x:c>
      <x:c r="E1120" s="47" t="n">
        <x:v>242.947</x:v>
      </x:c>
      <x:c r="F1120" s="47" t="n">
        <x:v>491.398</x:v>
      </x:c>
      <x:c r="G1120" s="47" t="n">
        <x:v>252.555</x:v>
      </x:c>
      <x:c r="H1120" s="50" t="n">
        <x:v>0.565626</x:v>
      </x:c>
      <x:c r="I1120" s="50" t="n">
        <x:v>0.408095</x:v>
      </x:c>
      <x:c r="J1120" s="50" t="n">
        <x:v>0.58358</x:v>
      </x:c>
      <x:c r="K1120" s="50" t="n">
        <x:v>0.424234</x:v>
      </x:c>
      <x:c r="L1120" s="47" t="n">
        <x:v>842.04</x:v>
      </x:c>
      <x:c r="M1120" s="47" t="n">
        <x:v>595.32</x:v>
      </x:c>
      <x:c r="N1120" s="28" t="str">
        <x:v>top-left</x:v>
      </x:c>
      <x:c r="O1120" s="28" t="str">
        <x:v>PDF points</x:v>
      </x:c>
    </x:row>
    <x:row r="1121" ht="22" customHeight="1">
      <x:c r="A1121" s="28" t="str">
        <x:v>ANC-SLE-050-01-R02</x:v>
      </x:c>
      <x:c r="B1121" s="28" t="str">
        <x:v>ANC-SLE-050-01</x:v>
      </x:c>
      <x:c r="C1121" s="28" t="n">
        <x:v>18</x:v>
      </x:c>
      <x:c r="D1121" s="47" t="n">
        <x:v>526.924</x:v>
      </x:c>
      <x:c r="E1121" s="47" t="n">
        <x:v>242.947</x:v>
      </x:c>
      <x:c r="F1121" s="47" t="n">
        <x:v>542.042</x:v>
      </x:c>
      <x:c r="G1121" s="47" t="n">
        <x:v>252.555</x:v>
      </x:c>
      <x:c r="H1121" s="50" t="n">
        <x:v>0.625771</x:v>
      </x:c>
      <x:c r="I1121" s="50" t="n">
        <x:v>0.408095</x:v>
      </x:c>
      <x:c r="J1121" s="50" t="n">
        <x:v>0.643724</x:v>
      </x:c>
      <x:c r="K1121" s="50" t="n">
        <x:v>0.424234</x:v>
      </x:c>
      <x:c r="L1121" s="47" t="n">
        <x:v>842.04</x:v>
      </x:c>
      <x:c r="M1121" s="47" t="n">
        <x:v>595.32</x:v>
      </x:c>
      <x:c r="N1121" s="28" t="str">
        <x:v>top-left</x:v>
      </x:c>
      <x:c r="O1121" s="28" t="str">
        <x:v>PDF points</x:v>
      </x:c>
    </x:row>
    <x:row r="1122" ht="22" customHeight="1">
      <x:c r="A1122" s="28" t="str">
        <x:v>ANC-SLE-050-01-R03</x:v>
      </x:c>
      <x:c r="B1122" s="28" t="str">
        <x:v>ANC-SLE-050-01</x:v>
      </x:c>
      <x:c r="C1122" s="28" t="n">
        <x:v>18</x:v>
      </x:c>
      <x:c r="D1122" s="47" t="n">
        <x:v>576.482</x:v>
      </x:c>
      <x:c r="E1122" s="47" t="n">
        <x:v>242.947</x:v>
      </x:c>
      <x:c r="F1122" s="47" t="n">
        <x:v>591.6</x:v>
      </x:c>
      <x:c r="G1122" s="47" t="n">
        <x:v>252.555</x:v>
      </x:c>
      <x:c r="H1122" s="50" t="n">
        <x:v>0.684626</x:v>
      </x:c>
      <x:c r="I1122" s="50" t="n">
        <x:v>0.408095</x:v>
      </x:c>
      <x:c r="J1122" s="50" t="n">
        <x:v>0.70258</x:v>
      </x:c>
      <x:c r="K1122" s="50" t="n">
        <x:v>0.424234</x:v>
      </x:c>
      <x:c r="L1122" s="47" t="n">
        <x:v>842.04</x:v>
      </x:c>
      <x:c r="M1122" s="47" t="n">
        <x:v>595.32</x:v>
      </x:c>
      <x:c r="N1122" s="28" t="str">
        <x:v>top-left</x:v>
      </x:c>
      <x:c r="O1122" s="28" t="str">
        <x:v>PDF points</x:v>
      </x:c>
    </x:row>
    <x:row r="1123" ht="22" customHeight="1">
      <x:c r="A1123" s="28" t="str">
        <x:v>ANC-SLE-050-01-R04</x:v>
      </x:c>
      <x:c r="B1123" s="28" t="str">
        <x:v>ANC-SLE-050-01</x:v>
      </x:c>
      <x:c r="C1123" s="28" t="n">
        <x:v>18</x:v>
      </x:c>
      <x:c r="D1123" s="47" t="n">
        <x:v>614.76</x:v>
      </x:c>
      <x:c r="E1123" s="47" t="n">
        <x:v>242.947</x:v>
      </x:c>
      <x:c r="F1123" s="47" t="n">
        <x:v>634.318</x:v>
      </x:c>
      <x:c r="G1123" s="47" t="n">
        <x:v>252.555</x:v>
      </x:c>
      <x:c r="H1123" s="50" t="n">
        <x:v>0.730084</x:v>
      </x:c>
      <x:c r="I1123" s="50" t="n">
        <x:v>0.408095</x:v>
      </x:c>
      <x:c r="J1123" s="50" t="n">
        <x:v>0.753311</x:v>
      </x:c>
      <x:c r="K1123" s="50" t="n">
        <x:v>0.424234</x:v>
      </x:c>
      <x:c r="L1123" s="47" t="n">
        <x:v>842.04</x:v>
      </x:c>
      <x:c r="M1123" s="47" t="n">
        <x:v>595.32</x:v>
      </x:c>
      <x:c r="N1123" s="28" t="str">
        <x:v>top-left</x:v>
      </x:c>
      <x:c r="O1123" s="28" t="str">
        <x:v>PDF points</x:v>
      </x:c>
    </x:row>
    <x:row r="1124" ht="22" customHeight="1">
      <x:c r="A1124" s="28" t="str">
        <x:v>ANC-SLE-050-01-R05</x:v>
      </x:c>
      <x:c r="B1124" s="28" t="str">
        <x:v>ANC-SLE-050-01</x:v>
      </x:c>
      <x:c r="C1124" s="28" t="n">
        <x:v>18</x:v>
      </x:c>
      <x:c r="D1124" s="47" t="n">
        <x:v>656.52</x:v>
      </x:c>
      <x:c r="E1124" s="47" t="n">
        <x:v>242.947</x:v>
      </x:c>
      <x:c r="F1124" s="47" t="n">
        <x:v>671.637</x:v>
      </x:c>
      <x:c r="G1124" s="47" t="n">
        <x:v>252.555</x:v>
      </x:c>
      <x:c r="H1124" s="50" t="n">
        <x:v>0.779678</x:v>
      </x:c>
      <x:c r="I1124" s="50" t="n">
        <x:v>0.408095</x:v>
      </x:c>
      <x:c r="J1124" s="50" t="n">
        <x:v>0.797631</x:v>
      </x:c>
      <x:c r="K1124" s="50" t="n">
        <x:v>0.424234</x:v>
      </x:c>
      <x:c r="L1124" s="47" t="n">
        <x:v>842.04</x:v>
      </x:c>
      <x:c r="M1124" s="47" t="n">
        <x:v>595.32</x:v>
      </x:c>
      <x:c r="N1124" s="28" t="str">
        <x:v>top-left</x:v>
      </x:c>
      <x:c r="O1124" s="28" t="str">
        <x:v>PDF points</x:v>
      </x:c>
    </x:row>
    <x:row r="1125" ht="22" customHeight="1">
      <x:c r="A1125" s="28" t="str">
        <x:v>ANC-SLE-050-01-R06</x:v>
      </x:c>
      <x:c r="B1125" s="28" t="str">
        <x:v>ANC-SLE-050-01</x:v>
      </x:c>
      <x:c r="C1125" s="28" t="n">
        <x:v>18</x:v>
      </x:c>
      <x:c r="D1125" s="47" t="n">
        <x:v>696.004</x:v>
      </x:c>
      <x:c r="E1125" s="47" t="n">
        <x:v>242.947</x:v>
      </x:c>
      <x:c r="F1125" s="47" t="n">
        <x:v>711.122</x:v>
      </x:c>
      <x:c r="G1125" s="47" t="n">
        <x:v>252.555</x:v>
      </x:c>
      <x:c r="H1125" s="50" t="n">
        <x:v>0.826569</x:v>
      </x:c>
      <x:c r="I1125" s="50" t="n">
        <x:v>0.408095</x:v>
      </x:c>
      <x:c r="J1125" s="50" t="n">
        <x:v>0.844523</x:v>
      </x:c>
      <x:c r="K1125" s="50" t="n">
        <x:v>0.424234</x:v>
      </x:c>
      <x:c r="L1125" s="47" t="n">
        <x:v>842.04</x:v>
      </x:c>
      <x:c r="M1125" s="47" t="n">
        <x:v>595.32</x:v>
      </x:c>
      <x:c r="N1125" s="28" t="str">
        <x:v>top-left</x:v>
      </x:c>
      <x:c r="O1125" s="28" t="str">
        <x:v>PDF points</x:v>
      </x:c>
    </x:row>
    <x:row r="1126" ht="22" customHeight="1">
      <x:c r="A1126" s="28" t="str">
        <x:v>ANC-SLE-050-01-R07</x:v>
      </x:c>
      <x:c r="B1126" s="28" t="str">
        <x:v>ANC-SLE-050-01</x:v>
      </x:c>
      <x:c r="C1126" s="28" t="n">
        <x:v>18</x:v>
      </x:c>
      <x:c r="D1126" s="47" t="n">
        <x:v>731.887</x:v>
      </x:c>
      <x:c r="E1126" s="47" t="n">
        <x:v>242.947</x:v>
      </x:c>
      <x:c r="F1126" s="47" t="n">
        <x:v>747.004</x:v>
      </x:c>
      <x:c r="G1126" s="47" t="n">
        <x:v>252.555</x:v>
      </x:c>
      <x:c r="H1126" s="50" t="n">
        <x:v>0.869183</x:v>
      </x:c>
      <x:c r="I1126" s="50" t="n">
        <x:v>0.408095</x:v>
      </x:c>
      <x:c r="J1126" s="50" t="n">
        <x:v>0.887136</x:v>
      </x:c>
      <x:c r="K1126" s="50" t="n">
        <x:v>0.424234</x:v>
      </x:c>
      <x:c r="L1126" s="47" t="n">
        <x:v>842.04</x:v>
      </x:c>
      <x:c r="M1126" s="47" t="n">
        <x:v>595.32</x:v>
      </x:c>
      <x:c r="N1126" s="28" t="str">
        <x:v>top-left</x:v>
      </x:c>
      <x:c r="O1126" s="28" t="str">
        <x:v>PDF points</x:v>
      </x:c>
    </x:row>
    <x:row r="1127" ht="22" customHeight="1">
      <x:c r="A1127" s="28" t="str">
        <x:v>ANC-SLE-050-01-R08</x:v>
      </x:c>
      <x:c r="B1127" s="28" t="str">
        <x:v>ANC-SLE-050-01</x:v>
      </x:c>
      <x:c r="C1127" s="28" t="n">
        <x:v>18</x:v>
      </x:c>
      <x:c r="D1127" s="47" t="n">
        <x:v>768.01</x:v>
      </x:c>
      <x:c r="E1127" s="47" t="n">
        <x:v>242.947</x:v>
      </x:c>
      <x:c r="F1127" s="47" t="n">
        <x:v>783.128</x:v>
      </x:c>
      <x:c r="G1127" s="47" t="n">
        <x:v>252.555</x:v>
      </x:c>
      <x:c r="H1127" s="50" t="n">
        <x:v>0.912083</x:v>
      </x:c>
      <x:c r="I1127" s="50" t="n">
        <x:v>0.408095</x:v>
      </x:c>
      <x:c r="J1127" s="50" t="n">
        <x:v>0.930037</x:v>
      </x:c>
      <x:c r="K1127" s="50" t="n">
        <x:v>0.424234</x:v>
      </x:c>
      <x:c r="L1127" s="47" t="n">
        <x:v>842.04</x:v>
      </x:c>
      <x:c r="M1127" s="47" t="n">
        <x:v>595.32</x:v>
      </x:c>
      <x:c r="N1127" s="28" t="str">
        <x:v>top-left</x:v>
      </x:c>
      <x:c r="O1127" s="28" t="str">
        <x:v>PDF points</x:v>
      </x:c>
    </x:row>
    <x:row r="1128" ht="22" customHeight="1">
      <x:c r="A1128" s="28" t="str">
        <x:v>ANC-SLE-050-01-R09</x:v>
      </x:c>
      <x:c r="B1128" s="28" t="str">
        <x:v>ANC-SLE-050-01</x:v>
      </x:c>
      <x:c r="C1128" s="28" t="n">
        <x:v>18</x:v>
      </x:c>
      <x:c r="D1128" s="47" t="n">
        <x:v>217.32</x:v>
      </x:c>
      <x:c r="E1128" s="47" t="n">
        <x:v>258.427</x:v>
      </x:c>
      <x:c r="F1128" s="47" t="n">
        <x:v>439.983</x:v>
      </x:c>
      <x:c r="G1128" s="47" t="n">
        <x:v>268.035</x:v>
      </x:c>
      <x:c r="H1128" s="50" t="n">
        <x:v>0.258088</x:v>
      </x:c>
      <x:c r="I1128" s="50" t="n">
        <x:v>0.434098</x:v>
      </x:c>
      <x:c r="J1128" s="50" t="n">
        <x:v>0.52252</x:v>
      </x:c>
      <x:c r="K1128" s="50" t="n">
        <x:v>0.450237</x:v>
      </x:c>
      <x:c r="L1128" s="47" t="n">
        <x:v>842.04</x:v>
      </x:c>
      <x:c r="M1128" s="47" t="n">
        <x:v>595.32</x:v>
      </x:c>
      <x:c r="N1128" s="28" t="str">
        <x:v>top-left</x:v>
      </x:c>
      <x:c r="O1128" s="28" t="str">
        <x:v>PDF points</x:v>
      </x:c>
    </x:row>
    <x:row r="1129" ht="22" customHeight="1">
      <x:c r="A1129" s="28" t="str">
        <x:v>ANC-SLE-050-01-R10</x:v>
      </x:c>
      <x:c r="B1129" s="28" t="str">
        <x:v>ANC-SLE-050-01</x:v>
      </x:c>
      <x:c r="C1129" s="28" t="n">
        <x:v>18</x:v>
      </x:c>
      <x:c r="D1129" s="47" t="n">
        <x:v>217.32</x:v>
      </x:c>
      <x:c r="E1129" s="47" t="n">
        <x:v>267.187</x:v>
      </x:c>
      <x:c r="F1129" s="47" t="n">
        <x:v>323.841</x:v>
      </x:c>
      <x:c r="G1129" s="47" t="n">
        <x:v>276.795</x:v>
      </x:c>
      <x:c r="H1129" s="50" t="n">
        <x:v>0.258088</x:v>
      </x:c>
      <x:c r="I1129" s="50" t="n">
        <x:v>0.448813</x:v>
      </x:c>
      <x:c r="J1129" s="50" t="n">
        <x:v>0.384591</x:v>
      </x:c>
      <x:c r="K1129" s="50" t="n">
        <x:v>0.464952</x:v>
      </x:c>
      <x:c r="L1129" s="47" t="n">
        <x:v>842.04</x:v>
      </x:c>
      <x:c r="M1129" s="47" t="n">
        <x:v>595.32</x:v>
      </x:c>
      <x:c r="N1129" s="28" t="str">
        <x:v>top-left</x:v>
      </x:c>
      <x:c r="O1129" s="28" t="str">
        <x:v>PDF points</x:v>
      </x:c>
    </x:row>
    <x:row r="1130" ht="22" customHeight="1">
      <x:c r="A1130" s="28" t="str">
        <x:v>ANC-SLE-051-01-R01</x:v>
      </x:c>
      <x:c r="B1130" s="28" t="str">
        <x:v>ANC-SLE-051-01</x:v>
      </x:c>
      <x:c r="C1130" s="28" t="n">
        <x:v>18</x:v>
      </x:c>
      <x:c r="D1130" s="47" t="n">
        <x:v>217.32</x:v>
      </x:c>
      <x:c r="E1130" s="47" t="n">
        <x:v>236.587</x:v>
      </x:c>
      <x:c r="F1130" s="47" t="n">
        <x:v>411.037</x:v>
      </x:c>
      <x:c r="G1130" s="47" t="n">
        <x:v>246.195</x:v>
      </x:c>
      <x:c r="H1130" s="50" t="n">
        <x:v>0.258088</x:v>
      </x:c>
      <x:c r="I1130" s="50" t="n">
        <x:v>0.397412</x:v>
      </x:c>
      <x:c r="J1130" s="50" t="n">
        <x:v>0.488144</x:v>
      </x:c>
      <x:c r="K1130" s="50" t="n">
        <x:v>0.413551</x:v>
      </x:c>
      <x:c r="L1130" s="47" t="n">
        <x:v>842.04</x:v>
      </x:c>
      <x:c r="M1130" s="47" t="n">
        <x:v>595.32</x:v>
      </x:c>
      <x:c r="N1130" s="28" t="str">
        <x:v>top-left</x:v>
      </x:c>
      <x:c r="O1130" s="28" t="str">
        <x:v>PDF points</x:v>
      </x:c>
    </x:row>
    <x:row r="1131" ht="22" customHeight="1">
      <x:c r="A1131" s="28" t="str">
        <x:v>ANC-SLE-051-01-R02</x:v>
      </x:c>
      <x:c r="B1131" s="28" t="str">
        <x:v>ANC-SLE-051-01</x:v>
      </x:c>
      <x:c r="C1131" s="28" t="n">
        <x:v>18</x:v>
      </x:c>
      <x:c r="D1131" s="47" t="n">
        <x:v>217.32</x:v>
      </x:c>
      <x:c r="E1131" s="47" t="n">
        <x:v>245.347</x:v>
      </x:c>
      <x:c r="F1131" s="47" t="n">
        <x:v>325.535</x:v>
      </x:c>
      <x:c r="G1131" s="47" t="n">
        <x:v>254.955</x:v>
      </x:c>
      <x:c r="H1131" s="50" t="n">
        <x:v>0.258088</x:v>
      </x:c>
      <x:c r="I1131" s="50" t="n">
        <x:v>0.412127</x:v>
      </x:c>
      <x:c r="J1131" s="50" t="n">
        <x:v>0.386603</x:v>
      </x:c>
      <x:c r="K1131" s="50" t="n">
        <x:v>0.428266</x:v>
      </x:c>
      <x:c r="L1131" s="47" t="n">
        <x:v>842.04</x:v>
      </x:c>
      <x:c r="M1131" s="47" t="n">
        <x:v>595.32</x:v>
      </x:c>
      <x:c r="N1131" s="28" t="str">
        <x:v>top-left</x:v>
      </x:c>
      <x:c r="O1131" s="28" t="str">
        <x:v>PDF points</x:v>
      </x:c>
    </x:row>
    <x:row r="1132" ht="22" customHeight="1">
      <x:c r="A1132" s="28" t="str">
        <x:v>ANC-SLE-052-01-R01</x:v>
      </x:c>
      <x:c r="B1132" s="28" t="str">
        <x:v>ANC-SLE-052-01</x:v>
      </x:c>
      <x:c r="C1132" s="28" t="n">
        <x:v>8</x:v>
      </x:c>
      <x:c r="D1132" s="47" t="n">
        <x:v>106.539</x:v>
      </x:c>
      <x:c r="E1132" s="47" t="n">
        <x:v>682.499</x:v>
      </x:c>
      <x:c r="F1132" s="47" t="n">
        <x:v>471.729</x:v>
      </x:c>
      <x:c r="G1132" s="47" t="n">
        <x:v>695.195</x:v>
      </x:c>
      <x:c r="H1132" s="50" t="n">
        <x:v>0.174084</x:v>
      </x:c>
      <x:c r="I1132" s="50" t="n">
        <x:v>0.861741</x:v>
      </x:c>
      <x:c r="J1132" s="50" t="n">
        <x:v>0.7708</x:v>
      </x:c>
      <x:c r="K1132" s="50" t="n">
        <x:v>0.877771</x:v>
      </x:c>
      <x:c r="L1132" s="47" t="n">
        <x:v>612</x:v>
      </x:c>
      <x:c r="M1132" s="47" t="n">
        <x:v>792</x:v>
      </x:c>
      <x:c r="N1132" s="28" t="str">
        <x:v>top-left</x:v>
      </x:c>
      <x:c r="O1132" s="28" t="str">
        <x:v>PDF points</x:v>
      </x:c>
    </x:row>
    <x:row r="1133" ht="22" customHeight="1">
      <x:c r="A1133" s="28" t="str">
        <x:v>ANC-SLE-053-01-R01</x:v>
      </x:c>
      <x:c r="B1133" s="28" t="str">
        <x:v>ANC-SLE-053-01</x:v>
      </x:c>
      <x:c r="C1133" s="28" t="n">
        <x:v>8</x:v>
      </x:c>
      <x:c r="D1133" s="47" t="n">
        <x:v>106.55</x:v>
      </x:c>
      <x:c r="E1133" s="47" t="n">
        <x:v>700.384</x:v>
      </x:c>
      <x:c r="F1133" s="47" t="n">
        <x:v>374.8</x:v>
      </x:c>
      <x:c r="G1133" s="47" t="n">
        <x:v>713.08</x:v>
      </x:c>
      <x:c r="H1133" s="50" t="n">
        <x:v>0.174102</x:v>
      </x:c>
      <x:c r="I1133" s="50" t="n">
        <x:v>0.884323</x:v>
      </x:c>
      <x:c r="J1133" s="50" t="n">
        <x:v>0.612419</x:v>
      </x:c>
      <x:c r="K1133" s="50" t="n">
        <x:v>0.900353</x:v>
      </x:c>
      <x:c r="L1133" s="47" t="n">
        <x:v>612</x:v>
      </x:c>
      <x:c r="M1133" s="47" t="n">
        <x:v>792</x:v>
      </x:c>
      <x:c r="N1133" s="28" t="str">
        <x:v>top-left</x:v>
      </x:c>
      <x:c r="O1133" s="28" t="str">
        <x:v>PDF points</x:v>
      </x:c>
    </x:row>
    <x:row r="1134" ht="22" customHeight="1">
      <x:c r="A1134" s="28" t="str">
        <x:v>ANC-SLE-054-01-R01</x:v>
      </x:c>
      <x:c r="B1134" s="28" t="str">
        <x:v>ANC-SLE-054-01</x:v>
      </x:c>
      <x:c r="C1134" s="28" t="n">
        <x:v>10</x:v>
      </x:c>
      <x:c r="D1134" s="47" t="n">
        <x:v>115.8</x:v>
      </x:c>
      <x:c r="E1134" s="47" t="n">
        <x:v>516.288</x:v>
      </x:c>
      <x:c r="F1134" s="47" t="n">
        <x:v>541.515</x:v>
      </x:c>
      <x:c r="G1134" s="47" t="n">
        <x:v>529.481</x:v>
      </x:c>
      <x:c r="H1134" s="50" t="n">
        <x:v>0.189215</x:v>
      </x:c>
      <x:c r="I1134" s="50" t="n">
        <x:v>0.651879</x:v>
      </x:c>
      <x:c r="J1134" s="50" t="n">
        <x:v>0.884829</x:v>
      </x:c>
      <x:c r="K1134" s="50" t="n">
        <x:v>0.668536</x:v>
      </x:c>
      <x:c r="L1134" s="47" t="n">
        <x:v>612</x:v>
      </x:c>
      <x:c r="M1134" s="47" t="n">
        <x:v>792</x:v>
      </x:c>
      <x:c r="N1134" s="28" t="str">
        <x:v>top-left</x:v>
      </x:c>
      <x:c r="O1134" s="28" t="str">
        <x:v>PDF points</x:v>
      </x:c>
    </x:row>
    <x:row r="1135" ht="22" customHeight="1">
      <x:c r="A1135" s="28" t="str">
        <x:v>ANC-SLE-054-01-R02</x:v>
      </x:c>
      <x:c r="B1135" s="28" t="str">
        <x:v>ANC-SLE-054-01</x:v>
      </x:c>
      <x:c r="C1135" s="28" t="n">
        <x:v>10</x:v>
      </x:c>
      <x:c r="D1135" s="47" t="n">
        <x:v>70.56</x:v>
      </x:c>
      <x:c r="E1135" s="47" t="n">
        <x:v>534.283</x:v>
      </x:c>
      <x:c r="F1135" s="47" t="n">
        <x:v>111.497</x:v>
      </x:c>
      <x:c r="G1135" s="47" t="n">
        <x:v>547.476</x:v>
      </x:c>
      <x:c r="H1135" s="50" t="n">
        <x:v>0.115294</x:v>
      </x:c>
      <x:c r="I1135" s="50" t="n">
        <x:v>0.6746</x:v>
      </x:c>
      <x:c r="J1135" s="50" t="n">
        <x:v>0.182185</x:v>
      </x:c>
      <x:c r="K1135" s="50" t="n">
        <x:v>0.691258</x:v>
      </x:c>
      <x:c r="L1135" s="47" t="n">
        <x:v>612</x:v>
      </x:c>
      <x:c r="M1135" s="47" t="n">
        <x:v>792</x:v>
      </x:c>
      <x:c r="N1135" s="28" t="str">
        <x:v>top-left</x:v>
      </x:c>
      <x:c r="O1135" s="28" t="str">
        <x:v>PDF points</x:v>
      </x:c>
    </x:row>
    <x:row r="1136" ht="22" customHeight="1">
      <x:c r="A1136" s="28" t="str">
        <x:v>ANC-SLE-055-01-R01</x:v>
      </x:c>
      <x:c r="B1136" s="28" t="str">
        <x:v>ANC-SLE-055-01</x:v>
      </x:c>
      <x:c r="C1136" s="28" t="n">
        <x:v>11</x:v>
      </x:c>
      <x:c r="D1136" s="47" t="n">
        <x:v>70.56</x:v>
      </x:c>
      <x:c r="E1136" s="47" t="n">
        <x:v>76.036</x:v>
      </x:c>
      <x:c r="F1136" s="47" t="n">
        <x:v>541.701</x:v>
      </x:c>
      <x:c r="G1136" s="47" t="n">
        <x:v>88.732</x:v>
      </x:c>
      <x:c r="H1136" s="50" t="n">
        <x:v>0.115294</x:v>
      </x:c>
      <x:c r="I1136" s="50" t="n">
        <x:v>0.096005</x:v>
      </x:c>
      <x:c r="J1136" s="50" t="n">
        <x:v>0.885132</x:v>
      </x:c>
      <x:c r="K1136" s="50" t="n">
        <x:v>0.112036</x:v>
      </x:c>
      <x:c r="L1136" s="47" t="n">
        <x:v>612</x:v>
      </x:c>
      <x:c r="M1136" s="47" t="n">
        <x:v>792</x:v>
      </x:c>
      <x:c r="N1136" s="28" t="str">
        <x:v>top-left</x:v>
      </x:c>
      <x:c r="O1136" s="28" t="str">
        <x:v>PDF points</x:v>
      </x:c>
    </x:row>
    <x:row r="1137" ht="22" customHeight="1">
      <x:c r="A1137" s="28" t="str">
        <x:v>ANC-SLE-056-01-R01</x:v>
      </x:c>
      <x:c r="B1137" s="28" t="str">
        <x:v>ANC-SLE-056-01</x:v>
      </x:c>
      <x:c r="C1137" s="28" t="n">
        <x:v>9</x:v>
      </x:c>
      <x:c r="D1137" s="47" t="n">
        <x:v>296.04</x:v>
      </x:c>
      <x:c r="E1137" s="47" t="n">
        <x:v>409.547</x:v>
      </x:c>
      <x:c r="F1137" s="47" t="n">
        <x:v>504.654</x:v>
      </x:c>
      <x:c r="G1137" s="47" t="n">
        <x:v>421.449</x:v>
      </x:c>
      <x:c r="H1137" s="50" t="n">
        <x:v>0.483726</x:v>
      </x:c>
      <x:c r="I1137" s="50" t="n">
        <x:v>0.517104</x:v>
      </x:c>
      <x:c r="J1137" s="50" t="n">
        <x:v>0.824598</x:v>
      </x:c>
      <x:c r="K1137" s="50" t="n">
        <x:v>0.532132</x:v>
      </x:c>
      <x:c r="L1137" s="47" t="n">
        <x:v>612</x:v>
      </x:c>
      <x:c r="M1137" s="47" t="n">
        <x:v>792</x:v>
      </x:c>
      <x:c r="N1137" s="28" t="str">
        <x:v>top-left</x:v>
      </x:c>
      <x:c r="O1137" s="28" t="str">
        <x:v>PDF points</x:v>
      </x:c>
    </x:row>
    <x:row r="1138" ht="22" customHeight="1">
      <x:c r="A1138" s="28" t="str">
        <x:v>ANC-SLE-057-01-R01</x:v>
      </x:c>
      <x:c r="B1138" s="28" t="str">
        <x:v>ANC-SLE-057-01</x:v>
      </x:c>
      <x:c r="C1138" s="28" t="n">
        <x:v>9</x:v>
      </x:c>
      <x:c r="D1138" s="47" t="n">
        <x:v>135.96</x:v>
      </x:c>
      <x:c r="E1138" s="47" t="n">
        <x:v>438.947</x:v>
      </x:c>
      <x:c r="F1138" s="47" t="n">
        <x:v>203.234</x:v>
      </x:c>
      <x:c r="G1138" s="47" t="n">
        <x:v>450.849</x:v>
      </x:c>
      <x:c r="H1138" s="50" t="n">
        <x:v>0.222157</x:v>
      </x:c>
      <x:c r="I1138" s="50" t="n">
        <x:v>0.554226</x:v>
      </x:c>
      <x:c r="J1138" s="50" t="n">
        <x:v>0.332081</x:v>
      </x:c>
      <x:c r="K1138" s="50" t="n">
        <x:v>0.569254</x:v>
      </x:c>
      <x:c r="L1138" s="47" t="n">
        <x:v>612</x:v>
      </x:c>
      <x:c r="M1138" s="47" t="n">
        <x:v>792</x:v>
      </x:c>
      <x:c r="N1138" s="28" t="str">
        <x:v>top-left</x:v>
      </x:c>
      <x:c r="O1138" s="28" t="str">
        <x:v>PDF points</x:v>
      </x:c>
    </x:row>
    <x:row r="1139" ht="22" customHeight="1">
      <x:c r="A1139" s="28" t="str">
        <x:v>ANC-SLE-058-01-R01</x:v>
      </x:c>
      <x:c r="B1139" s="28" t="str">
        <x:v>ANC-SLE-058-01</x:v>
      </x:c>
      <x:c r="C1139" s="28" t="n">
        <x:v>9</x:v>
      </x:c>
      <x:c r="D1139" s="47" t="n">
        <x:v>296.04</x:v>
      </x:c>
      <x:c r="E1139" s="47" t="n">
        <x:v>648.227</x:v>
      </x:c>
      <x:c r="F1139" s="47" t="n">
        <x:v>514.864</x:v>
      </x:c>
      <x:c r="G1139" s="47" t="n">
        <x:v>660.129</x:v>
      </x:c>
      <x:c r="H1139" s="50" t="n">
        <x:v>0.483726</x:v>
      </x:c>
      <x:c r="I1139" s="50" t="n">
        <x:v>0.818468</x:v>
      </x:c>
      <x:c r="J1139" s="50" t="n">
        <x:v>0.841281</x:v>
      </x:c>
      <x:c r="K1139" s="50" t="n">
        <x:v>0.833496</x:v>
      </x:c>
      <x:c r="L1139" s="47" t="n">
        <x:v>612</x:v>
      </x:c>
      <x:c r="M1139" s="47" t="n">
        <x:v>792</x:v>
      </x:c>
      <x:c r="N1139" s="28" t="str">
        <x:v>top-left</x:v>
      </x:c>
      <x:c r="O1139" s="28" t="str">
        <x:v>PDF points</x:v>
      </x:c>
    </x:row>
    <x:row r="1140" ht="22" customHeight="1">
      <x:c r="A1140" s="28" t="str">
        <x:v>ANC-SLE-059-01-R01</x:v>
      </x:c>
      <x:c r="B1140" s="28" t="str">
        <x:v>ANC-SLE-059-01</x:v>
      </x:c>
      <x:c r="C1140" s="28" t="n">
        <x:v>9</x:v>
      </x:c>
      <x:c r="D1140" s="47" t="n">
        <x:v>135.96</x:v>
      </x:c>
      <x:c r="E1140" s="47" t="n">
        <x:v>543.467</x:v>
      </x:c>
      <x:c r="F1140" s="47" t="n">
        <x:v>179.564</x:v>
      </x:c>
      <x:c r="G1140" s="47" t="n">
        <x:v>555.369</x:v>
      </x:c>
      <x:c r="H1140" s="50" t="n">
        <x:v>0.222157</x:v>
      </x:c>
      <x:c r="I1140" s="50" t="n">
        <x:v>0.686195</x:v>
      </x:c>
      <x:c r="J1140" s="50" t="n">
        <x:v>0.293405</x:v>
      </x:c>
      <x:c r="K1140" s="50" t="n">
        <x:v>0.701223</x:v>
      </x:c>
      <x:c r="L1140" s="47" t="n">
        <x:v>612</x:v>
      </x:c>
      <x:c r="M1140" s="47" t="n">
        <x:v>792</x:v>
      </x:c>
      <x:c r="N1140" s="28" t="str">
        <x:v>top-left</x:v>
      </x:c>
      <x:c r="O1140" s="28" t="str">
        <x:v>PDF points</x:v>
      </x:c>
    </x:row>
    <x:row r="1141" ht="22" customHeight="1">
      <x:c r="A1141" s="28" t="str">
        <x:v>ANC-SLE-059-01-R02</x:v>
      </x:c>
      <x:c r="B1141" s="28" t="str">
        <x:v>ANC-SLE-059-01</x:v>
      </x:c>
      <x:c r="C1141" s="28" t="n">
        <x:v>9</x:v>
      </x:c>
      <x:c r="D1141" s="47" t="n">
        <x:v>135.96</x:v>
      </x:c>
      <x:c r="E1141" s="47" t="n">
        <x:v>556.067</x:v>
      </x:c>
      <x:c r="F1141" s="47" t="n">
        <x:v>178.601</x:v>
      </x:c>
      <x:c r="G1141" s="47" t="n">
        <x:v>567.969</x:v>
      </x:c>
      <x:c r="H1141" s="50" t="n">
        <x:v>0.222157</x:v>
      </x:c>
      <x:c r="I1141" s="50" t="n">
        <x:v>0.702104</x:v>
      </x:c>
      <x:c r="J1141" s="50" t="n">
        <x:v>0.291831</x:v>
      </x:c>
      <x:c r="K1141" s="50" t="n">
        <x:v>0.717132</x:v>
      </x:c>
      <x:c r="L1141" s="47" t="n">
        <x:v>612</x:v>
      </x:c>
      <x:c r="M1141" s="47" t="n">
        <x:v>792</x:v>
      </x:c>
      <x:c r="N1141" s="28" t="str">
        <x:v>top-left</x:v>
      </x:c>
      <x:c r="O1141" s="28" t="str">
        <x:v>PDF points</x:v>
      </x:c>
    </x:row>
    <x:row r="1142" ht="22" customHeight="1">
      <x:c r="A1142" s="28" t="str">
        <x:v>ANC-SLE-060-01-R01</x:v>
      </x:c>
      <x:c r="B1142" s="28" t="str">
        <x:v>ANC-SLE-060-01</x:v>
      </x:c>
      <x:c r="C1142" s="28" t="n">
        <x:v>14</x:v>
      </x:c>
      <x:c r="D1142" s="47" t="n">
        <x:v>217.32</x:v>
      </x:c>
      <x:c r="E1142" s="47" t="n">
        <x:v>200.707</x:v>
      </x:c>
      <x:c r="F1142" s="47" t="n">
        <x:v>449.108</x:v>
      </x:c>
      <x:c r="G1142" s="47" t="n">
        <x:v>210.315</x:v>
      </x:c>
      <x:c r="H1142" s="50" t="n">
        <x:v>0.258088</x:v>
      </x:c>
      <x:c r="I1142" s="50" t="n">
        <x:v>0.337142</x:v>
      </x:c>
      <x:c r="J1142" s="50" t="n">
        <x:v>0.533357</x:v>
      </x:c>
      <x:c r="K1142" s="50" t="n">
        <x:v>0.353281</x:v>
      </x:c>
      <x:c r="L1142" s="47" t="n">
        <x:v>842.04</x:v>
      </x:c>
      <x:c r="M1142" s="47" t="n">
        <x:v>595.32</x:v>
      </x:c>
      <x:c r="N1142" s="28" t="str">
        <x:v>top-left</x:v>
      </x:c>
      <x:c r="O1142" s="28" t="str">
        <x:v>PDF points</x:v>
      </x:c>
    </x:row>
    <x:row r="1143" ht="22" customHeight="1">
      <x:c r="A1143" s="28" t="str">
        <x:v>ANC-SLE-061-01-R01</x:v>
      </x:c>
      <x:c r="B1143" s="28" t="str">
        <x:v>ANC-SLE-061-01</x:v>
      </x:c>
      <x:c r="C1143" s="28" t="n">
        <x:v>14</x:v>
      </x:c>
      <x:c r="D1143" s="47" t="n">
        <x:v>217.32</x:v>
      </x:c>
      <x:c r="E1143" s="47" t="n">
        <x:v>253.987</x:v>
      </x:c>
      <x:c r="F1143" s="47" t="n">
        <x:v>393.885</x:v>
      </x:c>
      <x:c r="G1143" s="47" t="n">
        <x:v>263.595</x:v>
      </x:c>
      <x:c r="H1143" s="50" t="n">
        <x:v>0.258088</x:v>
      </x:c>
      <x:c r="I1143" s="50" t="n">
        <x:v>0.42664</x:v>
      </x:c>
      <x:c r="J1143" s="50" t="n">
        <x:v>0.467774</x:v>
      </x:c>
      <x:c r="K1143" s="50" t="n">
        <x:v>0.442779</x:v>
      </x:c>
      <x:c r="L1143" s="47" t="n">
        <x:v>842.04</x:v>
      </x:c>
      <x:c r="M1143" s="47" t="n">
        <x:v>595.32</x:v>
      </x:c>
      <x:c r="N1143" s="28" t="str">
        <x:v>top-left</x:v>
      </x:c>
      <x:c r="O1143" s="28" t="str">
        <x:v>PDF points</x:v>
      </x:c>
    </x:row>
    <x:row r="1144" ht="22" customHeight="1">
      <x:c r="A1144" s="28" t="str">
        <x:v>ANC-SLE-062-01-R01</x:v>
      </x:c>
      <x:c r="B1144" s="28" t="str">
        <x:v>ANC-SLE-062-01</x:v>
      </x:c>
      <x:c r="C1144" s="28" t="n">
        <x:v>15</x:v>
      </x:c>
      <x:c r="D1144" s="47" t="n">
        <x:v>217.32</x:v>
      </x:c>
      <x:c r="E1144" s="47" t="n">
        <x:v>299.347</x:v>
      </x:c>
      <x:c r="F1144" s="47" t="n">
        <x:v>422.686</x:v>
      </x:c>
      <x:c r="G1144" s="47" t="n">
        <x:v>308.955</x:v>
      </x:c>
      <x:c r="H1144" s="50" t="n">
        <x:v>0.258088</x:v>
      </x:c>
      <x:c r="I1144" s="50" t="n">
        <x:v>0.502834</x:v>
      </x:c>
      <x:c r="J1144" s="50" t="n">
        <x:v>0.501979</x:v>
      </x:c>
      <x:c r="K1144" s="50" t="n">
        <x:v>0.518973</x:v>
      </x:c>
      <x:c r="L1144" s="47" t="n">
        <x:v>842.04</x:v>
      </x:c>
      <x:c r="M1144" s="47" t="n">
        <x:v>595.32</x:v>
      </x:c>
      <x:c r="N1144" s="28" t="str">
        <x:v>top-left</x:v>
      </x:c>
      <x:c r="O1144" s="28" t="str">
        <x:v>PDF points</x:v>
      </x:c>
    </x:row>
    <x:row r="1145" ht="22" customHeight="1">
      <x:c r="A1145" s="28" t="str">
        <x:v>ANC-SLE-063-01-R01</x:v>
      </x:c>
      <x:c r="B1145" s="28" t="str">
        <x:v>ANC-SLE-063-01</x:v>
      </x:c>
      <x:c r="C1145" s="28" t="n">
        <x:v>15</x:v>
      </x:c>
      <x:c r="D1145" s="47" t="n">
        <x:v>217.32</x:v>
      </x:c>
      <x:c r="E1145" s="47" t="n">
        <x:v>336.067</x:v>
      </x:c>
      <x:c r="F1145" s="47" t="n">
        <x:v>395.902</x:v>
      </x:c>
      <x:c r="G1145" s="47" t="n">
        <x:v>345.675</x:v>
      </x:c>
      <x:c r="H1145" s="50" t="n">
        <x:v>0.258088</x:v>
      </x:c>
      <x:c r="I1145" s="50" t="n">
        <x:v>0.564515</x:v>
      </x:c>
      <x:c r="J1145" s="50" t="n">
        <x:v>0.47017</x:v>
      </x:c>
      <x:c r="K1145" s="50" t="n">
        <x:v>0.580654</x:v>
      </x:c>
      <x:c r="L1145" s="47" t="n">
        <x:v>842.04</x:v>
      </x:c>
      <x:c r="M1145" s="47" t="n">
        <x:v>595.32</x:v>
      </x:c>
      <x:c r="N1145" s="28" t="str">
        <x:v>top-left</x:v>
      </x:c>
      <x:c r="O1145" s="28" t="str">
        <x:v>PDF points</x:v>
      </x:c>
    </x:row>
    <x:row r="1146" ht="22" customHeight="1">
      <x:c r="A1146" s="28" t="str">
        <x:v>ANC-SLE-064-01-R01</x:v>
      </x:c>
      <x:c r="B1146" s="28" t="str">
        <x:v>ANC-SLE-064-01</x:v>
      </x:c>
      <x:c r="C1146" s="28" t="n">
        <x:v>16</x:v>
      </x:c>
      <x:c r="D1146" s="47" t="n">
        <x:v>217.32</x:v>
      </x:c>
      <x:c r="E1146" s="47" t="n">
        <x:v>294.667</x:v>
      </x:c>
      <x:c r="F1146" s="47" t="n">
        <x:v>420.801</x:v>
      </x:c>
      <x:c r="G1146" s="47" t="n">
        <x:v>304.275</x:v>
      </x:c>
      <x:c r="H1146" s="50" t="n">
        <x:v>0.258088</x:v>
      </x:c>
      <x:c r="I1146" s="50" t="n">
        <x:v>0.494973</x:v>
      </x:c>
      <x:c r="J1146" s="50" t="n">
        <x:v>0.49974</x:v>
      </x:c>
      <x:c r="K1146" s="50" t="n">
        <x:v>0.511112</x:v>
      </x:c>
      <x:c r="L1146" s="47" t="n">
        <x:v>842.04</x:v>
      </x:c>
      <x:c r="M1146" s="47" t="n">
        <x:v>595.32</x:v>
      </x:c>
      <x:c r="N1146" s="28" t="str">
        <x:v>top-left</x:v>
      </x:c>
      <x:c r="O1146" s="28" t="str">
        <x:v>PDF points</x:v>
      </x:c>
    </x:row>
    <x:row r="1147" ht="22" customHeight="1">
      <x:c r="A1147" s="28" t="str">
        <x:v>ANC-SLE-065-01-R01</x:v>
      </x:c>
      <x:c r="B1147" s="28" t="str">
        <x:v>ANC-SLE-065-01</x:v>
      </x:c>
      <x:c r="C1147" s="28" t="n">
        <x:v>16</x:v>
      </x:c>
      <x:c r="D1147" s="47" t="n">
        <x:v>217.32</x:v>
      </x:c>
      <x:c r="E1147" s="47" t="n">
        <x:v>365.587</x:v>
      </x:c>
      <x:c r="F1147" s="47" t="n">
        <x:v>437.055</x:v>
      </x:c>
      <x:c r="G1147" s="47" t="n">
        <x:v>375.195</x:v>
      </x:c>
      <x:c r="H1147" s="50" t="n">
        <x:v>0.258088</x:v>
      </x:c>
      <x:c r="I1147" s="50" t="n">
        <x:v>0.614102</x:v>
      </x:c>
      <x:c r="J1147" s="50" t="n">
        <x:v>0.519043</x:v>
      </x:c>
      <x:c r="K1147" s="50" t="n">
        <x:v>0.630241</x:v>
      </x:c>
      <x:c r="L1147" s="47" t="n">
        <x:v>842.04</x:v>
      </x:c>
      <x:c r="M1147" s="47" t="n">
        <x:v>595.32</x:v>
      </x:c>
      <x:c r="N1147" s="28" t="str">
        <x:v>top-left</x:v>
      </x:c>
      <x:c r="O1147" s="28" t="str">
        <x:v>PDF points</x:v>
      </x:c>
    </x:row>
    <x:row r="1148" ht="22" customHeight="1">
      <x:c r="A1148" s="28" t="str">
        <x:v>ANC-SLE-065-01-R02</x:v>
      </x:c>
      <x:c r="B1148" s="28" t="str">
        <x:v>ANC-SLE-065-01</x:v>
      </x:c>
      <x:c r="C1148" s="28" t="n">
        <x:v>16</x:v>
      </x:c>
      <x:c r="D1148" s="47" t="n">
        <x:v>217.32</x:v>
      </x:c>
      <x:c r="E1148" s="47" t="n">
        <x:v>374.227</x:v>
      </x:c>
      <x:c r="F1148" s="47" t="n">
        <x:v>298.099</x:v>
      </x:c>
      <x:c r="G1148" s="47" t="n">
        <x:v>383.835</x:v>
      </x:c>
      <x:c r="H1148" s="50" t="n">
        <x:v>0.258088</x:v>
      </x:c>
      <x:c r="I1148" s="50" t="n">
        <x:v>0.628615</x:v>
      </x:c>
      <x:c r="J1148" s="50" t="n">
        <x:v>0.35402</x:v>
      </x:c>
      <x:c r="K1148" s="50" t="n">
        <x:v>0.644754</x:v>
      </x:c>
      <x:c r="L1148" s="47" t="n">
        <x:v>842.04</x:v>
      </x:c>
      <x:c r="M1148" s="47" t="n">
        <x:v>595.32</x:v>
      </x:c>
      <x:c r="N1148" s="28" t="str">
        <x:v>top-left</x:v>
      </x:c>
      <x:c r="O1148" s="28" t="str">
        <x:v>PDF points</x:v>
      </x:c>
    </x:row>
    <x:row r="1149" ht="22" customHeight="1">
      <x:c r="A1149" s="28" t="str">
        <x:v>ANC-SLE-066-01-R01</x:v>
      </x:c>
      <x:c r="B1149" s="28" t="str">
        <x:v>ANC-SLE-066-01</x:v>
      </x:c>
      <x:c r="C1149" s="28" t="n">
        <x:v>16</x:v>
      </x:c>
      <x:c r="D1149" s="47" t="n">
        <x:v>217.32</x:v>
      </x:c>
      <x:c r="E1149" s="47" t="n">
        <x:v>388.507</x:v>
      </x:c>
      <x:c r="F1149" s="47" t="n">
        <x:v>433.602</x:v>
      </x:c>
      <x:c r="G1149" s="47" t="n">
        <x:v>398.115</x:v>
      </x:c>
      <x:c r="H1149" s="50" t="n">
        <x:v>0.258088</x:v>
      </x:c>
      <x:c r="I1149" s="50" t="n">
        <x:v>0.652602</x:v>
      </x:c>
      <x:c r="J1149" s="50" t="n">
        <x:v>0.514943</x:v>
      </x:c>
      <x:c r="K1149" s="50" t="n">
        <x:v>0.668741</x:v>
      </x:c>
      <x:c r="L1149" s="47" t="n">
        <x:v>842.04</x:v>
      </x:c>
      <x:c r="M1149" s="47" t="n">
        <x:v>595.32</x:v>
      </x:c>
      <x:c r="N1149" s="28" t="str">
        <x:v>top-left</x:v>
      </x:c>
      <x:c r="O1149" s="28" t="str">
        <x:v>PDF points</x:v>
      </x:c>
    </x:row>
    <x:row r="1150" ht="22" customHeight="1">
      <x:c r="A1150" s="28" t="str">
        <x:v>ANC-SLE-067-01-R01</x:v>
      </x:c>
      <x:c r="B1150" s="28" t="str">
        <x:v>ANC-SLE-067-01</x:v>
      </x:c>
      <x:c r="C1150" s="28" t="n">
        <x:v>16</x:v>
      </x:c>
      <x:c r="D1150" s="47" t="n">
        <x:v>217.32</x:v>
      </x:c>
      <x:c r="E1150" s="47" t="n">
        <x:v>315.067</x:v>
      </x:c>
      <x:c r="F1150" s="47" t="n">
        <x:v>452.127</x:v>
      </x:c>
      <x:c r="G1150" s="47" t="n">
        <x:v>324.675</x:v>
      </x:c>
      <x:c r="H1150" s="50" t="n">
        <x:v>0.258088</x:v>
      </x:c>
      <x:c r="I1150" s="50" t="n">
        <x:v>0.52924</x:v>
      </x:c>
      <x:c r="J1150" s="50" t="n">
        <x:v>0.536942</x:v>
      </x:c>
      <x:c r="K1150" s="50" t="n">
        <x:v>0.545379</x:v>
      </x:c>
      <x:c r="L1150" s="47" t="n">
        <x:v>842.04</x:v>
      </x:c>
      <x:c r="M1150" s="47" t="n">
        <x:v>595.32</x:v>
      </x:c>
      <x:c r="N1150" s="28" t="str">
        <x:v>top-left</x:v>
      </x:c>
      <x:c r="O1150" s="28" t="str">
        <x:v>PDF points</x:v>
      </x:c>
    </x:row>
    <x:row r="1151" ht="22" customHeight="1">
      <x:c r="A1151" s="28" t="str">
        <x:v>ANC-SLE-067-01-R02</x:v>
      </x:c>
      <x:c r="B1151" s="28" t="str">
        <x:v>ANC-SLE-067-01</x:v>
      </x:c>
      <x:c r="C1151" s="28" t="n">
        <x:v>16</x:v>
      </x:c>
      <x:c r="D1151" s="47" t="n">
        <x:v>217.32</x:v>
      </x:c>
      <x:c r="E1151" s="47" t="n">
        <x:v>323.827</x:v>
      </x:c>
      <x:c r="F1151" s="47" t="n">
        <x:v>439.016</x:v>
      </x:c>
      <x:c r="G1151" s="47" t="n">
        <x:v>333.435</x:v>
      </x:c>
      <x:c r="H1151" s="50" t="n">
        <x:v>0.258088</x:v>
      </x:c>
      <x:c r="I1151" s="50" t="n">
        <x:v>0.543955</x:v>
      </x:c>
      <x:c r="J1151" s="50" t="n">
        <x:v>0.521372</x:v>
      </x:c>
      <x:c r="K1151" s="50" t="n">
        <x:v>0.560094</x:v>
      </x:c>
      <x:c r="L1151" s="47" t="n">
        <x:v>842.04</x:v>
      </x:c>
      <x:c r="M1151" s="47" t="n">
        <x:v>595.32</x:v>
      </x:c>
      <x:c r="N1151" s="28" t="str">
        <x:v>top-left</x:v>
      </x:c>
      <x:c r="O1151" s="28" t="str">
        <x:v>PDF points</x:v>
      </x:c>
    </x:row>
    <x:row r="1152" ht="22" customHeight="1">
      <x:c r="A1152" s="28" t="str">
        <x:v>ANC-SLE-068-01-R01</x:v>
      </x:c>
      <x:c r="B1152" s="28" t="str">
        <x:v>ANC-SLE-068-01</x:v>
      </x:c>
      <x:c r="C1152" s="28" t="n">
        <x:v>16</x:v>
      </x:c>
      <x:c r="D1152" s="47" t="n">
        <x:v>122.88</x:v>
      </x:c>
      <x:c r="E1152" s="47" t="n">
        <x:v>458.251</x:v>
      </x:c>
      <x:c r="F1152" s="47" t="n">
        <x:v>195.185</x:v>
      </x:c>
      <x:c r="G1152" s="47" t="n">
        <x:v>467.859</x:v>
      </x:c>
      <x:c r="H1152" s="50" t="n">
        <x:v>0.145931</x:v>
      </x:c>
      <x:c r="I1152" s="50" t="n">
        <x:v>0.769755</x:v>
      </x:c>
      <x:c r="J1152" s="50" t="n">
        <x:v>0.2318</x:v>
      </x:c>
      <x:c r="K1152" s="50" t="n">
        <x:v>0.785894</x:v>
      </x:c>
      <x:c r="L1152" s="47" t="n">
        <x:v>842.04</x:v>
      </x:c>
      <x:c r="M1152" s="47" t="n">
        <x:v>595.32</x:v>
      </x:c>
      <x:c r="N1152" s="28" t="str">
        <x:v>top-left</x:v>
      </x:c>
      <x:c r="O1152" s="28" t="str">
        <x:v>PDF points</x:v>
      </x:c>
    </x:row>
    <x:row r="1153" ht="22" customHeight="1">
      <x:c r="A1153" s="28" t="str">
        <x:v>ANC-SLE-068-01-R02</x:v>
      </x:c>
      <x:c r="B1153" s="28" t="str">
        <x:v>ANC-SLE-068-01</x:v>
      </x:c>
      <x:c r="C1153" s="28" t="n">
        <x:v>16</x:v>
      </x:c>
      <x:c r="D1153" s="47" t="n">
        <x:v>122.88</x:v>
      </x:c>
      <x:c r="E1153" s="47" t="n">
        <x:v>467.014</x:v>
      </x:c>
      <x:c r="F1153" s="47" t="n">
        <x:v>147.392</x:v>
      </x:c>
      <x:c r="G1153" s="47" t="n">
        <x:v>476.622</x:v>
      </x:c>
      <x:c r="H1153" s="50" t="n">
        <x:v>0.145931</x:v>
      </x:c>
      <x:c r="I1153" s="50" t="n">
        <x:v>0.784476</x:v>
      </x:c>
      <x:c r="J1153" s="50" t="n">
        <x:v>0.175042</x:v>
      </x:c>
      <x:c r="K1153" s="50" t="n">
        <x:v>0.800615</x:v>
      </x:c>
      <x:c r="L1153" s="47" t="n">
        <x:v>842.04</x:v>
      </x:c>
      <x:c r="M1153" s="47" t="n">
        <x:v>595.32</x:v>
      </x:c>
      <x:c r="N1153" s="28" t="str">
        <x:v>top-left</x:v>
      </x:c>
      <x:c r="O1153" s="28" t="str">
        <x:v>PDF points</x:v>
      </x:c>
    </x:row>
    <x:row r="1154" ht="22" customHeight="1">
      <x:c r="A1154" s="28" t="str">
        <x:v>ANC-SLE-068-01-R03</x:v>
      </x:c>
      <x:c r="B1154" s="28" t="str">
        <x:v>ANC-SLE-068-01</x:v>
      </x:c>
      <x:c r="C1154" s="28" t="n">
        <x:v>16</x:v>
      </x:c>
      <x:c r="D1154" s="47" t="n">
        <x:v>217.32</x:v>
      </x:c>
      <x:c r="E1154" s="47" t="n">
        <x:v>459.787</x:v>
      </x:c>
      <x:c r="F1154" s="47" t="n">
        <x:v>453.932</x:v>
      </x:c>
      <x:c r="G1154" s="47" t="n">
        <x:v>469.395</x:v>
      </x:c>
      <x:c r="H1154" s="50" t="n">
        <x:v>0.258088</x:v>
      </x:c>
      <x:c r="I1154" s="50" t="n">
        <x:v>0.772336</x:v>
      </x:c>
      <x:c r="J1154" s="50" t="n">
        <x:v>0.539087</x:v>
      </x:c>
      <x:c r="K1154" s="50" t="n">
        <x:v>0.788475</x:v>
      </x:c>
      <x:c r="L1154" s="47" t="n">
        <x:v>842.04</x:v>
      </x:c>
      <x:c r="M1154" s="47" t="n">
        <x:v>595.32</x:v>
      </x:c>
      <x:c r="N1154" s="28" t="str">
        <x:v>top-left</x:v>
      </x:c>
      <x:c r="O1154" s="28" t="str">
        <x:v>PDF points</x:v>
      </x:c>
    </x:row>
    <x:row r="1155" ht="22" customHeight="1">
      <x:c r="A1155" s="28" t="str">
        <x:v>ANC-SLE-068-01-R04</x:v>
      </x:c>
      <x:c r="B1155" s="28" t="str">
        <x:v>ANC-SLE-068-01</x:v>
      </x:c>
      <x:c r="C1155" s="28" t="n">
        <x:v>16</x:v>
      </x:c>
      <x:c r="D1155" s="47" t="n">
        <x:v>217.32</x:v>
      </x:c>
      <x:c r="E1155" s="47" t="n">
        <x:v>468.427</x:v>
      </x:c>
      <x:c r="F1155" s="47" t="n">
        <x:v>431.945</x:v>
      </x:c>
      <x:c r="G1155" s="47" t="n">
        <x:v>478.035</x:v>
      </x:c>
      <x:c r="H1155" s="50" t="n">
        <x:v>0.258088</x:v>
      </x:c>
      <x:c r="I1155" s="50" t="n">
        <x:v>0.78685</x:v>
      </x:c>
      <x:c r="J1155" s="50" t="n">
        <x:v>0.512974</x:v>
      </x:c>
      <x:c r="K1155" s="50" t="n">
        <x:v>0.802989</x:v>
      </x:c>
      <x:c r="L1155" s="47" t="n">
        <x:v>842.04</x:v>
      </x:c>
      <x:c r="M1155" s="47" t="n">
        <x:v>595.32</x:v>
      </x:c>
      <x:c r="N1155" s="28" t="str">
        <x:v>top-left</x:v>
      </x:c>
      <x:c r="O1155" s="28" t="str">
        <x:v>PDF points</x:v>
      </x:c>
    </x:row>
    <x:row r="1156" ht="22" customHeight="1">
      <x:c r="A1156" s="28" t="str">
        <x:v>ANC-SLE-068-01-R05</x:v>
      </x:c>
      <x:c r="B1156" s="28" t="str">
        <x:v>ANC-SLE-068-01</x:v>
      </x:c>
      <x:c r="C1156" s="28" t="n">
        <x:v>16</x:v>
      </x:c>
      <x:c r="D1156" s="47" t="n">
        <x:v>217.32</x:v>
      </x:c>
      <x:c r="E1156" s="47" t="n">
        <x:v>477.191</x:v>
      </x:c>
      <x:c r="F1156" s="47" t="n">
        <x:v>397.995</x:v>
      </x:c>
      <x:c r="G1156" s="47" t="n">
        <x:v>486.799</x:v>
      </x:c>
      <x:c r="H1156" s="50" t="n">
        <x:v>0.258088</x:v>
      </x:c>
      <x:c r="I1156" s="50" t="n">
        <x:v>0.80157</x:v>
      </x:c>
      <x:c r="J1156" s="50" t="n">
        <x:v>0.472655</x:v>
      </x:c>
      <x:c r="K1156" s="50" t="n">
        <x:v>0.817709</x:v>
      </x:c>
      <x:c r="L1156" s="47" t="n">
        <x:v>842.04</x:v>
      </x:c>
      <x:c r="M1156" s="47" t="n">
        <x:v>595.32</x:v>
      </x:c>
      <x:c r="N1156" s="28" t="str">
        <x:v>top-left</x:v>
      </x:c>
      <x:c r="O1156" s="28" t="str">
        <x:v>PDF points</x:v>
      </x:c>
    </x:row>
    <x:row r="1157" ht="22" customHeight="1">
      <x:c r="A1157" s="28" t="str">
        <x:v>ANC-SLE-068-01-R06</x:v>
      </x:c>
      <x:c r="B1157" s="28" t="str">
        <x:v>ANC-SLE-068-01</x:v>
      </x:c>
      <x:c r="C1157" s="28" t="n">
        <x:v>16</x:v>
      </x:c>
      <x:c r="D1157" s="47" t="n">
        <x:v>476.28</x:v>
      </x:c>
      <x:c r="E1157" s="47" t="n">
        <x:v>470.827</x:v>
      </x:c>
      <x:c r="F1157" s="47" t="n">
        <x:v>491.398</x:v>
      </x:c>
      <x:c r="G1157" s="47" t="n">
        <x:v>480.435</x:v>
      </x:c>
      <x:c r="H1157" s="50" t="n">
        <x:v>0.565626</x:v>
      </x:c>
      <x:c r="I1157" s="50" t="n">
        <x:v>0.790881</x:v>
      </x:c>
      <x:c r="J1157" s="50" t="n">
        <x:v>0.58358</x:v>
      </x:c>
      <x:c r="K1157" s="50" t="n">
        <x:v>0.80702</x:v>
      </x:c>
      <x:c r="L1157" s="47" t="n">
        <x:v>842.04</x:v>
      </x:c>
      <x:c r="M1157" s="47" t="n">
        <x:v>595.32</x:v>
      </x:c>
      <x:c r="N1157" s="28" t="str">
        <x:v>top-left</x:v>
      </x:c>
      <x:c r="O1157" s="28" t="str">
        <x:v>PDF points</x:v>
      </x:c>
    </x:row>
    <x:row r="1158" ht="22" customHeight="1">
      <x:c r="A1158" s="28" t="str">
        <x:v>ANC-SLE-068-01-R07</x:v>
      </x:c>
      <x:c r="B1158" s="28" t="str">
        <x:v>ANC-SLE-068-01</x:v>
      </x:c>
      <x:c r="C1158" s="28" t="n">
        <x:v>16</x:v>
      </x:c>
      <x:c r="D1158" s="47" t="n">
        <x:v>526.924</x:v>
      </x:c>
      <x:c r="E1158" s="47" t="n">
        <x:v>470.827</x:v>
      </x:c>
      <x:c r="F1158" s="47" t="n">
        <x:v>542.042</x:v>
      </x:c>
      <x:c r="G1158" s="47" t="n">
        <x:v>480.435</x:v>
      </x:c>
      <x:c r="H1158" s="50" t="n">
        <x:v>0.625771</x:v>
      </x:c>
      <x:c r="I1158" s="50" t="n">
        <x:v>0.790881</x:v>
      </x:c>
      <x:c r="J1158" s="50" t="n">
        <x:v>0.643724</x:v>
      </x:c>
      <x:c r="K1158" s="50" t="n">
        <x:v>0.80702</x:v>
      </x:c>
      <x:c r="L1158" s="47" t="n">
        <x:v>842.04</x:v>
      </x:c>
      <x:c r="M1158" s="47" t="n">
        <x:v>595.32</x:v>
      </x:c>
      <x:c r="N1158" s="28" t="str">
        <x:v>top-left</x:v>
      </x:c>
      <x:c r="O1158" s="28" t="str">
        <x:v>PDF points</x:v>
      </x:c>
    </x:row>
    <x:row r="1159" ht="22" customHeight="1">
      <x:c r="A1159" s="28" t="str">
        <x:v>ANC-SLE-068-01-R08</x:v>
      </x:c>
      <x:c r="B1159" s="28" t="str">
        <x:v>ANC-SLE-068-01</x:v>
      </x:c>
      <x:c r="C1159" s="28" t="n">
        <x:v>16</x:v>
      </x:c>
      <x:c r="D1159" s="47" t="n">
        <x:v>576.482</x:v>
      </x:c>
      <x:c r="E1159" s="47" t="n">
        <x:v>470.827</x:v>
      </x:c>
      <x:c r="F1159" s="47" t="n">
        <x:v>591.6</x:v>
      </x:c>
      <x:c r="G1159" s="47" t="n">
        <x:v>480.435</x:v>
      </x:c>
      <x:c r="H1159" s="50" t="n">
        <x:v>0.684626</x:v>
      </x:c>
      <x:c r="I1159" s="50" t="n">
        <x:v>0.790881</x:v>
      </x:c>
      <x:c r="J1159" s="50" t="n">
        <x:v>0.70258</x:v>
      </x:c>
      <x:c r="K1159" s="50" t="n">
        <x:v>0.80702</x:v>
      </x:c>
      <x:c r="L1159" s="47" t="n">
        <x:v>842.04</x:v>
      </x:c>
      <x:c r="M1159" s="47" t="n">
        <x:v>595.32</x:v>
      </x:c>
      <x:c r="N1159" s="28" t="str">
        <x:v>top-left</x:v>
      </x:c>
      <x:c r="O1159" s="28" t="str">
        <x:v>PDF points</x:v>
      </x:c>
    </x:row>
    <x:row r="1160" ht="22" customHeight="1">
      <x:c r="A1160" s="28" t="str">
        <x:v>ANC-SLE-068-01-R09</x:v>
      </x:c>
      <x:c r="B1160" s="28" t="str">
        <x:v>ANC-SLE-068-01</x:v>
      </x:c>
      <x:c r="C1160" s="28" t="n">
        <x:v>16</x:v>
      </x:c>
      <x:c r="D1160" s="47" t="n">
        <x:v>616.92</x:v>
      </x:c>
      <x:c r="E1160" s="47" t="n">
        <x:v>470.827</x:v>
      </x:c>
      <x:c r="F1160" s="47" t="n">
        <x:v>632.038</x:v>
      </x:c>
      <x:c r="G1160" s="47" t="n">
        <x:v>480.435</x:v>
      </x:c>
      <x:c r="H1160" s="50" t="n">
        <x:v>0.732649</x:v>
      </x:c>
      <x:c r="I1160" s="50" t="n">
        <x:v>0.790881</x:v>
      </x:c>
      <x:c r="J1160" s="50" t="n">
        <x:v>0.750603</x:v>
      </x:c>
      <x:c r="K1160" s="50" t="n">
        <x:v>0.80702</x:v>
      </x:c>
      <x:c r="L1160" s="47" t="n">
        <x:v>842.04</x:v>
      </x:c>
      <x:c r="M1160" s="47" t="n">
        <x:v>595.32</x:v>
      </x:c>
      <x:c r="N1160" s="28" t="str">
        <x:v>top-left</x:v>
      </x:c>
      <x:c r="O1160" s="28" t="str">
        <x:v>PDF points</x:v>
      </x:c>
    </x:row>
    <x:row r="1161" ht="22" customHeight="1">
      <x:c r="A1161" s="28" t="str">
        <x:v>ANC-SLE-068-01-R10</x:v>
      </x:c>
      <x:c r="B1161" s="28" t="str">
        <x:v>ANC-SLE-068-01</x:v>
      </x:c>
      <x:c r="C1161" s="28" t="n">
        <x:v>16</x:v>
      </x:c>
      <x:c r="D1161" s="47" t="n">
        <x:v>656.525</x:v>
      </x:c>
      <x:c r="E1161" s="47" t="n">
        <x:v>470.827</x:v>
      </x:c>
      <x:c r="F1161" s="47" t="n">
        <x:v>671.643</x:v>
      </x:c>
      <x:c r="G1161" s="47" t="n">
        <x:v>480.435</x:v>
      </x:c>
      <x:c r="H1161" s="50" t="n">
        <x:v>0.779684</x:v>
      </x:c>
      <x:c r="I1161" s="50" t="n">
        <x:v>0.790881</x:v>
      </x:c>
      <x:c r="J1161" s="50" t="n">
        <x:v>0.797638</x:v>
      </x:c>
      <x:c r="K1161" s="50" t="n">
        <x:v>0.80702</x:v>
      </x:c>
      <x:c r="L1161" s="47" t="n">
        <x:v>842.04</x:v>
      </x:c>
      <x:c r="M1161" s="47" t="n">
        <x:v>595.32</x:v>
      </x:c>
      <x:c r="N1161" s="28" t="str">
        <x:v>top-left</x:v>
      </x:c>
      <x:c r="O1161" s="28" t="str">
        <x:v>PDF points</x:v>
      </x:c>
    </x:row>
    <x:row r="1162" ht="22" customHeight="1">
      <x:c r="A1162" s="28" t="str">
        <x:v>ANC-SLE-068-01-R11</x:v>
      </x:c>
      <x:c r="B1162" s="28" t="str">
        <x:v>ANC-SLE-068-01</x:v>
      </x:c>
      <x:c r="C1162" s="28" t="n">
        <x:v>16</x:v>
      </x:c>
      <x:c r="D1162" s="47" t="n">
        <x:v>696.009</x:v>
      </x:c>
      <x:c r="E1162" s="47" t="n">
        <x:v>470.827</x:v>
      </x:c>
      <x:c r="F1162" s="47" t="n">
        <x:v>711.127</x:v>
      </x:c>
      <x:c r="G1162" s="47" t="n">
        <x:v>480.435</x:v>
      </x:c>
      <x:c r="H1162" s="50" t="n">
        <x:v>0.826575</x:v>
      </x:c>
      <x:c r="I1162" s="50" t="n">
        <x:v>0.790881</x:v>
      </x:c>
      <x:c r="J1162" s="50" t="n">
        <x:v>0.844529</x:v>
      </x:c>
      <x:c r="K1162" s="50" t="n">
        <x:v>0.80702</x:v>
      </x:c>
      <x:c r="L1162" s="47" t="n">
        <x:v>842.04</x:v>
      </x:c>
      <x:c r="M1162" s="47" t="n">
        <x:v>595.32</x:v>
      </x:c>
      <x:c r="N1162" s="28" t="str">
        <x:v>top-left</x:v>
      </x:c>
      <x:c r="O1162" s="28" t="str">
        <x:v>PDF points</x:v>
      </x:c>
    </x:row>
    <x:row r="1163" ht="22" customHeight="1">
      <x:c r="A1163" s="28" t="str">
        <x:v>ANC-SLE-068-01-R12</x:v>
      </x:c>
      <x:c r="B1163" s="28" t="str">
        <x:v>ANC-SLE-068-01</x:v>
      </x:c>
      <x:c r="C1163" s="28" t="n">
        <x:v>16</x:v>
      </x:c>
      <x:c r="D1163" s="47" t="n">
        <x:v>731.892</x:v>
      </x:c>
      <x:c r="E1163" s="47" t="n">
        <x:v>470.827</x:v>
      </x:c>
      <x:c r="F1163" s="47" t="n">
        <x:v>747.01</x:v>
      </x:c>
      <x:c r="G1163" s="47" t="n">
        <x:v>480.435</x:v>
      </x:c>
      <x:c r="H1163" s="50" t="n">
        <x:v>0.869189</x:v>
      </x:c>
      <x:c r="I1163" s="50" t="n">
        <x:v>0.790881</x:v>
      </x:c>
      <x:c r="J1163" s="50" t="n">
        <x:v>0.887143</x:v>
      </x:c>
      <x:c r="K1163" s="50" t="n">
        <x:v>0.80702</x:v>
      </x:c>
      <x:c r="L1163" s="47" t="n">
        <x:v>842.04</x:v>
      </x:c>
      <x:c r="M1163" s="47" t="n">
        <x:v>595.32</x:v>
      </x:c>
      <x:c r="N1163" s="28" t="str">
        <x:v>top-left</x:v>
      </x:c>
      <x:c r="O1163" s="28" t="str">
        <x:v>PDF points</x:v>
      </x:c>
    </x:row>
    <x:row r="1164" ht="22" customHeight="1">
      <x:c r="A1164" s="28" t="str">
        <x:v>ANC-SLE-068-01-R13</x:v>
      </x:c>
      <x:c r="B1164" s="28" t="str">
        <x:v>ANC-SLE-068-01</x:v>
      </x:c>
      <x:c r="C1164" s="28" t="n">
        <x:v>16</x:v>
      </x:c>
      <x:c r="D1164" s="47" t="n">
        <x:v>768.016</x:v>
      </x:c>
      <x:c r="E1164" s="47" t="n">
        <x:v>470.827</x:v>
      </x:c>
      <x:c r="F1164" s="47" t="n">
        <x:v>783.133</x:v>
      </x:c>
      <x:c r="G1164" s="47" t="n">
        <x:v>480.435</x:v>
      </x:c>
      <x:c r="H1164" s="50" t="n">
        <x:v>0.912089</x:v>
      </x:c>
      <x:c r="I1164" s="50" t="n">
        <x:v>0.790881</x:v>
      </x:c>
      <x:c r="J1164" s="50" t="n">
        <x:v>0.930043</x:v>
      </x:c>
      <x:c r="K1164" s="50" t="n">
        <x:v>0.80702</x:v>
      </x:c>
      <x:c r="L1164" s="47" t="n">
        <x:v>842.04</x:v>
      </x:c>
      <x:c r="M1164" s="47" t="n">
        <x:v>595.32</x:v>
      </x:c>
      <x:c r="N1164" s="28" t="str">
        <x:v>top-left</x:v>
      </x:c>
      <x:c r="O1164" s="28" t="str">
        <x:v>PDF points</x:v>
      </x:c>
    </x:row>
    <x:row r="1165" ht="22" customHeight="1">
      <x:c r="A1165" s="28" t="str">
        <x:v>ANC-SLE-069-01-R01</x:v>
      </x:c>
      <x:c r="B1165" s="28" t="str">
        <x:v>ANC-SLE-069-01</x:v>
      </x:c>
      <x:c r="C1165" s="28" t="n">
        <x:v>18</x:v>
      </x:c>
      <x:c r="D1165" s="47" t="n">
        <x:v>217.32</x:v>
      </x:c>
      <x:c r="E1165" s="47" t="n">
        <x:v>178.507</x:v>
      </x:c>
      <x:c r="F1165" s="47" t="n">
        <x:v>434.314</x:v>
      </x:c>
      <x:c r="G1165" s="47" t="n">
        <x:v>188.115</x:v>
      </x:c>
      <x:c r="H1165" s="50" t="n">
        <x:v>0.258088</x:v>
      </x:c>
      <x:c r="I1165" s="50" t="n">
        <x:v>0.299851</x:v>
      </x:c>
      <x:c r="J1165" s="50" t="n">
        <x:v>0.515788</x:v>
      </x:c>
      <x:c r="K1165" s="50" t="n">
        <x:v>0.31599</x:v>
      </x:c>
      <x:c r="L1165" s="47" t="n">
        <x:v>842.04</x:v>
      </x:c>
      <x:c r="M1165" s="47" t="n">
        <x:v>595.32</x:v>
      </x:c>
      <x:c r="N1165" s="28" t="str">
        <x:v>top-left</x:v>
      </x:c>
      <x:c r="O1165" s="28" t="str">
        <x:v>PDF points</x:v>
      </x:c>
    </x:row>
    <x:row r="1166" ht="22" customHeight="1">
      <x:c r="A1166" s="28" t="str">
        <x:v>ANC-SLE-070-01-R01</x:v>
      </x:c>
      <x:c r="B1166" s="28" t="str">
        <x:v>ANC-SLE-070-01</x:v>
      </x:c>
      <x:c r="C1166" s="28" t="n">
        <x:v>11</x:v>
      </x:c>
      <x:c r="D1166" s="47" t="n">
        <x:v>70.56</x:v>
      </x:c>
      <x:c r="E1166" s="47" t="n">
        <x:v>539.596</x:v>
      </x:c>
      <x:c r="F1166" s="47" t="n">
        <x:v>541.488</x:v>
      </x:c>
      <x:c r="G1166" s="47" t="n">
        <x:v>552.789</x:v>
      </x:c>
      <x:c r="H1166" s="50" t="n">
        <x:v>0.115294</x:v>
      </x:c>
      <x:c r="I1166" s="50" t="n">
        <x:v>0.681308</x:v>
      </x:c>
      <x:c r="J1166" s="50" t="n">
        <x:v>0.884785</x:v>
      </x:c>
      <x:c r="K1166" s="50" t="n">
        <x:v>0.697966</x:v>
      </x:c>
      <x:c r="L1166" s="47" t="n">
        <x:v>612</x:v>
      </x:c>
      <x:c r="M1166" s="47" t="n">
        <x:v>792</x:v>
      </x:c>
      <x:c r="N1166" s="28" t="str">
        <x:v>top-left</x:v>
      </x:c>
      <x:c r="O1166" s="28" t="str">
        <x:v>PDF points</x:v>
      </x:c>
    </x:row>
    <x:row r="1167" ht="22" customHeight="1">
      <x:c r="A1167" s="28" t="str">
        <x:v>ANC-SLE-070-01-R02</x:v>
      </x:c>
      <x:c r="B1167" s="28" t="str">
        <x:v>ANC-SLE-070-01</x:v>
      </x:c>
      <x:c r="C1167" s="28" t="n">
        <x:v>11</x:v>
      </x:c>
      <x:c r="D1167" s="47" t="n">
        <x:v>70.56</x:v>
      </x:c>
      <x:c r="E1167" s="47" t="n">
        <x:v>556.035</x:v>
      </x:c>
      <x:c r="F1167" s="47" t="n">
        <x:v>541.44</x:v>
      </x:c>
      <x:c r="G1167" s="47" t="n">
        <x:v>569.228</x:v>
      </x:c>
      <x:c r="H1167" s="50" t="n">
        <x:v>0.115294</x:v>
      </x:c>
      <x:c r="I1167" s="50" t="n">
        <x:v>0.702064</x:v>
      </x:c>
      <x:c r="J1167" s="50" t="n">
        <x:v>0.884706</x:v>
      </x:c>
      <x:c r="K1167" s="50" t="n">
        <x:v>0.718722</x:v>
      </x:c>
      <x:c r="L1167" s="47" t="n">
        <x:v>612</x:v>
      </x:c>
      <x:c r="M1167" s="47" t="n">
        <x:v>792</x:v>
      </x:c>
      <x:c r="N1167" s="28" t="str">
        <x:v>top-left</x:v>
      </x:c>
      <x:c r="O1167" s="28" t="str">
        <x:v>PDF points</x:v>
      </x:c>
    </x:row>
    <x:row r="1168" ht="22" customHeight="1">
      <x:c r="A1168" s="28" t="str">
        <x:v>ANC-JAM-031-CTX-01-R01</x:v>
      </x:c>
      <x:c r="B1168" s="28" t="str">
        <x:v>ANC-JAM-031-CTX-01</x:v>
      </x:c>
      <x:c r="C1168" s="28" t="n">
        <x:v>5</x:v>
      </x:c>
      <x:c r="D1168" s="47" t="n">
        <x:v>120.14</x:v>
      </x:c>
      <x:c r="E1168" s="47" t="n">
        <x:v>236.66</x:v>
      </x:c>
      <x:c r="F1168" s="47" t="n">
        <x:v>126.005</x:v>
      </x:c>
      <x:c r="G1168" s="47" t="n">
        <x:v>247.7</x:v>
      </x:c>
      <x:c r="H1168" s="50" t="n">
        <x:v>0.196307</x:v>
      </x:c>
      <x:c r="I1168" s="50" t="n">
        <x:v>0.298813</x:v>
      </x:c>
      <x:c r="J1168" s="50" t="n">
        <x:v>0.205891</x:v>
      </x:c>
      <x:c r="K1168" s="50" t="n">
        <x:v>0.312753</x:v>
      </x:c>
      <x:c r="L1168" s="47" t="n">
        <x:v>612</x:v>
      </x:c>
      <x:c r="M1168" s="47" t="n">
        <x:v>792</x:v>
      </x:c>
      <x:c r="N1168" s="28" t="str">
        <x:v>top-left</x:v>
      </x:c>
      <x:c r="O1168" s="28" t="str">
        <x:v>PDF points</x:v>
      </x:c>
    </x:row>
    <x:row r="1169" ht="22" customHeight="1">
      <x:c r="A1169" s="28" t="str">
        <x:v>ANC-JAM-031-CTX-01-R02</x:v>
      </x:c>
      <x:c r="B1169" s="28" t="str">
        <x:v>ANC-JAM-031-CTX-01</x:v>
      </x:c>
      <x:c r="C1169" s="28" t="n">
        <x:v>5</x:v>
      </x:c>
      <x:c r="D1169" s="47" t="n">
        <x:v>144.02</x:v>
      </x:c>
      <x:c r="E1169" s="47" t="n">
        <x:v>234.248</x:v>
      </x:c>
      <x:c r="F1169" s="47" t="n">
        <x:v>510.584</x:v>
      </x:c>
      <x:c r="G1169" s="47" t="n">
        <x:v>247.532</x:v>
      </x:c>
      <x:c r="H1169" s="50" t="n">
        <x:v>0.235327</x:v>
      </x:c>
      <x:c r="I1169" s="50" t="n">
        <x:v>0.295768</x:v>
      </x:c>
      <x:c r="J1169" s="50" t="n">
        <x:v>0.834288</x:v>
      </x:c>
      <x:c r="K1169" s="50" t="n">
        <x:v>0.31254</x:v>
      </x:c>
      <x:c r="L1169" s="47" t="n">
        <x:v>612</x:v>
      </x:c>
      <x:c r="M1169" s="47" t="n">
        <x:v>792</x:v>
      </x:c>
      <x:c r="N1169" s="28" t="str">
        <x:v>top-left</x:v>
      </x:c>
      <x:c r="O1169" s="28" t="str">
        <x:v>PDF points</x:v>
      </x:c>
    </x:row>
    <x:row r="1170" ht="22" customHeight="1">
      <x:c r="A1170" s="28" t="str">
        <x:v>ANC-JAM-031-CTX-01-R03</x:v>
      </x:c>
      <x:c r="B1170" s="28" t="str">
        <x:v>ANC-JAM-031-CTX-01</x:v>
      </x:c>
      <x:c r="C1170" s="28" t="n">
        <x:v>5</x:v>
      </x:c>
      <x:c r="D1170" s="47" t="n">
        <x:v>144.02</x:v>
      </x:c>
      <x:c r="E1170" s="47" t="n">
        <x:v>249.158</x:v>
      </x:c>
      <x:c r="F1170" s="47" t="n">
        <x:v>499.016</x:v>
      </x:c>
      <x:c r="G1170" s="47" t="n">
        <x:v>262.442</x:v>
      </x:c>
      <x:c r="H1170" s="50" t="n">
        <x:v>0.235327</x:v>
      </x:c>
      <x:c r="I1170" s="50" t="n">
        <x:v>0.314593</x:v>
      </x:c>
      <x:c r="J1170" s="50" t="n">
        <x:v>0.815386</x:v>
      </x:c>
      <x:c r="K1170" s="50" t="n">
        <x:v>0.331366</x:v>
      </x:c>
      <x:c r="L1170" s="47" t="n">
        <x:v>612</x:v>
      </x:c>
      <x:c r="M1170" s="47" t="n">
        <x:v>792</x:v>
      </x:c>
      <x:c r="N1170" s="28" t="str">
        <x:v>top-left</x:v>
      </x:c>
      <x:c r="O1170" s="28" t="str">
        <x:v>PDF points</x:v>
      </x:c>
    </x:row>
    <x:row r="1171" ht="22" customHeight="1">
      <x:c r="A1171" s="28" t="str">
        <x:v>ANC-JAM-031-CTX-02-R01</x:v>
      </x:c>
      <x:c r="B1171" s="28" t="str">
        <x:v>ANC-JAM-031-CTX-02</x:v>
      </x:c>
      <x:c r="C1171" s="28" t="n">
        <x:v>5</x:v>
      </x:c>
      <x:c r="D1171" s="47" t="n">
        <x:v>117.62</x:v>
      </x:c>
      <x:c r="E1171" s="47" t="n">
        <x:v>270.29</x:v>
      </x:c>
      <x:c r="F1171" s="47" t="n">
        <x:v>126.005</x:v>
      </x:c>
      <x:c r="G1171" s="47" t="n">
        <x:v>281.33</x:v>
      </x:c>
      <x:c r="H1171" s="50" t="n">
        <x:v>0.19219</x:v>
      </x:c>
      <x:c r="I1171" s="50" t="n">
        <x:v>0.341275</x:v>
      </x:c>
      <x:c r="J1171" s="50" t="n">
        <x:v>0.205891</x:v>
      </x:c>
      <x:c r="K1171" s="50" t="n">
        <x:v>0.355215</x:v>
      </x:c>
      <x:c r="L1171" s="47" t="n">
        <x:v>612</x:v>
      </x:c>
      <x:c r="M1171" s="47" t="n">
        <x:v>792</x:v>
      </x:c>
      <x:c r="N1171" s="28" t="str">
        <x:v>top-left</x:v>
      </x:c>
      <x:c r="O1171" s="28" t="str">
        <x:v>PDF points</x:v>
      </x:c>
    </x:row>
    <x:row r="1172" ht="22" customHeight="1">
      <x:c r="A1172" s="28" t="str">
        <x:v>ANC-JAM-031-CTX-02-R02</x:v>
      </x:c>
      <x:c r="B1172" s="28" t="str">
        <x:v>ANC-JAM-031-CTX-02</x:v>
      </x:c>
      <x:c r="C1172" s="28" t="n">
        <x:v>5</x:v>
      </x:c>
      <x:c r="D1172" s="47" t="n">
        <x:v>144.02</x:v>
      </x:c>
      <x:c r="E1172" s="47" t="n">
        <x:v>267.878</x:v>
      </x:c>
      <x:c r="F1172" s="47" t="n">
        <x:v>534.824</x:v>
      </x:c>
      <x:c r="G1172" s="47" t="n">
        <x:v>281.162</x:v>
      </x:c>
      <x:c r="H1172" s="50" t="n">
        <x:v>0.235327</x:v>
      </x:c>
      <x:c r="I1172" s="50" t="n">
        <x:v>0.33823</x:v>
      </x:c>
      <x:c r="J1172" s="50" t="n">
        <x:v>0.873896</x:v>
      </x:c>
      <x:c r="K1172" s="50" t="n">
        <x:v>0.355003</x:v>
      </x:c>
      <x:c r="L1172" s="47" t="n">
        <x:v>612</x:v>
      </x:c>
      <x:c r="M1172" s="47" t="n">
        <x:v>792</x:v>
      </x:c>
      <x:c r="N1172" s="28" t="str">
        <x:v>top-left</x:v>
      </x:c>
      <x:c r="O1172" s="28" t="str">
        <x:v>PDF points</x:v>
      </x:c>
    </x:row>
    <x:row r="1173" ht="22" customHeight="1">
      <x:c r="A1173" s="28" t="str">
        <x:v>ANC-JAM-031-CTX-02-R03</x:v>
      </x:c>
      <x:c r="B1173" s="28" t="str">
        <x:v>ANC-JAM-031-CTX-02</x:v>
      </x:c>
      <x:c r="C1173" s="28" t="n">
        <x:v>5</x:v>
      </x:c>
      <x:c r="D1173" s="47" t="n">
        <x:v>144.02</x:v>
      </x:c>
      <x:c r="E1173" s="47" t="n">
        <x:v>282.638</x:v>
      </x:c>
      <x:c r="F1173" s="47" t="n">
        <x:v>171.02</x:v>
      </x:c>
      <x:c r="G1173" s="47" t="n">
        <x:v>295.922</x:v>
      </x:c>
      <x:c r="H1173" s="50" t="n">
        <x:v>0.235327</x:v>
      </x:c>
      <x:c r="I1173" s="50" t="n">
        <x:v>0.356866</x:v>
      </x:c>
      <x:c r="J1173" s="50" t="n">
        <x:v>0.279444</x:v>
      </x:c>
      <x:c r="K1173" s="50" t="n">
        <x:v>0.373639</x:v>
      </x:c>
      <x:c r="L1173" s="47" t="n">
        <x:v>612</x:v>
      </x:c>
      <x:c r="M1173" s="47" t="n">
        <x:v>792</x:v>
      </x:c>
      <x:c r="N1173" s="28" t="str">
        <x:v>top-left</x:v>
      </x:c>
      <x:c r="O1173" s="28" t="str">
        <x:v>PDF points</x:v>
      </x:c>
    </x:row>
    <x:row r="1174" ht="22" customHeight="1">
      <x:c r="A1174" s="28" t="str">
        <x:v>ANC-JAM-034-CTX-01-R01</x:v>
      </x:c>
      <x:c r="B1174" s="28" t="str">
        <x:v>ANC-JAM-034-CTX-01</x:v>
      </x:c>
      <x:c r="C1174" s="28" t="n">
        <x:v>6</x:v>
      </x:c>
      <x:c r="D1174" s="47" t="n">
        <x:v>117.62</x:v>
      </x:c>
      <x:c r="E1174" s="47" t="n">
        <x:v>141.98</x:v>
      </x:c>
      <x:c r="F1174" s="47" t="n">
        <x:v>126.005</x:v>
      </x:c>
      <x:c r="G1174" s="47" t="n">
        <x:v>153.02</x:v>
      </x:c>
      <x:c r="H1174" s="50" t="n">
        <x:v>0.19219</x:v>
      </x:c>
      <x:c r="I1174" s="50" t="n">
        <x:v>0.179268</x:v>
      </x:c>
      <x:c r="J1174" s="50" t="n">
        <x:v>0.205891</x:v>
      </x:c>
      <x:c r="K1174" s="50" t="n">
        <x:v>0.193207</x:v>
      </x:c>
      <x:c r="L1174" s="47" t="n">
        <x:v>612</x:v>
      </x:c>
      <x:c r="M1174" s="47" t="n">
        <x:v>792</x:v>
      </x:c>
      <x:c r="N1174" s="28" t="str">
        <x:v>top-left</x:v>
      </x:c>
      <x:c r="O1174" s="28" t="str">
        <x:v>PDF points</x:v>
      </x:c>
    </x:row>
    <x:row r="1175" ht="22" customHeight="1">
      <x:c r="A1175" s="28" t="str">
        <x:v>ANC-JAM-034-CTX-01-R02</x:v>
      </x:c>
      <x:c r="B1175" s="28" t="str">
        <x:v>ANC-JAM-034-CTX-01</x:v>
      </x:c>
      <x:c r="C1175" s="28" t="n">
        <x:v>6</x:v>
      </x:c>
      <x:c r="D1175" s="47" t="n">
        <x:v>144.02</x:v>
      </x:c>
      <x:c r="E1175" s="47" t="n">
        <x:v>139.568</x:v>
      </x:c>
      <x:c r="F1175" s="47" t="n">
        <x:v>539.816</x:v>
      </x:c>
      <x:c r="G1175" s="47" t="n">
        <x:v>152.852</x:v>
      </x:c>
      <x:c r="H1175" s="50" t="n">
        <x:v>0.235327</x:v>
      </x:c>
      <x:c r="I1175" s="50" t="n">
        <x:v>0.176222</x:v>
      </x:c>
      <x:c r="J1175" s="50" t="n">
        <x:v>0.882052</x:v>
      </x:c>
      <x:c r="K1175" s="50" t="n">
        <x:v>0.192995</x:v>
      </x:c>
      <x:c r="L1175" s="47" t="n">
        <x:v>612</x:v>
      </x:c>
      <x:c r="M1175" s="47" t="n">
        <x:v>792</x:v>
      </x:c>
      <x:c r="N1175" s="28" t="str">
        <x:v>top-left</x:v>
      </x:c>
      <x:c r="O1175" s="28" t="str">
        <x:v>PDF points</x:v>
      </x:c>
    </x:row>
    <x:row r="1176" ht="22" customHeight="1">
      <x:c r="A1176" s="28" t="str">
        <x:v>ANC-JAM-034-CTX-01-R03</x:v>
      </x:c>
      <x:c r="B1176" s="28" t="str">
        <x:v>ANC-JAM-034-CTX-01</x:v>
      </x:c>
      <x:c r="C1176" s="28" t="n">
        <x:v>6</x:v>
      </x:c>
      <x:c r="D1176" s="47" t="n">
        <x:v>144.02</x:v>
      </x:c>
      <x:c r="E1176" s="47" t="n">
        <x:v>154.328</x:v>
      </x:c>
      <x:c r="F1176" s="47" t="n">
        <x:v>540.02</x:v>
      </x:c>
      <x:c r="G1176" s="47" t="n">
        <x:v>167.612</x:v>
      </x:c>
      <x:c r="H1176" s="50" t="n">
        <x:v>0.235327</x:v>
      </x:c>
      <x:c r="I1176" s="50" t="n">
        <x:v>0.194859</x:v>
      </x:c>
      <x:c r="J1176" s="50" t="n">
        <x:v>0.882386</x:v>
      </x:c>
      <x:c r="K1176" s="50" t="n">
        <x:v>0.211631</x:v>
      </x:c>
      <x:c r="L1176" s="47" t="n">
        <x:v>612</x:v>
      </x:c>
      <x:c r="M1176" s="47" t="n">
        <x:v>792</x:v>
      </x:c>
      <x:c r="N1176" s="28" t="str">
        <x:v>top-left</x:v>
      </x:c>
      <x:c r="O1176" s="28" t="str">
        <x:v>PDF points</x:v>
      </x:c>
    </x:row>
    <x:row r="1177" ht="22" customHeight="1">
      <x:c r="A1177" s="28" t="str">
        <x:v>ANC-JAM-034-CTX-01-R04</x:v>
      </x:c>
      <x:c r="B1177" s="28" t="str">
        <x:v>ANC-JAM-034-CTX-01</x:v>
      </x:c>
      <x:c r="C1177" s="28" t="n">
        <x:v>6</x:v>
      </x:c>
      <x:c r="D1177" s="47" t="n">
        <x:v>144.02</x:v>
      </x:c>
      <x:c r="E1177" s="47" t="n">
        <x:v>169.088</x:v>
      </x:c>
      <x:c r="F1177" s="47" t="n">
        <x:v>534.304</x:v>
      </x:c>
      <x:c r="G1177" s="47" t="n">
        <x:v>182.372</x:v>
      </x:c>
      <x:c r="H1177" s="50" t="n">
        <x:v>0.235327</x:v>
      </x:c>
      <x:c r="I1177" s="50" t="n">
        <x:v>0.213495</x:v>
      </x:c>
      <x:c r="J1177" s="50" t="n">
        <x:v>0.873046</x:v>
      </x:c>
      <x:c r="K1177" s="50" t="n">
        <x:v>0.230268</x:v>
      </x:c>
      <x:c r="L1177" s="47" t="n">
        <x:v>612</x:v>
      </x:c>
      <x:c r="M1177" s="47" t="n">
        <x:v>792</x:v>
      </x:c>
      <x:c r="N1177" s="28" t="str">
        <x:v>top-left</x:v>
      </x:c>
      <x:c r="O1177" s="28" t="str">
        <x:v>PDF points</x:v>
      </x:c>
    </x:row>
    <x:row r="1178" ht="22" customHeight="1">
      <x:c r="A1178" s="28" t="str">
        <x:v>ANC-JAM-036-CTX-01-R01</x:v>
      </x:c>
      <x:c r="B1178" s="28" t="str">
        <x:v>ANC-JAM-036-CTX-01</x:v>
      </x:c>
      <x:c r="C1178" s="28" t="n">
        <x:v>6</x:v>
      </x:c>
      <x:c r="D1178" s="47" t="n">
        <x:v>90.024</x:v>
      </x:c>
      <x:c r="E1178" s="47" t="n">
        <x:v>490.378</x:v>
      </x:c>
      <x:c r="F1178" s="47" t="n">
        <x:v>511.418</x:v>
      </x:c>
      <x:c r="G1178" s="47" t="n">
        <x:v>503.83</x:v>
      </x:c>
      <x:c r="H1178" s="50" t="n">
        <x:v>0.147098</x:v>
      </x:c>
      <x:c r="I1178" s="50" t="n">
        <x:v>0.619164</x:v>
      </x:c>
      <x:c r="J1178" s="50" t="n">
        <x:v>0.83565</x:v>
      </x:c>
      <x:c r="K1178" s="50" t="n">
        <x:v>0.636149</x:v>
      </x:c>
      <x:c r="L1178" s="47" t="n">
        <x:v>612</x:v>
      </x:c>
      <x:c r="M1178" s="47" t="n">
        <x:v>792</x:v>
      </x:c>
      <x:c r="N1178" s="28" t="str">
        <x:v>top-left</x:v>
      </x:c>
      <x:c r="O1178" s="28" t="str">
        <x:v>PDF points</x:v>
      </x:c>
    </x:row>
    <x:row r="1179" ht="22" customHeight="1">
      <x:c r="A1179" s="28" t="str">
        <x:v>ANC-JAM-036-CTX-01-R02</x:v>
      </x:c>
      <x:c r="B1179" s="28" t="str">
        <x:v>ANC-JAM-036-CTX-01</x:v>
      </x:c>
      <x:c r="C1179" s="28" t="n">
        <x:v>6</x:v>
      </x:c>
      <x:c r="D1179" s="47" t="n">
        <x:v>108.02</x:v>
      </x:c>
      <x:c r="E1179" s="47" t="n">
        <x:v>505.138</x:v>
      </x:c>
      <x:c r="F1179" s="47" t="n">
        <x:v>513.788</x:v>
      </x:c>
      <x:c r="G1179" s="47" t="n">
        <x:v>518.422</x:v>
      </x:c>
      <x:c r="H1179" s="50" t="n">
        <x:v>0.176503</x:v>
      </x:c>
      <x:c r="I1179" s="50" t="n">
        <x:v>0.6378</x:v>
      </x:c>
      <x:c r="J1179" s="50" t="n">
        <x:v>0.839523</x:v>
      </x:c>
      <x:c r="K1179" s="50" t="n">
        <x:v>0.654573</x:v>
      </x:c>
      <x:c r="L1179" s="47" t="n">
        <x:v>612</x:v>
      </x:c>
      <x:c r="M1179" s="47" t="n">
        <x:v>792</x:v>
      </x:c>
      <x:c r="N1179" s="28" t="str">
        <x:v>top-left</x:v>
      </x:c>
      <x:c r="O1179" s="28" t="str">
        <x:v>PDF points</x:v>
      </x:c>
    </x:row>
    <x:row r="1180" ht="22" customHeight="1">
      <x:c r="A1180" s="28" t="str">
        <x:v>ANC-JAM-036-CTX-02-R01</x:v>
      </x:c>
      <x:c r="B1180" s="28" t="str">
        <x:v>ANC-JAM-036-CTX-02</x:v>
      </x:c>
      <x:c r="C1180" s="28" t="n">
        <x:v>6</x:v>
      </x:c>
      <x:c r="D1180" s="47" t="n">
        <x:v>90.024</x:v>
      </x:c>
      <x:c r="E1180" s="47" t="n">
        <x:v>568.258</x:v>
      </x:c>
      <x:c r="F1180" s="47" t="n">
        <x:v>539.246</x:v>
      </x:c>
      <x:c r="G1180" s="47" t="n">
        <x:v>581.71</x:v>
      </x:c>
      <x:c r="H1180" s="50" t="n">
        <x:v>0.147098</x:v>
      </x:c>
      <x:c r="I1180" s="50" t="n">
        <x:v>0.717497</x:v>
      </x:c>
      <x:c r="J1180" s="50" t="n">
        <x:v>0.881121</x:v>
      </x:c>
      <x:c r="K1180" s="50" t="n">
        <x:v>0.734482</x:v>
      </x:c>
      <x:c r="L1180" s="47" t="n">
        <x:v>612</x:v>
      </x:c>
      <x:c r="M1180" s="47" t="n">
        <x:v>792</x:v>
      </x:c>
      <x:c r="N1180" s="28" t="str">
        <x:v>top-left</x:v>
      </x:c>
      <x:c r="O1180" s="28" t="str">
        <x:v>PDF points</x:v>
      </x:c>
    </x:row>
    <x:row r="1181" ht="22" customHeight="1">
      <x:c r="A1181" s="28" t="str">
        <x:v>ANC-JAM-036-CTX-02-R02</x:v>
      </x:c>
      <x:c r="B1181" s="28" t="str">
        <x:v>ANC-JAM-036-CTX-02</x:v>
      </x:c>
      <x:c r="C1181" s="28" t="n">
        <x:v>6</x:v>
      </x:c>
      <x:c r="D1181" s="47" t="n">
        <x:v>108.02</x:v>
      </x:c>
      <x:c r="E1181" s="47" t="n">
        <x:v>583.048</x:v>
      </x:c>
      <x:c r="F1181" s="47" t="n">
        <x:v>531.562</x:v>
      </x:c>
      <x:c r="G1181" s="47" t="n">
        <x:v>596.332</x:v>
      </x:c>
      <x:c r="H1181" s="50" t="n">
        <x:v>0.176503</x:v>
      </x:c>
      <x:c r="I1181" s="50" t="n">
        <x:v>0.736172</x:v>
      </x:c>
      <x:c r="J1181" s="50" t="n">
        <x:v>0.868565</x:v>
      </x:c>
      <x:c r="K1181" s="50" t="n">
        <x:v>0.752944</x:v>
      </x:c>
      <x:c r="L1181" s="47" t="n">
        <x:v>612</x:v>
      </x:c>
      <x:c r="M1181" s="47" t="n">
        <x:v>792</x:v>
      </x:c>
      <x:c r="N1181" s="28" t="str">
        <x:v>top-left</x:v>
      </x:c>
      <x:c r="O1181" s="28" t="str">
        <x:v>PDF points</x:v>
      </x:c>
    </x:row>
    <x:row r="1182" ht="22" customHeight="1">
      <x:c r="A1182" s="28" t="str">
        <x:v>ANC-JAM-036-CTX-03-R01</x:v>
      </x:c>
      <x:c r="B1182" s="28" t="str">
        <x:v>ANC-JAM-036-CTX-03</x:v>
      </x:c>
      <x:c r="C1182" s="28" t="n">
        <x:v>6</x:v>
      </x:c>
      <x:c r="D1182" s="47" t="n">
        <x:v>90.024</x:v>
      </x:c>
      <x:c r="E1182" s="47" t="n">
        <x:v>631.288</x:v>
      </x:c>
      <x:c r="F1182" s="47" t="n">
        <x:v>505.874</x:v>
      </x:c>
      <x:c r="G1182" s="47" t="n">
        <x:v>644.74</x:v>
      </x:c>
      <x:c r="H1182" s="50" t="n">
        <x:v>0.147098</x:v>
      </x:c>
      <x:c r="I1182" s="50" t="n">
        <x:v>0.797081</x:v>
      </x:c>
      <x:c r="J1182" s="50" t="n">
        <x:v>0.826592</x:v>
      </x:c>
      <x:c r="K1182" s="50" t="n">
        <x:v>0.814066</x:v>
      </x:c>
      <x:c r="L1182" s="47" t="n">
        <x:v>612</x:v>
      </x:c>
      <x:c r="M1182" s="47" t="n">
        <x:v>792</x:v>
      </x:c>
      <x:c r="N1182" s="28" t="str">
        <x:v>top-left</x:v>
      </x:c>
      <x:c r="O1182" s="28" t="str">
        <x:v>PDF points</x:v>
      </x:c>
    </x:row>
    <x:row r="1183" ht="22" customHeight="1">
      <x:c r="A1183" s="28" t="str">
        <x:v>ANC-JAM-036-CTX-03-R02</x:v>
      </x:c>
      <x:c r="B1183" s="28" t="str">
        <x:v>ANC-JAM-036-CTX-03</x:v>
      </x:c>
      <x:c r="C1183" s="28" t="n">
        <x:v>6</x:v>
      </x:c>
      <x:c r="D1183" s="47" t="n">
        <x:v>108.02</x:v>
      </x:c>
      <x:c r="E1183" s="47" t="n">
        <x:v>646.168</x:v>
      </x:c>
      <x:c r="F1183" s="47" t="n">
        <x:v>518.12</x:v>
      </x:c>
      <x:c r="G1183" s="47" t="n">
        <x:v>659.452</x:v>
      </x:c>
      <x:c r="H1183" s="50" t="n">
        <x:v>0.176503</x:v>
      </x:c>
      <x:c r="I1183" s="50" t="n">
        <x:v>0.815869</x:v>
      </x:c>
      <x:c r="J1183" s="50" t="n">
        <x:v>0.846601</x:v>
      </x:c>
      <x:c r="K1183" s="50" t="n">
        <x:v>0.832641</x:v>
      </x:c>
      <x:c r="L1183" s="47" t="n">
        <x:v>612</x:v>
      </x:c>
      <x:c r="M1183" s="47" t="n">
        <x:v>792</x:v>
      </x:c>
      <x:c r="N1183" s="28" t="str">
        <x:v>top-left</x:v>
      </x:c>
      <x:c r="O1183" s="28" t="str">
        <x:v>PDF points</x:v>
      </x:c>
    </x:row>
    <x:row r="1184" ht="22" customHeight="1">
      <x:c r="A1184" s="28" t="str">
        <x:v>ANC-SLE-058-CTX-01-R01</x:v>
      </x:c>
      <x:c r="B1184" s="28" t="str">
        <x:v>ANC-SLE-058-CTX-01</x:v>
      </x:c>
      <x:c r="C1184" s="28" t="n">
        <x:v>10</x:v>
      </x:c>
      <x:c r="D1184" s="47" t="n">
        <x:v>296.04</x:v>
      </x:c>
      <x:c r="E1184" s="47" t="n">
        <x:v>97.187</x:v>
      </x:c>
      <x:c r="F1184" s="47" t="n">
        <x:v>529.724</x:v>
      </x:c>
      <x:c r="G1184" s="47" t="n">
        <x:v>109.089</x:v>
      </x:c>
      <x:c r="H1184" s="50" t="n">
        <x:v>0.483726</x:v>
      </x:c>
      <x:c r="I1184" s="50" t="n">
        <x:v>0.12271</x:v>
      </x:c>
      <x:c r="J1184" s="50" t="n">
        <x:v>0.865563</x:v>
      </x:c>
      <x:c r="K1184" s="50" t="n">
        <x:v>0.137738</x:v>
      </x:c>
      <x:c r="L1184" s="47" t="n">
        <x:v>612</x:v>
      </x:c>
      <x:c r="M1184" s="47" t="n">
        <x:v>792</x:v>
      </x:c>
      <x:c r="N1184" s="28" t="str">
        <x:v>top-left</x:v>
      </x:c>
      <x:c r="O1184" s="28" t="str">
        <x:v>PDF points</x:v>
      </x:c>
    </x:row>
    <x:row r="1185" ht="22" customHeight="1">
      <x:c r="A1185" s="28" t="str">
        <x:v>ANC-SLE-058-CTX-01-R02</x:v>
      </x:c>
      <x:c r="B1185" s="28" t="str">
        <x:v>ANC-SLE-058-CTX-01</x:v>
      </x:c>
      <x:c r="C1185" s="28" t="n">
        <x:v>10</x:v>
      </x:c>
      <x:c r="D1185" s="47" t="n">
        <x:v>296.04</x:v>
      </x:c>
      <x:c r="E1185" s="47" t="n">
        <x:v>109.787</x:v>
      </x:c>
      <x:c r="F1185" s="47" t="n">
        <x:v>328.522</x:v>
      </x:c>
      <x:c r="G1185" s="47" t="n">
        <x:v>121.689</x:v>
      </x:c>
      <x:c r="H1185" s="50" t="n">
        <x:v>0.483726</x:v>
      </x:c>
      <x:c r="I1185" s="50" t="n">
        <x:v>0.13862</x:v>
      </x:c>
      <x:c r="J1185" s="50" t="n">
        <x:v>0.5368</x:v>
      </x:c>
      <x:c r="K1185" s="50" t="n">
        <x:v>0.153648</x:v>
      </x:c>
      <x:c r="L1185" s="47" t="n">
        <x:v>612</x:v>
      </x:c>
      <x:c r="M1185" s="47" t="n">
        <x:v>792</x:v>
      </x:c>
      <x:c r="N1185" s="28" t="str">
        <x:v>top-left</x:v>
      </x:c>
      <x:c r="O1185" s="28" t="str">
        <x:v>PDF points</x:v>
      </x:c>
    </x:row>
    <x:row r="1186" ht="22" customHeight="1">
      <x:c r="A1186" s="28" t="str">
        <x:v>ANC-SLE-061-CTX-01-R01</x:v>
      </x:c>
      <x:c r="B1186" s="28" t="str">
        <x:v>ANC-SLE-061-CTX-01</x:v>
      </x:c>
      <x:c r="C1186" s="28" t="n">
        <x:v>14</x:v>
      </x:c>
      <x:c r="D1186" s="47" t="n">
        <x:v>217.32</x:v>
      </x:c>
      <x:c r="E1186" s="47" t="n">
        <x:v>267.307</x:v>
      </x:c>
      <x:c r="F1186" s="47" t="n">
        <x:v>441.357</x:v>
      </x:c>
      <x:c r="G1186" s="47" t="n">
        <x:v>276.915</x:v>
      </x:c>
      <x:c r="H1186" s="50" t="n">
        <x:v>0.258088</x:v>
      </x:c>
      <x:c r="I1186" s="50" t="n">
        <x:v>0.449014</x:v>
      </x:c>
      <x:c r="J1186" s="50" t="n">
        <x:v>0.524152</x:v>
      </x:c>
      <x:c r="K1186" s="50" t="n">
        <x:v>0.465153</x:v>
      </x:c>
      <x:c r="L1186" s="47" t="n">
        <x:v>842.04</x:v>
      </x:c>
      <x:c r="M1186" s="47" t="n">
        <x:v>595.32</x:v>
      </x:c>
      <x:c r="N1186" s="28" t="str">
        <x:v>top-left</x:v>
      </x:c>
      <x:c r="O1186" s="28" t="str">
        <x:v>PDF points</x:v>
      </x:c>
    </x:row>
    <x:row r="1187" ht="22" customHeight="1">
      <x:c r="A1187" s="28" t="str">
        <x:v>ANC-SLE-061-CTX-01-R02</x:v>
      </x:c>
      <x:c r="B1187" s="28" t="str">
        <x:v>ANC-SLE-061-CTX-01</x:v>
      </x:c>
      <x:c r="C1187" s="28" t="n">
        <x:v>14</x:v>
      </x:c>
      <x:c r="D1187" s="47" t="n">
        <x:v>217.32</x:v>
      </x:c>
      <x:c r="E1187" s="47" t="n">
        <x:v>276.067</x:v>
      </x:c>
      <x:c r="F1187" s="47" t="n">
        <x:v>243.774</x:v>
      </x:c>
      <x:c r="G1187" s="47" t="n">
        <x:v>285.675</x:v>
      </x:c>
      <x:c r="H1187" s="50" t="n">
        <x:v>0.258088</x:v>
      </x:c>
      <x:c r="I1187" s="50" t="n">
        <x:v>0.463729</x:v>
      </x:c>
      <x:c r="J1187" s="50" t="n">
        <x:v>0.289504</x:v>
      </x:c>
      <x:c r="K1187" s="50" t="n">
        <x:v>0.479868</x:v>
      </x:c>
      <x:c r="L1187" s="47" t="n">
        <x:v>842.04</x:v>
      </x:c>
      <x:c r="M1187" s="47" t="n">
        <x:v>595.32</x:v>
      </x:c>
      <x:c r="N1187" s="28" t="str">
        <x:v>top-left</x:v>
      </x:c>
      <x:c r="O1187" s="28" t="str">
        <x:v>PDF points</x:v>
      </x:c>
    </x:row>
    <x:row r="1188" ht="22" customHeight="1">
      <x:c r="A1188" s="28" t="str">
        <x:v>ANC-SLE-061-CTX-02-R01</x:v>
      </x:c>
      <x:c r="B1188" s="28" t="str">
        <x:v>ANC-SLE-061-CTX-02</x:v>
      </x:c>
      <x:c r="C1188" s="28" t="n">
        <x:v>14</x:v>
      </x:c>
      <x:c r="D1188" s="47" t="n">
        <x:v>217.32</x:v>
      </x:c>
      <x:c r="E1188" s="47" t="n">
        <x:v>290.347</x:v>
      </x:c>
      <x:c r="F1188" s="47" t="n">
        <x:v>386.8</x:v>
      </x:c>
      <x:c r="G1188" s="47" t="n">
        <x:v>299.955</x:v>
      </x:c>
      <x:c r="H1188" s="50" t="n">
        <x:v>0.258088</x:v>
      </x:c>
      <x:c r="I1188" s="50" t="n">
        <x:v>0.487716</x:v>
      </x:c>
      <x:c r="J1188" s="50" t="n">
        <x:v>0.45936</x:v>
      </x:c>
      <x:c r="K1188" s="50" t="n">
        <x:v>0.503855</x:v>
      </x:c>
      <x:c r="L1188" s="47" t="n">
        <x:v>842.04</x:v>
      </x:c>
      <x:c r="M1188" s="47" t="n">
        <x:v>595.32</x:v>
      </x:c>
      <x:c r="N1188" s="28" t="str">
        <x:v>top-left</x:v>
      </x:c>
      <x:c r="O1188" s="28" t="str">
        <x:v>PDF points</x:v>
      </x:c>
    </x:row>
    <x:row r="1189" ht="22" customHeight="1">
      <x:c r="A1189" s="28" t="str">
        <x:v>ANC-SLE-063-CTX-01-R01</x:v>
      </x:c>
      <x:c r="B1189" s="28" t="str">
        <x:v>ANC-SLE-063-CTX-01</x:v>
      </x:c>
      <x:c r="C1189" s="28" t="n">
        <x:v>15</x:v>
      </x:c>
      <x:c r="D1189" s="47" t="n">
        <x:v>217.32</x:v>
      </x:c>
      <x:c r="E1189" s="47" t="n">
        <x:v>348.907</x:v>
      </x:c>
      <x:c r="F1189" s="47" t="n">
        <x:v>402.618</x:v>
      </x:c>
      <x:c r="G1189" s="47" t="n">
        <x:v>358.515</x:v>
      </x:c>
      <x:c r="H1189" s="50" t="n">
        <x:v>0.258088</x:v>
      </x:c>
      <x:c r="I1189" s="50" t="n">
        <x:v>0.586084</x:v>
      </x:c>
      <x:c r="J1189" s="50" t="n">
        <x:v>0.478146</x:v>
      </x:c>
      <x:c r="K1189" s="50" t="n">
        <x:v>0.602223</x:v>
      </x:c>
      <x:c r="L1189" s="47" t="n">
        <x:v>842.04</x:v>
      </x:c>
      <x:c r="M1189" s="47" t="n">
        <x:v>595.32</x:v>
      </x:c>
      <x:c r="N1189" s="28" t="str">
        <x:v>top-left</x:v>
      </x:c>
      <x:c r="O1189" s="28" t="str">
        <x:v>PDF points</x:v>
      </x:c>
    </x:row>
    <x:row r="1190" ht="22" customHeight="1">
      <x:c r="A1190" s="28" t="str">
        <x:v>ANC-CAM-034-CTX-01-R01</x:v>
      </x:c>
      <x:c r="B1190" s="28" t="str">
        <x:v>ANC-CAM-034-CTX-01</x:v>
      </x:c>
      <x:c r="C1190" s="28" t="n">
        <x:v>10</x:v>
      </x:c>
      <x:c r="D1190" s="47" t="n">
        <x:v>395.264</x:v>
      </x:c>
      <x:c r="E1190" s="47" t="n">
        <x:v>556.557</x:v>
      </x:c>
      <x:c r="F1190" s="47" t="n">
        <x:v>539.833</x:v>
      </x:c>
      <x:c r="G1190" s="47" t="n">
        <x:v>570.743</x:v>
      </x:c>
      <x:c r="H1190" s="50" t="n">
        <x:v>0.645856</x:v>
      </x:c>
      <x:c r="I1190" s="50" t="n">
        <x:v>0.702723</x:v>
      </x:c>
      <x:c r="J1190" s="50" t="n">
        <x:v>0.88208</x:v>
      </x:c>
      <x:c r="K1190" s="50" t="n">
        <x:v>0.720635</x:v>
      </x:c>
      <x:c r="L1190" s="47" t="n">
        <x:v>612</x:v>
      </x:c>
      <x:c r="M1190" s="47" t="n">
        <x:v>792</x:v>
      </x:c>
      <x:c r="N1190" s="28" t="str">
        <x:v>top-left</x:v>
      </x:c>
      <x:c r="O1190" s="28" t="str">
        <x:v>PDF points</x:v>
      </x:c>
    </x:row>
    <x:row r="1191" ht="22" customHeight="1">
      <x:c r="A1191" s="28" t="str">
        <x:v>ANC-CAM-034-CTX-01-R02</x:v>
      </x:c>
      <x:c r="B1191" s="28" t="str">
        <x:v>ANC-CAM-034-CTX-01</x:v>
      </x:c>
      <x:c r="C1191" s="28" t="n">
        <x:v>10</x:v>
      </x:c>
      <x:c r="D1191" s="47" t="n">
        <x:v>395.264</x:v>
      </x:c>
      <x:c r="E1191" s="47" t="n">
        <x:v>569.992</x:v>
      </x:c>
      <x:c r="F1191" s="47" t="n">
        <x:v>537.326</x:v>
      </x:c>
      <x:c r="G1191" s="47" t="n">
        <x:v>584.179</x:v>
      </x:c>
      <x:c r="H1191" s="50" t="n">
        <x:v>0.645856</x:v>
      </x:c>
      <x:c r="I1191" s="50" t="n">
        <x:v>0.719687</x:v>
      </x:c>
      <x:c r="J1191" s="50" t="n">
        <x:v>0.877983</x:v>
      </x:c>
      <x:c r="K1191" s="50" t="n">
        <x:v>0.737599</x:v>
      </x:c>
      <x:c r="L1191" s="47" t="n">
        <x:v>612</x:v>
      </x:c>
      <x:c r="M1191" s="47" t="n">
        <x:v>792</x:v>
      </x:c>
      <x:c r="N1191" s="28" t="str">
        <x:v>top-left</x:v>
      </x:c>
      <x:c r="O1191" s="28" t="str">
        <x:v>PDF points</x:v>
      </x:c>
    </x:row>
    <x:row r="1192" ht="22" customHeight="1">
      <x:c r="A1192" s="28" t="str">
        <x:v>ANC-CAM-034-CTX-01-R03</x:v>
      </x:c>
      <x:c r="B1192" s="28" t="str">
        <x:v>ANC-CAM-034-CTX-01</x:v>
      </x:c>
      <x:c r="C1192" s="28" t="n">
        <x:v>10</x:v>
      </x:c>
      <x:c r="D1192" s="47" t="n">
        <x:v>395.264</x:v>
      </x:c>
      <x:c r="E1192" s="47" t="n">
        <x:v>583.428</x:v>
      </x:c>
      <x:c r="F1192" s="47" t="n">
        <x:v>429.169</x:v>
      </x:c>
      <x:c r="G1192" s="47" t="n">
        <x:v>597.614</x:v>
      </x:c>
      <x:c r="H1192" s="50" t="n">
        <x:v>0.645856</x:v>
      </x:c>
      <x:c r="I1192" s="50" t="n">
        <x:v>0.736652</x:v>
      </x:c>
      <x:c r="J1192" s="50" t="n">
        <x:v>0.701257</x:v>
      </x:c>
      <x:c r="K1192" s="50" t="n">
        <x:v>0.754564</x:v>
      </x:c>
      <x:c r="L1192" s="47" t="n">
        <x:v>612</x:v>
      </x:c>
      <x:c r="M1192" s="47" t="n">
        <x:v>792</x:v>
      </x:c>
      <x:c r="N1192" s="28" t="str">
        <x:v>top-left</x:v>
      </x:c>
      <x:c r="O1192" s="28" t="str">
        <x:v>PDF points</x:v>
      </x:c>
    </x:row>
    <x:row r="1193" ht="22" customHeight="1">
      <x:c r="A1193" s="28" t="str">
        <x:v>ANC-CAM-079-CTX-01-R01</x:v>
      </x:c>
      <x:c r="B1193" s="28" t="str">
        <x:v>ANC-CAM-079-CTX-01</x:v>
      </x:c>
      <x:c r="C1193" s="28" t="n">
        <x:v>14</x:v>
      </x:c>
      <x:c r="D1193" s="47" t="n">
        <x:v>72</x:v>
      </x:c>
      <x:c r="E1193" s="47" t="n">
        <x:v>289.32</x:v>
      </x:c>
      <x:c r="F1193" s="47" t="n">
        <x:v>231.311</x:v>
      </x:c>
      <x:c r="G1193" s="47" t="n">
        <x:v>304.74</x:v>
      </x:c>
      <x:c r="H1193" s="50" t="n">
        <x:v>0.117647</x:v>
      </x:c>
      <x:c r="I1193" s="50" t="n">
        <x:v>0.365303</x:v>
      </x:c>
      <x:c r="J1193" s="50" t="n">
        <x:v>0.377959</x:v>
      </x:c>
      <x:c r="K1193" s="50" t="n">
        <x:v>0.384773</x:v>
      </x:c>
      <x:c r="L1193" s="47" t="n">
        <x:v>612</x:v>
      </x:c>
      <x:c r="M1193" s="47" t="n">
        <x:v>792</x:v>
      </x:c>
      <x:c r="N1193" s="28" t="str">
        <x:v>top-left</x:v>
      </x:c>
      <x:c r="O1193" s="28" t="str">
        <x:v>PDF points</x:v>
      </x:c>
    </x:row>
    <x:row r="1194" ht="22" customHeight="1">
      <x:c r="A1194" s="28" t="str">
        <x:v>ANC-CAM-079-CTX-02-R01</x:v>
      </x:c>
      <x:c r="B1194" s="28" t="str">
        <x:v>ANC-CAM-079-CTX-02</x:v>
      </x:c>
      <x:c r="C1194" s="28" t="n">
        <x:v>20</x:v>
      </x:c>
      <x:c r="D1194" s="47" t="n">
        <x:v>72</x:v>
      </x:c>
      <x:c r="E1194" s="47" t="n">
        <x:v>513.84</x:v>
      </x:c>
      <x:c r="F1194" s="47" t="n">
        <x:v>231.072</x:v>
      </x:c>
      <x:c r="G1194" s="47" t="n">
        <x:v>529.26</x:v>
      </x:c>
      <x:c r="H1194" s="50" t="n">
        <x:v>0.117647</x:v>
      </x:c>
      <x:c r="I1194" s="50" t="n">
        <x:v>0.648788</x:v>
      </x:c>
      <x:c r="J1194" s="50" t="n">
        <x:v>0.377569</x:v>
      </x:c>
      <x:c r="K1194" s="50" t="n">
        <x:v>0.668258</x:v>
      </x:c>
      <x:c r="L1194" s="47" t="n">
        <x:v>612</x:v>
      </x:c>
      <x:c r="M1194" s="47" t="n">
        <x:v>792</x:v>
      </x:c>
      <x:c r="N1194" s="28" t="str">
        <x:v>top-left</x:v>
      </x:c>
      <x:c r="O1194" s="28" t="str">
        <x:v>PDF points</x:v>
      </x:c>
    </x:row>
    <x:row r="1195" ht="22" customHeight="1">
      <x:c r="A1195" s="28" t="str">
        <x:v>ANC-CAM-013-ASP-R01</x:v>
      </x:c>
      <x:c r="B1195" s="28" t="str">
        <x:v>ANC-CAM-013-ASP</x:v>
      </x:c>
      <x:c r="C1195" s="28" t="n">
        <x:v>6</x:v>
      </x:c>
      <x:c r="D1195" s="47" t="n">
        <x:v>243</x:v>
      </x:c>
      <x:c r="E1195" s="47" t="n">
        <x:v>600.13</x:v>
      </x:c>
      <x:c r="F1195" s="47" t="n">
        <x:v>531.779</x:v>
      </x:c>
      <x:c r="G1195" s="47" t="n">
        <x:v>614.316</x:v>
      </x:c>
      <x:c r="H1195" s="50" t="n">
        <x:v>0.397059</x:v>
      </x:c>
      <x:c r="I1195" s="50" t="n">
        <x:v>0.757739</x:v>
      </x:c>
      <x:c r="J1195" s="50" t="n">
        <x:v>0.868919</x:v>
      </x:c>
      <x:c r="K1195" s="50" t="n">
        <x:v>0.775652</x:v>
      </x:c>
      <x:c r="L1195" s="47" t="n">
        <x:v>612</x:v>
      </x:c>
      <x:c r="M1195" s="47" t="n">
        <x:v>792</x:v>
      </x:c>
      <x:c r="N1195" s="28" t="str">
        <x:v>top-left</x:v>
      </x:c>
      <x:c r="O1195" s="28" t="str">
        <x:v>PDF points</x:v>
      </x:c>
    </x:row>
    <x:row r="1196" ht="22" customHeight="1">
      <x:c r="A1196" s="28" t="str">
        <x:v>ANC-CAM-013-MECH-01-R01</x:v>
      </x:c>
      <x:c r="B1196" s="28" t="str">
        <x:v>ANC-CAM-013-MECH-01</x:v>
      </x:c>
      <x:c r="C1196" s="28" t="n">
        <x:v>10</x:v>
      </x:c>
      <x:c r="D1196" s="47" t="n">
        <x:v>377.28</x:v>
      </x:c>
      <x:c r="E1196" s="47" t="n">
        <x:v>71.65</x:v>
      </x:c>
      <x:c r="F1196" s="47" t="n">
        <x:v>432.615</x:v>
      </x:c>
      <x:c r="G1196" s="47" t="n">
        <x:v>85.836</x:v>
      </x:c>
      <x:c r="H1196" s="50" t="n">
        <x:v>0.616471</x:v>
      </x:c>
      <x:c r="I1196" s="50" t="n">
        <x:v>0.090467</x:v>
      </x:c>
      <x:c r="J1196" s="50" t="n">
        <x:v>0.706887</x:v>
      </x:c>
      <x:c r="K1196" s="50" t="n">
        <x:v>0.108379</x:v>
      </x:c>
      <x:c r="L1196" s="47" t="n">
        <x:v>612</x:v>
      </x:c>
      <x:c r="M1196" s="47" t="n">
        <x:v>792</x:v>
      </x:c>
      <x:c r="N1196" s="28" t="str">
        <x:v>top-left</x:v>
      </x:c>
      <x:c r="O1196" s="28" t="str">
        <x:v>PDF points</x:v>
      </x:c>
    </x:row>
    <x:row r="1197" ht="22" customHeight="1">
      <x:c r="A1197" s="28" t="str">
        <x:v>ANC-CAM-013-MECH-01-R02</x:v>
      </x:c>
      <x:c r="B1197" s="28" t="str">
        <x:v>ANC-CAM-013-MECH-01</x:v>
      </x:c>
      <x:c r="C1197" s="28" t="n">
        <x:v>10</x:v>
      </x:c>
      <x:c r="D1197" s="47" t="n">
        <x:v>77.64</x:v>
      </x:c>
      <x:c r="E1197" s="47" t="n">
        <x:v>85.57</x:v>
      </x:c>
      <x:c r="F1197" s="47" t="n">
        <x:v>176.913</x:v>
      </x:c>
      <x:c r="G1197" s="47" t="n">
        <x:v>99.756</x:v>
      </x:c>
      <x:c r="H1197" s="50" t="n">
        <x:v>0.126863</x:v>
      </x:c>
      <x:c r="I1197" s="50" t="n">
        <x:v>0.108042</x:v>
      </x:c>
      <x:c r="J1197" s="50" t="n">
        <x:v>0.289074</x:v>
      </x:c>
      <x:c r="K1197" s="50" t="n">
        <x:v>0.125955</x:v>
      </x:c>
      <x:c r="L1197" s="47" t="n">
        <x:v>612</x:v>
      </x:c>
      <x:c r="M1197" s="47" t="n">
        <x:v>792</x:v>
      </x:c>
      <x:c r="N1197" s="28" t="str">
        <x:v>top-left</x:v>
      </x:c>
      <x:c r="O1197" s="28" t="str">
        <x:v>PDF points</x:v>
      </x:c>
    </x:row>
    <x:row r="1198" ht="22" customHeight="1">
      <x:c r="A1198" s="28" t="str">
        <x:v>ANC-CAM-013-MECH-01-R03</x:v>
      </x:c>
      <x:c r="B1198" s="28" t="str">
        <x:v>ANC-CAM-013-MECH-01</x:v>
      </x:c>
      <x:c r="C1198" s="28" t="n">
        <x:v>10</x:v>
      </x:c>
      <x:c r="D1198" s="47" t="n">
        <x:v>77.64</x:v>
      </x:c>
      <x:c r="E1198" s="47" t="n">
        <x:v>99.01</x:v>
      </x:c>
      <x:c r="F1198" s="47" t="n">
        <x:v>146.102</x:v>
      </x:c>
      <x:c r="G1198" s="47" t="n">
        <x:v>113.196</x:v>
      </x:c>
      <x:c r="H1198" s="50" t="n">
        <x:v>0.126863</x:v>
      </x:c>
      <x:c r="I1198" s="50" t="n">
        <x:v>0.125012</x:v>
      </x:c>
      <x:c r="J1198" s="50" t="n">
        <x:v>0.238729</x:v>
      </x:c>
      <x:c r="K1198" s="50" t="n">
        <x:v>0.142924</x:v>
      </x:c>
      <x:c r="L1198" s="47" t="n">
        <x:v>612</x:v>
      </x:c>
      <x:c r="M1198" s="47" t="n">
        <x:v>792</x:v>
      </x:c>
      <x:c r="N1198" s="28" t="str">
        <x:v>top-left</x:v>
      </x:c>
      <x:c r="O1198" s="28" t="str">
        <x:v>PDF points</x:v>
      </x:c>
    </x:row>
    <x:row r="1199" ht="22" customHeight="1">
      <x:c r="A1199" s="28" t="str">
        <x:v>ANC-CAM-013-MECH-01-R04</x:v>
      </x:c>
      <x:c r="B1199" s="28" t="str">
        <x:v>ANC-CAM-013-MECH-01</x:v>
      </x:c>
      <x:c r="C1199" s="28" t="n">
        <x:v>10</x:v>
      </x:c>
      <x:c r="D1199" s="47" t="n">
        <x:v>77.64</x:v>
      </x:c>
      <x:c r="E1199" s="47" t="n">
        <x:v>112.445</x:v>
      </x:c>
      <x:c r="F1199" s="47" t="n">
        <x:v>170.607</x:v>
      </x:c>
      <x:c r="G1199" s="47" t="n">
        <x:v>126.632</x:v>
      </x:c>
      <x:c r="H1199" s="50" t="n">
        <x:v>0.126863</x:v>
      </x:c>
      <x:c r="I1199" s="50" t="n">
        <x:v>0.141976</x:v>
      </x:c>
      <x:c r="J1199" s="50" t="n">
        <x:v>0.278769</x:v>
      </x:c>
      <x:c r="K1199" s="50" t="n">
        <x:v>0.159888</x:v>
      </x:c>
      <x:c r="L1199" s="47" t="n">
        <x:v>612</x:v>
      </x:c>
      <x:c r="M1199" s="47" t="n">
        <x:v>792</x:v>
      </x:c>
      <x:c r="N1199" s="28" t="str">
        <x:v>top-left</x:v>
      </x:c>
      <x:c r="O1199" s="28" t="str">
        <x:v>PDF points</x:v>
      </x:c>
    </x:row>
    <x:row r="1200" ht="22" customHeight="1">
      <x:c r="A1200" s="28" t="str">
        <x:v>ANC-CAM-013-MECH-01-R05</x:v>
      </x:c>
      <x:c r="B1200" s="28" t="str">
        <x:v>ANC-CAM-013-MECH-01</x:v>
      </x:c>
      <x:c r="C1200" s="28" t="n">
        <x:v>10</x:v>
      </x:c>
      <x:c r="D1200" s="47" t="n">
        <x:v>77.64</x:v>
      </x:c>
      <x:c r="E1200" s="47" t="n">
        <x:v>125.881</x:v>
      </x:c>
      <x:c r="F1200" s="47" t="n">
        <x:v>179.229</x:v>
      </x:c>
      <x:c r="G1200" s="47" t="n">
        <x:v>140.067</x:v>
      </x:c>
      <x:c r="H1200" s="50" t="n">
        <x:v>0.126863</x:v>
      </x:c>
      <x:c r="I1200" s="50" t="n">
        <x:v>0.158941</x:v>
      </x:c>
      <x:c r="J1200" s="50" t="n">
        <x:v>0.292858</x:v>
      </x:c>
      <x:c r="K1200" s="50" t="n">
        <x:v>0.176853</x:v>
      </x:c>
      <x:c r="L1200" s="47" t="n">
        <x:v>612</x:v>
      </x:c>
      <x:c r="M1200" s="47" t="n">
        <x:v>792</x:v>
      </x:c>
      <x:c r="N1200" s="28" t="str">
        <x:v>top-left</x:v>
      </x:c>
      <x:c r="O1200" s="28" t="str">
        <x:v>PDF points</x:v>
      </x:c>
    </x:row>
    <x:row r="1201" ht="22" customHeight="1">
      <x:c r="A1201" s="28" t="str">
        <x:v>ANC-CAM-013-MECH-01-R06</x:v>
      </x:c>
      <x:c r="B1201" s="28" t="str">
        <x:v>ANC-CAM-013-MECH-01</x:v>
      </x:c>
      <x:c r="C1201" s="28" t="n">
        <x:v>10</x:v>
      </x:c>
      <x:c r="D1201" s="47" t="n">
        <x:v>209.16</x:v>
      </x:c>
      <x:c r="E1201" s="47" t="n">
        <x:v>85.57</x:v>
      </x:c>
      <x:c r="F1201" s="47" t="n">
        <x:v>212.914</x:v>
      </x:c>
      <x:c r="G1201" s="47" t="n">
        <x:v>99.756</x:v>
      </x:c>
      <x:c r="H1201" s="50" t="n">
        <x:v>0.341765</x:v>
      </x:c>
      <x:c r="I1201" s="50" t="n">
        <x:v>0.108042</x:v>
      </x:c>
      <x:c r="J1201" s="50" t="n">
        <x:v>0.347898</x:v>
      </x:c>
      <x:c r="K1201" s="50" t="n">
        <x:v>0.125955</x:v>
      </x:c>
      <x:c r="L1201" s="47" t="n">
        <x:v>612</x:v>
      </x:c>
      <x:c r="M1201" s="47" t="n">
        <x:v>792</x:v>
      </x:c>
      <x:c r="N1201" s="28" t="str">
        <x:v>top-left</x:v>
      </x:c>
      <x:c r="O1201" s="28" t="str">
        <x:v>PDF points</x:v>
      </x:c>
    </x:row>
    <x:row r="1202" ht="22" customHeight="1">
      <x:c r="A1202" s="28" t="str">
        <x:v>ANC-CAM-013-MECH-01-R07</x:v>
      </x:c>
      <x:c r="B1202" s="28" t="str">
        <x:v>ANC-CAM-013-MECH-01</x:v>
      </x:c>
      <x:c r="C1202" s="28" t="n">
        <x:v>10</x:v>
      </x:c>
      <x:c r="D1202" s="47" t="n">
        <x:v>227.16</x:v>
      </x:c>
      <x:c r="E1202" s="47" t="n">
        <x:v>85.57</x:v>
      </x:c>
      <x:c r="F1202" s="47" t="n">
        <x:v>333.774</x:v>
      </x:c>
      <x:c r="G1202" s="47" t="n">
        <x:v>99.756</x:v>
      </x:c>
      <x:c r="H1202" s="50" t="n">
        <x:v>0.371176</x:v>
      </x:c>
      <x:c r="I1202" s="50" t="n">
        <x:v>0.108042</x:v>
      </x:c>
      <x:c r="J1202" s="50" t="n">
        <x:v>0.545383</x:v>
      </x:c>
      <x:c r="K1202" s="50" t="n">
        <x:v>0.125955</x:v>
      </x:c>
      <x:c r="L1202" s="47" t="n">
        <x:v>612</x:v>
      </x:c>
      <x:c r="M1202" s="47" t="n">
        <x:v>792</x:v>
      </x:c>
      <x:c r="N1202" s="28" t="str">
        <x:v>top-left</x:v>
      </x:c>
      <x:c r="O1202" s="28" t="str">
        <x:v>PDF points</x:v>
      </x:c>
    </x:row>
    <x:row r="1203" ht="22" customHeight="1">
      <x:c r="A1203" s="28" t="str">
        <x:v>ANC-CAM-013-MECH-01-R08</x:v>
      </x:c>
      <x:c r="B1203" s="28" t="str">
        <x:v>ANC-CAM-013-MECH-01</x:v>
      </x:c>
      <x:c r="C1203" s="28" t="n">
        <x:v>10</x:v>
      </x:c>
      <x:c r="D1203" s="47" t="n">
        <x:v>227.16</x:v>
      </x:c>
      <x:c r="E1203" s="47" t="n">
        <x:v>99.01</x:v>
      </x:c>
      <x:c r="F1203" s="47" t="n">
        <x:v>304.285</x:v>
      </x:c>
      <x:c r="G1203" s="47" t="n">
        <x:v>113.196</x:v>
      </x:c>
      <x:c r="H1203" s="50" t="n">
        <x:v>0.371176</x:v>
      </x:c>
      <x:c r="I1203" s="50" t="n">
        <x:v>0.125012</x:v>
      </x:c>
      <x:c r="J1203" s="50" t="n">
        <x:v>0.497198</x:v>
      </x:c>
      <x:c r="K1203" s="50" t="n">
        <x:v>0.142924</x:v>
      </x:c>
      <x:c r="L1203" s="47" t="n">
        <x:v>612</x:v>
      </x:c>
      <x:c r="M1203" s="47" t="n">
        <x:v>792</x:v>
      </x:c>
      <x:c r="N1203" s="28" t="str">
        <x:v>top-left</x:v>
      </x:c>
      <x:c r="O1203" s="28" t="str">
        <x:v>PDF points</x:v>
      </x:c>
    </x:row>
    <x:row r="1204" ht="22" customHeight="1">
      <x:c r="A1204" s="28" t="str">
        <x:v>ANC-CAM-013-MECH-01-R09</x:v>
      </x:c>
      <x:c r="B1204" s="28" t="str">
        <x:v>ANC-CAM-013-MECH-01</x:v>
      </x:c>
      <x:c r="C1204" s="28" t="n">
        <x:v>10</x:v>
      </x:c>
      <x:c r="D1204" s="47" t="n">
        <x:v>209.16</x:v>
      </x:c>
      <x:c r="E1204" s="47" t="n">
        <x:v>112.45</x:v>
      </x:c>
      <x:c r="F1204" s="47" t="n">
        <x:v>212.914</x:v>
      </x:c>
      <x:c r="G1204" s="47" t="n">
        <x:v>126.636</x:v>
      </x:c>
      <x:c r="H1204" s="50" t="n">
        <x:v>0.341765</x:v>
      </x:c>
      <x:c r="I1204" s="50" t="n">
        <x:v>0.141982</x:v>
      </x:c>
      <x:c r="J1204" s="50" t="n">
        <x:v>0.347898</x:v>
      </x:c>
      <x:c r="K1204" s="50" t="n">
        <x:v>0.159894</x:v>
      </x:c>
      <x:c r="L1204" s="47" t="n">
        <x:v>612</x:v>
      </x:c>
      <x:c r="M1204" s="47" t="n">
        <x:v>792</x:v>
      </x:c>
      <x:c r="N1204" s="28" t="str">
        <x:v>top-left</x:v>
      </x:c>
      <x:c r="O1204" s="28" t="str">
        <x:v>PDF points</x:v>
      </x:c>
    </x:row>
    <x:row r="1205" ht="22" customHeight="1">
      <x:c r="A1205" s="28" t="str">
        <x:v>ANC-CAM-013-MECH-01-R10</x:v>
      </x:c>
      <x:c r="B1205" s="28" t="str">
        <x:v>ANC-CAM-013-MECH-01</x:v>
      </x:c>
      <x:c r="C1205" s="28" t="n">
        <x:v>10</x:v>
      </x:c>
      <x:c r="D1205" s="47" t="n">
        <x:v>227.155</x:v>
      </x:c>
      <x:c r="E1205" s="47" t="n">
        <x:v>112.45</x:v>
      </x:c>
      <x:c r="F1205" s="47" t="n">
        <x:v>350.929</x:v>
      </x:c>
      <x:c r="G1205" s="47" t="n">
        <x:v>126.636</x:v>
      </x:c>
      <x:c r="H1205" s="50" t="n">
        <x:v>0.371169</x:v>
      </x:c>
      <x:c r="I1205" s="50" t="n">
        <x:v>0.141982</x:v>
      </x:c>
      <x:c r="J1205" s="50" t="n">
        <x:v>0.573413</x:v>
      </x:c>
      <x:c r="K1205" s="50" t="n">
        <x:v>0.159894</x:v>
      </x:c>
      <x:c r="L1205" s="47" t="n">
        <x:v>612</x:v>
      </x:c>
      <x:c r="M1205" s="47" t="n">
        <x:v>792</x:v>
      </x:c>
      <x:c r="N1205" s="28" t="str">
        <x:v>top-left</x:v>
      </x:c>
      <x:c r="O1205" s="28" t="str">
        <x:v>PDF points</x:v>
      </x:c>
    </x:row>
    <x:row r="1206" ht="22" customHeight="1">
      <x:c r="A1206" s="28" t="str">
        <x:v>ANC-CAM-013-MECH-01-R11</x:v>
      </x:c>
      <x:c r="B1206" s="28" t="str">
        <x:v>ANC-CAM-013-MECH-01</x:v>
      </x:c>
      <x:c r="C1206" s="28" t="n">
        <x:v>10</x:v>
      </x:c>
      <x:c r="D1206" s="47" t="n">
        <x:v>227.155</x:v>
      </x:c>
      <x:c r="E1206" s="47" t="n">
        <x:v>125.885</x:v>
      </x:c>
      <x:c r="F1206" s="47" t="n">
        <x:v>278.226</x:v>
      </x:c>
      <x:c r="G1206" s="47" t="n">
        <x:v>140.072</x:v>
      </x:c>
      <x:c r="H1206" s="50" t="n">
        <x:v>0.371169</x:v>
      </x:c>
      <x:c r="I1206" s="50" t="n">
        <x:v>0.158946</x:v>
      </x:c>
      <x:c r="J1206" s="50" t="n">
        <x:v>0.454618</x:v>
      </x:c>
      <x:c r="K1206" s="50" t="n">
        <x:v>0.176858</x:v>
      </x:c>
      <x:c r="L1206" s="47" t="n">
        <x:v>612</x:v>
      </x:c>
      <x:c r="M1206" s="47" t="n">
        <x:v>792</x:v>
      </x:c>
      <x:c r="N1206" s="28" t="str">
        <x:v>top-left</x:v>
      </x:c>
      <x:c r="O1206" s="28" t="str">
        <x:v>PDF points</x:v>
      </x:c>
    </x:row>
    <x:row r="1207" ht="22" customHeight="1">
      <x:c r="A1207" s="28" t="str">
        <x:v>ANC-CAM-013-MECH-01-R12</x:v>
      </x:c>
      <x:c r="B1207" s="28" t="str">
        <x:v>ANC-CAM-013-MECH-01</x:v>
      </x:c>
      <x:c r="C1207" s="28" t="n">
        <x:v>10</x:v>
      </x:c>
      <x:c r="D1207" s="47" t="n">
        <x:v>209.16</x:v>
      </x:c>
      <x:c r="E1207" s="47" t="n">
        <x:v>139.321</x:v>
      </x:c>
      <x:c r="F1207" s="47" t="n">
        <x:v>212.914</x:v>
      </x:c>
      <x:c r="G1207" s="47" t="n">
        <x:v>153.507</x:v>
      </x:c>
      <x:c r="H1207" s="50" t="n">
        <x:v>0.341765</x:v>
      </x:c>
      <x:c r="I1207" s="50" t="n">
        <x:v>0.17591</x:v>
      </x:c>
      <x:c r="J1207" s="50" t="n">
        <x:v>0.347898</x:v>
      </x:c>
      <x:c r="K1207" s="50" t="n">
        <x:v>0.193822</x:v>
      </x:c>
      <x:c r="L1207" s="47" t="n">
        <x:v>612</x:v>
      </x:c>
      <x:c r="M1207" s="47" t="n">
        <x:v>792</x:v>
      </x:c>
      <x:c r="N1207" s="28" t="str">
        <x:v>top-left</x:v>
      </x:c>
      <x:c r="O1207" s="28" t="str">
        <x:v>PDF points</x:v>
      </x:c>
    </x:row>
    <x:row r="1208" ht="22" customHeight="1">
      <x:c r="A1208" s="28" t="str">
        <x:v>ANC-CAM-013-MECH-01-R13</x:v>
      </x:c>
      <x:c r="B1208" s="28" t="str">
        <x:v>ANC-CAM-013-MECH-01</x:v>
      </x:c>
      <x:c r="C1208" s="28" t="n">
        <x:v>10</x:v>
      </x:c>
      <x:c r="D1208" s="47" t="n">
        <x:v>227.155</x:v>
      </x:c>
      <x:c r="E1208" s="47" t="n">
        <x:v>139.321</x:v>
      </x:c>
      <x:c r="F1208" s="47" t="n">
        <x:v>349.021</x:v>
      </x:c>
      <x:c r="G1208" s="47" t="n">
        <x:v>153.507</x:v>
      </x:c>
      <x:c r="H1208" s="50" t="n">
        <x:v>0.371169</x:v>
      </x:c>
      <x:c r="I1208" s="50" t="n">
        <x:v>0.17591</x:v>
      </x:c>
      <x:c r="J1208" s="50" t="n">
        <x:v>0.570296</x:v>
      </x:c>
      <x:c r="K1208" s="50" t="n">
        <x:v>0.193822</x:v>
      </x:c>
      <x:c r="L1208" s="47" t="n">
        <x:v>612</x:v>
      </x:c>
      <x:c r="M1208" s="47" t="n">
        <x:v>792</x:v>
      </x:c>
      <x:c r="N1208" s="28" t="str">
        <x:v>top-left</x:v>
      </x:c>
      <x:c r="O1208" s="28" t="str">
        <x:v>PDF points</x:v>
      </x:c>
    </x:row>
    <x:row r="1209" ht="22" customHeight="1">
      <x:c r="A1209" s="28" t="str">
        <x:v>ANC-CAM-013-MECH-01-R14</x:v>
      </x:c>
      <x:c r="B1209" s="28" t="str">
        <x:v>ANC-CAM-013-MECH-01</x:v>
      </x:c>
      <x:c r="C1209" s="28" t="n">
        <x:v>10</x:v>
      </x:c>
      <x:c r="D1209" s="47" t="n">
        <x:v>227.155</x:v>
      </x:c>
      <x:c r="E1209" s="47" t="n">
        <x:v>152.757</x:v>
      </x:c>
      <x:c r="F1209" s="47" t="n">
        <x:v>361.035</x:v>
      </x:c>
      <x:c r="G1209" s="47" t="n">
        <x:v>166.943</x:v>
      </x:c>
      <x:c r="H1209" s="50" t="n">
        <x:v>0.371169</x:v>
      </x:c>
      <x:c r="I1209" s="50" t="n">
        <x:v>0.192874</x:v>
      </x:c>
      <x:c r="J1209" s="50" t="n">
        <x:v>0.589926</x:v>
      </x:c>
      <x:c r="K1209" s="50" t="n">
        <x:v>0.210787</x:v>
      </x:c>
      <x:c r="L1209" s="47" t="n">
        <x:v>612</x:v>
      </x:c>
      <x:c r="M1209" s="47" t="n">
        <x:v>792</x:v>
      </x:c>
      <x:c r="N1209" s="28" t="str">
        <x:v>top-left</x:v>
      </x:c>
      <x:c r="O1209" s="28" t="str">
        <x:v>PDF points</x:v>
      </x:c>
    </x:row>
    <x:row r="1210" ht="22" customHeight="1">
      <x:c r="A1210" s="28" t="str">
        <x:v>ANC-CAM-013-MECH-01-R15</x:v>
      </x:c>
      <x:c r="B1210" s="28" t="str">
        <x:v>ANC-CAM-013-MECH-01</x:v>
      </x:c>
      <x:c r="C1210" s="28" t="n">
        <x:v>10</x:v>
      </x:c>
      <x:c r="D1210" s="47" t="n">
        <x:v>227.155</x:v>
      </x:c>
      <x:c r="E1210" s="47" t="n">
        <x:v>166.192</x:v>
      </x:c>
      <x:c r="F1210" s="47" t="n">
        <x:v>322.143</x:v>
      </x:c>
      <x:c r="G1210" s="47" t="n">
        <x:v>180.379</x:v>
      </x:c>
      <x:c r="H1210" s="50" t="n">
        <x:v>0.371169</x:v>
      </x:c>
      <x:c r="I1210" s="50" t="n">
        <x:v>0.209839</x:v>
      </x:c>
      <x:c r="J1210" s="50" t="n">
        <x:v>0.526378</x:v>
      </x:c>
      <x:c r="K1210" s="50" t="n">
        <x:v>0.227751</x:v>
      </x:c>
      <x:c r="L1210" s="47" t="n">
        <x:v>612</x:v>
      </x:c>
      <x:c r="M1210" s="47" t="n">
        <x:v>792</x:v>
      </x:c>
      <x:c r="N1210" s="28" t="str">
        <x:v>top-left</x:v>
      </x:c>
      <x:c r="O1210" s="28" t="str">
        <x:v>PDF points</x:v>
      </x:c>
    </x:row>
    <x:row r="1211" ht="22" customHeight="1">
      <x:c r="A1211" s="28" t="str">
        <x:v>ANC-CAM-013-MECH-01-R16</x:v>
      </x:c>
      <x:c r="B1211" s="28" t="str">
        <x:v>ANC-CAM-013-MECH-01</x:v>
      </x:c>
      <x:c r="C1211" s="28" t="n">
        <x:v>10</x:v>
      </x:c>
      <x:c r="D1211" s="47" t="n">
        <x:v>209.16</x:v>
      </x:c>
      <x:c r="E1211" s="47" t="n">
        <x:v>179.518</x:v>
      </x:c>
      <x:c r="F1211" s="47" t="n">
        <x:v>212.914</x:v>
      </x:c>
      <x:c r="G1211" s="47" t="n">
        <x:v>193.704</x:v>
      </x:c>
      <x:c r="H1211" s="50" t="n">
        <x:v>0.341765</x:v>
      </x:c>
      <x:c r="I1211" s="50" t="n">
        <x:v>0.226664</x:v>
      </x:c>
      <x:c r="J1211" s="50" t="n">
        <x:v>0.347898</x:v>
      </x:c>
      <x:c r="K1211" s="50" t="n">
        <x:v>0.244576</x:v>
      </x:c>
      <x:c r="L1211" s="47" t="n">
        <x:v>612</x:v>
      </x:c>
      <x:c r="M1211" s="47" t="n">
        <x:v>792</x:v>
      </x:c>
      <x:c r="N1211" s="28" t="str">
        <x:v>top-left</x:v>
      </x:c>
      <x:c r="O1211" s="28" t="str">
        <x:v>PDF points</x:v>
      </x:c>
    </x:row>
    <x:row r="1212" ht="22" customHeight="1">
      <x:c r="A1212" s="28" t="str">
        <x:v>ANC-CAM-013-MECH-01-R17</x:v>
      </x:c>
      <x:c r="B1212" s="28" t="str">
        <x:v>ANC-CAM-013-MECH-01</x:v>
      </x:c>
      <x:c r="C1212" s="28" t="n">
        <x:v>10</x:v>
      </x:c>
      <x:c r="D1212" s="47" t="n">
        <x:v>227.155</x:v>
      </x:c>
      <x:c r="E1212" s="47" t="n">
        <x:v>179.518</x:v>
      </x:c>
      <x:c r="F1212" s="47" t="n">
        <x:v>330.396</x:v>
      </x:c>
      <x:c r="G1212" s="47" t="n">
        <x:v>193.704</x:v>
      </x:c>
      <x:c r="H1212" s="50" t="n">
        <x:v>0.371169</x:v>
      </x:c>
      <x:c r="I1212" s="50" t="n">
        <x:v>0.226664</x:v>
      </x:c>
      <x:c r="J1212" s="50" t="n">
        <x:v>0.539862</x:v>
      </x:c>
      <x:c r="K1212" s="50" t="n">
        <x:v>0.244576</x:v>
      </x:c>
      <x:c r="L1212" s="47" t="n">
        <x:v>612</x:v>
      </x:c>
      <x:c r="M1212" s="47" t="n">
        <x:v>792</x:v>
      </x:c>
      <x:c r="N1212" s="28" t="str">
        <x:v>top-left</x:v>
      </x:c>
      <x:c r="O1212" s="28" t="str">
        <x:v>PDF points</x:v>
      </x:c>
    </x:row>
    <x:row r="1213" ht="22" customHeight="1">
      <x:c r="A1213" s="28" t="str">
        <x:v>ANC-CAM-013-MECH-01-R18</x:v>
      </x:c>
      <x:c r="B1213" s="28" t="str">
        <x:v>ANC-CAM-013-MECH-01</x:v>
      </x:c>
      <x:c r="C1213" s="28" t="n">
        <x:v>10</x:v>
      </x:c>
      <x:c r="D1213" s="47" t="n">
        <x:v>227.155</x:v>
      </x:c>
      <x:c r="E1213" s="47" t="n">
        <x:v>192.953</x:v>
      </x:c>
      <x:c r="F1213" s="47" t="n">
        <x:v>343.068</x:v>
      </x:c>
      <x:c r="G1213" s="47" t="n">
        <x:v>207.14</x:v>
      </x:c>
      <x:c r="H1213" s="50" t="n">
        <x:v>0.371169</x:v>
      </x:c>
      <x:c r="I1213" s="50" t="n">
        <x:v>0.243628</x:v>
      </x:c>
      <x:c r="J1213" s="50" t="n">
        <x:v>0.560568</x:v>
      </x:c>
      <x:c r="K1213" s="50" t="n">
        <x:v>0.26154</x:v>
      </x:c>
      <x:c r="L1213" s="47" t="n">
        <x:v>612</x:v>
      </x:c>
      <x:c r="M1213" s="47" t="n">
        <x:v>792</x:v>
      </x:c>
      <x:c r="N1213" s="28" t="str">
        <x:v>top-left</x:v>
      </x:c>
      <x:c r="O1213" s="28" t="str">
        <x:v>PDF points</x:v>
      </x:c>
    </x:row>
    <x:row r="1214" ht="22" customHeight="1">
      <x:c r="A1214" s="28" t="str">
        <x:v>ANC-CAM-013-MECH-01-R19</x:v>
      </x:c>
      <x:c r="B1214" s="28" t="str">
        <x:v>ANC-CAM-013-MECH-01</x:v>
      </x:c>
      <x:c r="C1214" s="28" t="n">
        <x:v>10</x:v>
      </x:c>
      <x:c r="D1214" s="47" t="n">
        <x:v>227.155</x:v>
      </x:c>
      <x:c r="E1214" s="47" t="n">
        <x:v>206.389</x:v>
      </x:c>
      <x:c r="F1214" s="47" t="n">
        <x:v>264.065</x:v>
      </x:c>
      <x:c r="G1214" s="47" t="n">
        <x:v>220.575</x:v>
      </x:c>
      <x:c r="H1214" s="50" t="n">
        <x:v>0.371169</x:v>
      </x:c>
      <x:c r="I1214" s="50" t="n">
        <x:v>0.260592</x:v>
      </x:c>
      <x:c r="J1214" s="50" t="n">
        <x:v>0.431479</x:v>
      </x:c>
      <x:c r="K1214" s="50" t="n">
        <x:v>0.278504</x:v>
      </x:c>
      <x:c r="L1214" s="47" t="n">
        <x:v>612</x:v>
      </x:c>
      <x:c r="M1214" s="47" t="n">
        <x:v>792</x:v>
      </x:c>
      <x:c r="N1214" s="28" t="str">
        <x:v>top-left</x:v>
      </x:c>
      <x:c r="O1214" s="28" t="str">
        <x:v>PDF points</x:v>
      </x:c>
    </x:row>
    <x:row r="1215" ht="22" customHeight="1">
      <x:c r="A1215" s="28" t="str">
        <x:v>ANC-CAM-013-MECH-01-R20</x:v>
      </x:c>
      <x:c r="B1215" s="28" t="str">
        <x:v>ANC-CAM-013-MECH-01</x:v>
      </x:c>
      <x:c r="C1215" s="28" t="n">
        <x:v>10</x:v>
      </x:c>
      <x:c r="D1215" s="47" t="n">
        <x:v>209.16</x:v>
      </x:c>
      <x:c r="E1215" s="47" t="n">
        <x:v>219.825</x:v>
      </x:c>
      <x:c r="F1215" s="47" t="n">
        <x:v>212.914</x:v>
      </x:c>
      <x:c r="G1215" s="47" t="n">
        <x:v>234.011</x:v>
      </x:c>
      <x:c r="H1215" s="50" t="n">
        <x:v>0.341765</x:v>
      </x:c>
      <x:c r="I1215" s="50" t="n">
        <x:v>0.277556</x:v>
      </x:c>
      <x:c r="J1215" s="50" t="n">
        <x:v>0.347898</x:v>
      </x:c>
      <x:c r="K1215" s="50" t="n">
        <x:v>0.295468</x:v>
      </x:c>
      <x:c r="L1215" s="47" t="n">
        <x:v>612</x:v>
      </x:c>
      <x:c r="M1215" s="47" t="n">
        <x:v>792</x:v>
      </x:c>
      <x:c r="N1215" s="28" t="str">
        <x:v>top-left</x:v>
      </x:c>
      <x:c r="O1215" s="28" t="str">
        <x:v>PDF points</x:v>
      </x:c>
    </x:row>
    <x:row r="1216" ht="22" customHeight="1">
      <x:c r="A1216" s="28" t="str">
        <x:v>ANC-CAM-013-MECH-01-R21</x:v>
      </x:c>
      <x:c r="B1216" s="28" t="str">
        <x:v>ANC-CAM-013-MECH-01</x:v>
      </x:c>
      <x:c r="C1216" s="28" t="n">
        <x:v>10</x:v>
      </x:c>
      <x:c r="D1216" s="47" t="n">
        <x:v>227.155</x:v>
      </x:c>
      <x:c r="E1216" s="47" t="n">
        <x:v>219.825</x:v>
      </x:c>
      <x:c r="F1216" s="47" t="n">
        <x:v>356.975</x:v>
      </x:c>
      <x:c r="G1216" s="47" t="n">
        <x:v>234.011</x:v>
      </x:c>
      <x:c r="H1216" s="50" t="n">
        <x:v>0.371169</x:v>
      </x:c>
      <x:c r="I1216" s="50" t="n">
        <x:v>0.277556</x:v>
      </x:c>
      <x:c r="J1216" s="50" t="n">
        <x:v>0.583292</x:v>
      </x:c>
      <x:c r="K1216" s="50" t="n">
        <x:v>0.295468</x:v>
      </x:c>
      <x:c r="L1216" s="47" t="n">
        <x:v>612</x:v>
      </x:c>
      <x:c r="M1216" s="47" t="n">
        <x:v>792</x:v>
      </x:c>
      <x:c r="N1216" s="28" t="str">
        <x:v>top-left</x:v>
      </x:c>
      <x:c r="O1216" s="28" t="str">
        <x:v>PDF points</x:v>
      </x:c>
    </x:row>
    <x:row r="1217" ht="22" customHeight="1">
      <x:c r="A1217" s="28" t="str">
        <x:v>ANC-CAM-013-MECH-01-R22</x:v>
      </x:c>
      <x:c r="B1217" s="28" t="str">
        <x:v>ANC-CAM-013-MECH-01</x:v>
      </x:c>
      <x:c r="C1217" s="28" t="n">
        <x:v>10</x:v>
      </x:c>
      <x:c r="D1217" s="47" t="n">
        <x:v>227.155</x:v>
      </x:c>
      <x:c r="E1217" s="47" t="n">
        <x:v>233.26</x:v>
      </x:c>
      <x:c r="F1217" s="47" t="n">
        <x:v>357.315</x:v>
      </x:c>
      <x:c r="G1217" s="47" t="n">
        <x:v>247.447</x:v>
      </x:c>
      <x:c r="H1217" s="50" t="n">
        <x:v>0.371169</x:v>
      </x:c>
      <x:c r="I1217" s="50" t="n">
        <x:v>0.29452</x:v>
      </x:c>
      <x:c r="J1217" s="50" t="n">
        <x:v>0.583847</x:v>
      </x:c>
      <x:c r="K1217" s="50" t="n">
        <x:v>0.312433</x:v>
      </x:c>
      <x:c r="L1217" s="47" t="n">
        <x:v>612</x:v>
      </x:c>
      <x:c r="M1217" s="47" t="n">
        <x:v>792</x:v>
      </x:c>
      <x:c r="N1217" s="28" t="str">
        <x:v>top-left</x:v>
      </x:c>
      <x:c r="O1217" s="28" t="str">
        <x:v>PDF points</x:v>
      </x:c>
    </x:row>
    <x:row r="1218" ht="22" customHeight="1">
      <x:c r="A1218" s="28" t="str">
        <x:v>ANC-CAM-013-MECH-01-R23</x:v>
      </x:c>
      <x:c r="B1218" s="28" t="str">
        <x:v>ANC-CAM-013-MECH-01</x:v>
      </x:c>
      <x:c r="C1218" s="28" t="n">
        <x:v>10</x:v>
      </x:c>
      <x:c r="D1218" s="47" t="n">
        <x:v>227.155</x:v>
      </x:c>
      <x:c r="E1218" s="47" t="n">
        <x:v>246.696</x:v>
      </x:c>
      <x:c r="F1218" s="47" t="n">
        <x:v>264.785</x:v>
      </x:c>
      <x:c r="G1218" s="47" t="n">
        <x:v>260.882</x:v>
      </x:c>
      <x:c r="H1218" s="50" t="n">
        <x:v>0.371169</x:v>
      </x:c>
      <x:c r="I1218" s="50" t="n">
        <x:v>0.311485</x:v>
      </x:c>
      <x:c r="J1218" s="50" t="n">
        <x:v>0.432655</x:v>
      </x:c>
      <x:c r="K1218" s="50" t="n">
        <x:v>0.329397</x:v>
      </x:c>
      <x:c r="L1218" s="47" t="n">
        <x:v>612</x:v>
      </x:c>
      <x:c r="M1218" s="47" t="n">
        <x:v>792</x:v>
      </x:c>
      <x:c r="N1218" s="28" t="str">
        <x:v>top-left</x:v>
      </x:c>
      <x:c r="O1218" s="28" t="str">
        <x:v>PDF points</x:v>
      </x:c>
    </x:row>
    <x:row r="1219" ht="22" customHeight="1">
      <x:c r="A1219" s="28" t="str">
        <x:v>ANC-CAM-013-MECH-01-R24</x:v>
      </x:c>
      <x:c r="B1219" s="28" t="str">
        <x:v>ANC-CAM-013-MECH-01</x:v>
      </x:c>
      <x:c r="C1219" s="28" t="n">
        <x:v>10</x:v>
      </x:c>
      <x:c r="D1219" s="47" t="n">
        <x:v>377.28</x:v>
      </x:c>
      <x:c r="E1219" s="47" t="n">
        <x:v>85.57</x:v>
      </x:c>
      <x:c r="F1219" s="47" t="n">
        <x:v>381.034</x:v>
      </x:c>
      <x:c r="G1219" s="47" t="n">
        <x:v>99.756</x:v>
      </x:c>
      <x:c r="H1219" s="50" t="n">
        <x:v>0.616471</x:v>
      </x:c>
      <x:c r="I1219" s="50" t="n">
        <x:v>0.108042</x:v>
      </x:c>
      <x:c r="J1219" s="50" t="n">
        <x:v>0.622604</x:v>
      </x:c>
      <x:c r="K1219" s="50" t="n">
        <x:v>0.125955</x:v>
      </x:c>
      <x:c r="L1219" s="47" t="n">
        <x:v>612</x:v>
      </x:c>
      <x:c r="M1219" s="47" t="n">
        <x:v>792</x:v>
      </x:c>
      <x:c r="N1219" s="28" t="str">
        <x:v>top-left</x:v>
      </x:c>
      <x:c r="O1219" s="28" t="str">
        <x:v>PDF points</x:v>
      </x:c>
    </x:row>
    <x:row r="1220" ht="22" customHeight="1">
      <x:c r="A1220" s="28" t="str">
        <x:v>ANC-CAM-013-MECH-01-R25</x:v>
      </x:c>
      <x:c r="B1220" s="28" t="str">
        <x:v>ANC-CAM-013-MECH-01</x:v>
      </x:c>
      <x:c r="C1220" s="28" t="n">
        <x:v>10</x:v>
      </x:c>
      <x:c r="D1220" s="47" t="n">
        <x:v>395.28</x:v>
      </x:c>
      <x:c r="E1220" s="47" t="n">
        <x:v>85.57</x:v>
      </x:c>
      <x:c r="F1220" s="47" t="n">
        <x:v>497.47</x:v>
      </x:c>
      <x:c r="G1220" s="47" t="n">
        <x:v>99.756</x:v>
      </x:c>
      <x:c r="H1220" s="50" t="n">
        <x:v>0.645882</x:v>
      </x:c>
      <x:c r="I1220" s="50" t="n">
        <x:v>0.108042</x:v>
      </x:c>
      <x:c r="J1220" s="50" t="n">
        <x:v>0.81286</x:v>
      </x:c>
      <x:c r="K1220" s="50" t="n">
        <x:v>0.125955</x:v>
      </x:c>
      <x:c r="L1220" s="47" t="n">
        <x:v>612</x:v>
      </x:c>
      <x:c r="M1220" s="47" t="n">
        <x:v>792</x:v>
      </x:c>
      <x:c r="N1220" s="28" t="str">
        <x:v>top-left</x:v>
      </x:c>
      <x:c r="O1220" s="28" t="str">
        <x:v>PDF points</x:v>
      </x:c>
    </x:row>
    <x:row r="1221" ht="22" customHeight="1">
      <x:c r="A1221" s="28" t="str">
        <x:v>ANC-CAM-013-MECH-01-R26</x:v>
      </x:c>
      <x:c r="B1221" s="28" t="str">
        <x:v>ANC-CAM-013-MECH-01</x:v>
      </x:c>
      <x:c r="C1221" s="28" t="n">
        <x:v>10</x:v>
      </x:c>
      <x:c r="D1221" s="47" t="n">
        <x:v>395.28</x:v>
      </x:c>
      <x:c r="E1221" s="47" t="n">
        <x:v>99.01</x:v>
      </x:c>
      <x:c r="F1221" s="47" t="n">
        <x:v>529.964</x:v>
      </x:c>
      <x:c r="G1221" s="47" t="n">
        <x:v>113.196</x:v>
      </x:c>
      <x:c r="H1221" s="50" t="n">
        <x:v>0.645882</x:v>
      </x:c>
      <x:c r="I1221" s="50" t="n">
        <x:v>0.125012</x:v>
      </x:c>
      <x:c r="J1221" s="50" t="n">
        <x:v>0.865953</x:v>
      </x:c>
      <x:c r="K1221" s="50" t="n">
        <x:v>0.142924</x:v>
      </x:c>
      <x:c r="L1221" s="47" t="n">
        <x:v>612</x:v>
      </x:c>
      <x:c r="M1221" s="47" t="n">
        <x:v>792</x:v>
      </x:c>
      <x:c r="N1221" s="28" t="str">
        <x:v>top-left</x:v>
      </x:c>
      <x:c r="O1221" s="28" t="str">
        <x:v>PDF points</x:v>
      </x:c>
    </x:row>
    <x:row r="1222" ht="22" customHeight="1">
      <x:c r="A1222" s="28" t="str">
        <x:v>ANC-CAM-013-MECH-01-R27</x:v>
      </x:c>
      <x:c r="B1222" s="28" t="str">
        <x:v>ANC-CAM-013-MECH-01</x:v>
      </x:c>
      <x:c r="C1222" s="28" t="n">
        <x:v>10</x:v>
      </x:c>
      <x:c r="D1222" s="47" t="n">
        <x:v>395.28</x:v>
      </x:c>
      <x:c r="E1222" s="47" t="n">
        <x:v>112.45</x:v>
      </x:c>
      <x:c r="F1222" s="47" t="n">
        <x:v>427.507</x:v>
      </x:c>
      <x:c r="G1222" s="47" t="n">
        <x:v>126.636</x:v>
      </x:c>
      <x:c r="H1222" s="50" t="n">
        <x:v>0.645882</x:v>
      </x:c>
      <x:c r="I1222" s="50" t="n">
        <x:v>0.141982</x:v>
      </x:c>
      <x:c r="J1222" s="50" t="n">
        <x:v>0.698541</x:v>
      </x:c>
      <x:c r="K1222" s="50" t="n">
        <x:v>0.159894</x:v>
      </x:c>
      <x:c r="L1222" s="47" t="n">
        <x:v>612</x:v>
      </x:c>
      <x:c r="M1222" s="47" t="n">
        <x:v>792</x:v>
      </x:c>
      <x:c r="N1222" s="28" t="str">
        <x:v>top-left</x:v>
      </x:c>
      <x:c r="O1222" s="28" t="str">
        <x:v>PDF points</x:v>
      </x:c>
    </x:row>
    <x:row r="1223" ht="22" customHeight="1">
      <x:c r="A1223" s="28" t="str">
        <x:v>ANC-CAM-013-MECH-01-R28</x:v>
      </x:c>
      <x:c r="B1223" s="28" t="str">
        <x:v>ANC-CAM-013-MECH-01</x:v>
      </x:c>
      <x:c r="C1223" s="28" t="n">
        <x:v>10</x:v>
      </x:c>
      <x:c r="D1223" s="47" t="n">
        <x:v>377.28</x:v>
      </x:c>
      <x:c r="E1223" s="47" t="n">
        <x:v>125.89</x:v>
      </x:c>
      <x:c r="F1223" s="47" t="n">
        <x:v>381.034</x:v>
      </x:c>
      <x:c r="G1223" s="47" t="n">
        <x:v>140.076</x:v>
      </x:c>
      <x:c r="H1223" s="50" t="n">
        <x:v>0.616471</x:v>
      </x:c>
      <x:c r="I1223" s="50" t="n">
        <x:v>0.158951</x:v>
      </x:c>
      <x:c r="J1223" s="50" t="n">
        <x:v>0.622604</x:v>
      </x:c>
      <x:c r="K1223" s="50" t="n">
        <x:v>0.176864</x:v>
      </x:c>
      <x:c r="L1223" s="47" t="n">
        <x:v>612</x:v>
      </x:c>
      <x:c r="M1223" s="47" t="n">
        <x:v>792</x:v>
      </x:c>
      <x:c r="N1223" s="28" t="str">
        <x:v>top-left</x:v>
      </x:c>
      <x:c r="O1223" s="28" t="str">
        <x:v>PDF points</x:v>
      </x:c>
    </x:row>
    <x:row r="1224" ht="22" customHeight="1">
      <x:c r="A1224" s="28" t="str">
        <x:v>ANC-CAM-013-MECH-01-R29</x:v>
      </x:c>
      <x:c r="B1224" s="28" t="str">
        <x:v>ANC-CAM-013-MECH-01</x:v>
      </x:c>
      <x:c r="C1224" s="28" t="n">
        <x:v>10</x:v>
      </x:c>
      <x:c r="D1224" s="47" t="n">
        <x:v>395.275</x:v>
      </x:c>
      <x:c r="E1224" s="47" t="n">
        <x:v>125.89</x:v>
      </x:c>
      <x:c r="F1224" s="47" t="n">
        <x:v>496.044</x:v>
      </x:c>
      <x:c r="G1224" s="47" t="n">
        <x:v>140.076</x:v>
      </x:c>
      <x:c r="H1224" s="50" t="n">
        <x:v>0.645875</x:v>
      </x:c>
      <x:c r="I1224" s="50" t="n">
        <x:v>0.158951</x:v>
      </x:c>
      <x:c r="J1224" s="50" t="n">
        <x:v>0.810529</x:v>
      </x:c>
      <x:c r="K1224" s="50" t="n">
        <x:v>0.176864</x:v>
      </x:c>
      <x:c r="L1224" s="47" t="n">
        <x:v>612</x:v>
      </x:c>
      <x:c r="M1224" s="47" t="n">
        <x:v>792</x:v>
      </x:c>
      <x:c r="N1224" s="28" t="str">
        <x:v>top-left</x:v>
      </x:c>
      <x:c r="O1224" s="28" t="str">
        <x:v>PDF points</x:v>
      </x:c>
    </x:row>
    <x:row r="1225" ht="22" customHeight="1">
      <x:c r="A1225" s="28" t="str">
        <x:v>ANC-CAM-013-MECH-01-R30</x:v>
      </x:c>
      <x:c r="B1225" s="28" t="str">
        <x:v>ANC-CAM-013-MECH-01</x:v>
      </x:c>
      <x:c r="C1225" s="28" t="n">
        <x:v>10</x:v>
      </x:c>
      <x:c r="D1225" s="47" t="n">
        <x:v>395.28</x:v>
      </x:c>
      <x:c r="E1225" s="47" t="n">
        <x:v>139.33</x:v>
      </x:c>
      <x:c r="F1225" s="47" t="n">
        <x:v>520.146</x:v>
      </x:c>
      <x:c r="G1225" s="47" t="n">
        <x:v>153.516</x:v>
      </x:c>
      <x:c r="H1225" s="50" t="n">
        <x:v>0.645882</x:v>
      </x:c>
      <x:c r="I1225" s="50" t="n">
        <x:v>0.175921</x:v>
      </x:c>
      <x:c r="J1225" s="50" t="n">
        <x:v>0.849911</x:v>
      </x:c>
      <x:c r="K1225" s="50" t="n">
        <x:v>0.193833</x:v>
      </x:c>
      <x:c r="L1225" s="47" t="n">
        <x:v>612</x:v>
      </x:c>
      <x:c r="M1225" s="47" t="n">
        <x:v>792</x:v>
      </x:c>
      <x:c r="N1225" s="28" t="str">
        <x:v>top-left</x:v>
      </x:c>
      <x:c r="O1225" s="28" t="str">
        <x:v>PDF points</x:v>
      </x:c>
    </x:row>
    <x:row r="1226" ht="22" customHeight="1">
      <x:c r="A1226" s="28" t="str">
        <x:v>ANC-CAM-013-MECH-01-R31</x:v>
      </x:c>
      <x:c r="B1226" s="28" t="str">
        <x:v>ANC-CAM-013-MECH-01</x:v>
      </x:c>
      <x:c r="C1226" s="28" t="n">
        <x:v>10</x:v>
      </x:c>
      <x:c r="D1226" s="47" t="n">
        <x:v>395.28</x:v>
      </x:c>
      <x:c r="E1226" s="47" t="n">
        <x:v>152.77</x:v>
      </x:c>
      <x:c r="F1226" s="47" t="n">
        <x:v>538.165</x:v>
      </x:c>
      <x:c r="G1226" s="47" t="n">
        <x:v>166.956</x:v>
      </x:c>
      <x:c r="H1226" s="50" t="n">
        <x:v>0.645882</x:v>
      </x:c>
      <x:c r="I1226" s="50" t="n">
        <x:v>0.192891</x:v>
      </x:c>
      <x:c r="J1226" s="50" t="n">
        <x:v>0.879355</x:v>
      </x:c>
      <x:c r="K1226" s="50" t="n">
        <x:v>0.210803</x:v>
      </x:c>
      <x:c r="L1226" s="47" t="n">
        <x:v>612</x:v>
      </x:c>
      <x:c r="M1226" s="47" t="n">
        <x:v>792</x:v>
      </x:c>
      <x:c r="N1226" s="28" t="str">
        <x:v>top-left</x:v>
      </x:c>
      <x:c r="O1226" s="28" t="str">
        <x:v>PDF points</x:v>
      </x:c>
    </x:row>
    <x:row r="1227" ht="22" customHeight="1">
      <x:c r="A1227" s="28" t="str">
        <x:v>ANC-CAM-013-MECH-01-R32</x:v>
      </x:c>
      <x:c r="B1227" s="28" t="str">
        <x:v>ANC-CAM-013-MECH-01</x:v>
      </x:c>
      <x:c r="C1227" s="28" t="n">
        <x:v>10</x:v>
      </x:c>
      <x:c r="D1227" s="47" t="n">
        <x:v>395.28</x:v>
      </x:c>
      <x:c r="E1227" s="47" t="n">
        <x:v>166.21</x:v>
      </x:c>
      <x:c r="F1227" s="47" t="n">
        <x:v>495.318</x:v>
      </x:c>
      <x:c r="G1227" s="47" t="n">
        <x:v>180.396</x:v>
      </x:c>
      <x:c r="H1227" s="50" t="n">
        <x:v>0.645882</x:v>
      </x:c>
      <x:c r="I1227" s="50" t="n">
        <x:v>0.209861</x:v>
      </x:c>
      <x:c r="J1227" s="50" t="n">
        <x:v>0.809343</x:v>
      </x:c>
      <x:c r="K1227" s="50" t="n">
        <x:v>0.227773</x:v>
      </x:c>
      <x:c r="L1227" s="47" t="n">
        <x:v>612</x:v>
      </x:c>
      <x:c r="M1227" s="47" t="n">
        <x:v>792</x:v>
      </x:c>
      <x:c r="N1227" s="28" t="str">
        <x:v>top-left</x:v>
      </x:c>
      <x:c r="O1227" s="28" t="str">
        <x:v>PDF points</x:v>
      </x:c>
    </x:row>
    <x:row r="1228" ht="22" customHeight="1">
      <x:c r="A1228" s="28" t="str">
        <x:v>ANC-CAM-013-MECH-01-R33</x:v>
      </x:c>
      <x:c r="B1228" s="28" t="str">
        <x:v>ANC-CAM-013-MECH-01</x:v>
      </x:c>
      <x:c r="C1228" s="28" t="n">
        <x:v>10</x:v>
      </x:c>
      <x:c r="D1228" s="47" t="n">
        <x:v>395.28</x:v>
      </x:c>
      <x:c r="E1228" s="47" t="n">
        <x:v>179.53</x:v>
      </x:c>
      <x:c r="F1228" s="47" t="n">
        <x:v>483.195</x:v>
      </x:c>
      <x:c r="G1228" s="47" t="n">
        <x:v>193.716</x:v>
      </x:c>
      <x:c r="H1228" s="50" t="n">
        <x:v>0.645882</x:v>
      </x:c>
      <x:c r="I1228" s="50" t="n">
        <x:v>0.226679</x:v>
      </x:c>
      <x:c r="J1228" s="50" t="n">
        <x:v>0.789534</x:v>
      </x:c>
      <x:c r="K1228" s="50" t="n">
        <x:v>0.244591</x:v>
      </x:c>
      <x:c r="L1228" s="47" t="n">
        <x:v>612</x:v>
      </x:c>
      <x:c r="M1228" s="47" t="n">
        <x:v>792</x:v>
      </x:c>
      <x:c r="N1228" s="28" t="str">
        <x:v>top-left</x:v>
      </x:c>
      <x:c r="O1228" s="28" t="str">
        <x:v>PDF points</x:v>
      </x:c>
    </x:row>
    <x:row r="1229" ht="22" customHeight="1">
      <x:c r="A1229" s="28" t="str">
        <x:v>ANC-CAM-015-ASP-R01</x:v>
      </x:c>
      <x:c r="B1229" s="28" t="str">
        <x:v>ANC-CAM-015-ASP</x:v>
      </x:c>
      <x:c r="C1229" s="28" t="n">
        <x:v>7</x:v>
      </x:c>
      <x:c r="D1229" s="47" t="n">
        <x:v>243</x:v>
      </x:c>
      <x:c r="E1229" s="47" t="n">
        <x:v>127.81</x:v>
      </x:c>
      <x:c r="F1229" s="47" t="n">
        <x:v>509.833</x:v>
      </x:c>
      <x:c r="G1229" s="47" t="n">
        <x:v>141.996</x:v>
      </x:c>
      <x:c r="H1229" s="50" t="n">
        <x:v>0.397059</x:v>
      </x:c>
      <x:c r="I1229" s="50" t="n">
        <x:v>0.161376</x:v>
      </x:c>
      <x:c r="J1229" s="50" t="n">
        <x:v>0.833061</x:v>
      </x:c>
      <x:c r="K1229" s="50" t="n">
        <x:v>0.179288</x:v>
      </x:c>
      <x:c r="L1229" s="47" t="n">
        <x:v>612</x:v>
      </x:c>
      <x:c r="M1229" s="47" t="n">
        <x:v>792</x:v>
      </x:c>
      <x:c r="N1229" s="28" t="str">
        <x:v>top-left</x:v>
      </x:c>
      <x:c r="O1229" s="28" t="str">
        <x:v>PDF points</x:v>
      </x:c>
    </x:row>
    <x:row r="1230" ht="22" customHeight="1">
      <x:c r="A1230" s="28" t="str">
        <x:v>ANC-CAM-015-ASP-R02</x:v>
      </x:c>
      <x:c r="B1230" s="28" t="str">
        <x:v>ANC-CAM-015-ASP</x:v>
      </x:c>
      <x:c r="C1230" s="28" t="n">
        <x:v>7</x:v>
      </x:c>
      <x:c r="D1230" s="47" t="n">
        <x:v>243</x:v>
      </x:c>
      <x:c r="E1230" s="47" t="n">
        <x:v>141.25</x:v>
      </x:c>
      <x:c r="F1230" s="47" t="n">
        <x:v>536.347</x:v>
      </x:c>
      <x:c r="G1230" s="47" t="n">
        <x:v>155.436</x:v>
      </x:c>
      <x:c r="H1230" s="50" t="n">
        <x:v>0.397059</x:v>
      </x:c>
      <x:c r="I1230" s="50" t="n">
        <x:v>0.178345</x:v>
      </x:c>
      <x:c r="J1230" s="50" t="n">
        <x:v>0.876384</x:v>
      </x:c>
      <x:c r="K1230" s="50" t="n">
        <x:v>0.196258</x:v>
      </x:c>
      <x:c r="L1230" s="47" t="n">
        <x:v>612</x:v>
      </x:c>
      <x:c r="M1230" s="47" t="n">
        <x:v>792</x:v>
      </x:c>
      <x:c r="N1230" s="28" t="str">
        <x:v>top-left</x:v>
      </x:c>
      <x:c r="O1230" s="28" t="str">
        <x:v>PDF points</x:v>
      </x:c>
    </x:row>
    <x:row r="1231" ht="22" customHeight="1">
      <x:c r="A1231" s="28" t="str">
        <x:v>ANC-CAM-015-MECH-01-R01</x:v>
      </x:c>
      <x:c r="B1231" s="28" t="str">
        <x:v>ANC-CAM-015-MECH-01</x:v>
      </x:c>
      <x:c r="C1231" s="28" t="n">
        <x:v>6</x:v>
      </x:c>
      <x:c r="D1231" s="47" t="n">
        <x:v>243</x:v>
      </x:c>
      <x:c r="E1231" s="47" t="n">
        <x:v>565.33</x:v>
      </x:c>
      <x:c r="F1231" s="47" t="n">
        <x:v>489.582</x:v>
      </x:c>
      <x:c r="G1231" s="47" t="n">
        <x:v>579.516</x:v>
      </x:c>
      <x:c r="H1231" s="50" t="n">
        <x:v>0.397059</x:v>
      </x:c>
      <x:c r="I1231" s="50" t="n">
        <x:v>0.7138</x:v>
      </x:c>
      <x:c r="J1231" s="50" t="n">
        <x:v>0.79997</x:v>
      </x:c>
      <x:c r="K1231" s="50" t="n">
        <x:v>0.731712</x:v>
      </x:c>
      <x:c r="L1231" s="47" t="n">
        <x:v>612</x:v>
      </x:c>
      <x:c r="M1231" s="47" t="n">
        <x:v>792</x:v>
      </x:c>
      <x:c r="N1231" s="28" t="str">
        <x:v>top-left</x:v>
      </x:c>
      <x:c r="O1231" s="28" t="str">
        <x:v>PDF points</x:v>
      </x:c>
    </x:row>
    <x:row r="1232" ht="22" customHeight="1">
      <x:c r="A1232" s="28" t="str">
        <x:v>ANC-CAM-015-MECH-01-R02</x:v>
      </x:c>
      <x:c r="B1232" s="28" t="str">
        <x:v>ANC-CAM-015-MECH-01</x:v>
      </x:c>
      <x:c r="C1232" s="28" t="n">
        <x:v>6</x:v>
      </x:c>
      <x:c r="D1232" s="47" t="n">
        <x:v>243</x:v>
      </x:c>
      <x:c r="E1232" s="47" t="n">
        <x:v>578.765</x:v>
      </x:c>
      <x:c r="F1232" s="47" t="n">
        <x:v>491.655</x:v>
      </x:c>
      <x:c r="G1232" s="47" t="n">
        <x:v>592.952</x:v>
      </x:c>
      <x:c r="H1232" s="50" t="n">
        <x:v>0.397059</x:v>
      </x:c>
      <x:c r="I1232" s="50" t="n">
        <x:v>0.730764</x:v>
      </x:c>
      <x:c r="J1232" s="50" t="n">
        <x:v>0.803358</x:v>
      </x:c>
      <x:c r="K1232" s="50" t="n">
        <x:v>0.748676</x:v>
      </x:c>
      <x:c r="L1232" s="47" t="n">
        <x:v>612</x:v>
      </x:c>
      <x:c r="M1232" s="47" t="n">
        <x:v>792</x:v>
      </x:c>
      <x:c r="N1232" s="28" t="str">
        <x:v>top-left</x:v>
      </x:c>
      <x:c r="O1232" s="28" t="str">
        <x:v>PDF points</x:v>
      </x:c>
    </x:row>
    <x:row r="1233" ht="22" customHeight="1">
      <x:c r="A1233" s="28" t="str">
        <x:v>ANC-CAM-033-ASP-R01</x:v>
      </x:c>
      <x:c r="B1233" s="28" t="str">
        <x:v>ANC-CAM-033-ASP</x:v>
      </x:c>
      <x:c r="C1233" s="28" t="n">
        <x:v>10</x:v>
      </x:c>
      <x:c r="D1233" s="47" t="n">
        <x:v>227.144</x:v>
      </x:c>
      <x:c r="E1233" s="47" t="n">
        <x:v>529.681</x:v>
      </x:c>
      <x:c r="F1233" s="47" t="n">
        <x:v>359.213</x:v>
      </x:c>
      <x:c r="G1233" s="47" t="n">
        <x:v>543.867</x:v>
      </x:c>
      <x:c r="H1233" s="50" t="n">
        <x:v>0.371151</x:v>
      </x:c>
      <x:c r="I1233" s="50" t="n">
        <x:v>0.668789</x:v>
      </x:c>
      <x:c r="J1233" s="50" t="n">
        <x:v>0.58695</x:v>
      </x:c>
      <x:c r="K1233" s="50" t="n">
        <x:v>0.686701</x:v>
      </x:c>
      <x:c r="L1233" s="47" t="n">
        <x:v>612</x:v>
      </x:c>
      <x:c r="M1233" s="47" t="n">
        <x:v>792</x:v>
      </x:c>
      <x:c r="N1233" s="28" t="str">
        <x:v>top-left</x:v>
      </x:c>
      <x:c r="O1233" s="28" t="str">
        <x:v>PDF points</x:v>
      </x:c>
    </x:row>
    <x:row r="1234" ht="22" customHeight="1">
      <x:c r="A1234" s="28" t="str">
        <x:v>ANC-CAM-033-ASP-R02</x:v>
      </x:c>
      <x:c r="B1234" s="28" t="str">
        <x:v>ANC-CAM-033-ASP</x:v>
      </x:c>
      <x:c r="C1234" s="28" t="n">
        <x:v>10</x:v>
      </x:c>
      <x:c r="D1234" s="47" t="n">
        <x:v>227.144</x:v>
      </x:c>
      <x:c r="E1234" s="47" t="n">
        <x:v>543.117</x:v>
      </x:c>
      <x:c r="F1234" s="47" t="n">
        <x:v>325.386</x:v>
      </x:c>
      <x:c r="G1234" s="47" t="n">
        <x:v>557.303</x:v>
      </x:c>
      <x:c r="H1234" s="50" t="n">
        <x:v>0.371151</x:v>
      </x:c>
      <x:c r="I1234" s="50" t="n">
        <x:v>0.685753</x:v>
      </x:c>
      <x:c r="J1234" s="50" t="n">
        <x:v>0.531676</x:v>
      </x:c>
      <x:c r="K1234" s="50" t="n">
        <x:v>0.703665</x:v>
      </x:c>
      <x:c r="L1234" s="47" t="n">
        <x:v>612</x:v>
      </x:c>
      <x:c r="M1234" s="47" t="n">
        <x:v>792</x:v>
      </x:c>
      <x:c r="N1234" s="28" t="str">
        <x:v>top-left</x:v>
      </x:c>
      <x:c r="O1234" s="28" t="str">
        <x:v>PDF points</x:v>
      </x:c>
    </x:row>
    <x:row r="1235" ht="22" customHeight="1">
      <x:c r="A1235" s="28" t="str">
        <x:v>ANC-CAM-060-ASP-R01</x:v>
      </x:c>
      <x:c r="B1235" s="28" t="str">
        <x:v>ANC-CAM-060-ASP</x:v>
      </x:c>
      <x:c r="C1235" s="28" t="n">
        <x:v>4</x:v>
      </x:c>
      <x:c r="D1235" s="47" t="n">
        <x:v>72.037</x:v>
      </x:c>
      <x:c r="E1235" s="47" t="n">
        <x:v>388.308</x:v>
      </x:c>
      <x:c r="F1235" s="47" t="n">
        <x:v>152.625</x:v>
      </x:c>
      <x:c r="G1235" s="47" t="n">
        <x:v>402.495</x:v>
      </x:c>
      <x:c r="H1235" s="50" t="n">
        <x:v>0.117707</x:v>
      </x:c>
      <x:c r="I1235" s="50" t="n">
        <x:v>0.490288</x:v>
      </x:c>
      <x:c r="J1235" s="50" t="n">
        <x:v>0.249387</x:v>
      </x:c>
      <x:c r="K1235" s="50" t="n">
        <x:v>0.5082</x:v>
      </x:c>
      <x:c r="L1235" s="47" t="n">
        <x:v>612</x:v>
      </x:c>
      <x:c r="M1235" s="47" t="n">
        <x:v>792</x:v>
      </x:c>
      <x:c r="N1235" s="28" t="str">
        <x:v>top-left</x:v>
      </x:c>
      <x:c r="O1235" s="28" t="str">
        <x:v>PDF points</x:v>
      </x:c>
    </x:row>
    <x:row r="1236" ht="22" customHeight="1">
      <x:c r="A1236" s="28" t="str">
        <x:v>ANC-CAM-060-ASP-R02</x:v>
      </x:c>
      <x:c r="B1236" s="28" t="str">
        <x:v>ANC-CAM-060-ASP</x:v>
      </x:c>
      <x:c r="C1236" s="28" t="n">
        <x:v>4</x:v>
      </x:c>
      <x:c r="D1236" s="47" t="n">
        <x:v>72.037</x:v>
      </x:c>
      <x:c r="E1236" s="47" t="n">
        <x:v>415.18</x:v>
      </x:c>
      <x:c r="F1236" s="47" t="n">
        <x:v>540.101</x:v>
      </x:c>
      <x:c r="G1236" s="47" t="n">
        <x:v>429.366</x:v>
      </x:c>
      <x:c r="H1236" s="50" t="n">
        <x:v>0.117707</x:v>
      </x:c>
      <x:c r="I1236" s="50" t="n">
        <x:v>0.524217</x:v>
      </x:c>
      <x:c r="J1236" s="50" t="n">
        <x:v>0.882518</x:v>
      </x:c>
      <x:c r="K1236" s="50" t="n">
        <x:v>0.542129</x:v>
      </x:c>
      <x:c r="L1236" s="47" t="n">
        <x:v>612</x:v>
      </x:c>
      <x:c r="M1236" s="47" t="n">
        <x:v>792</x:v>
      </x:c>
      <x:c r="N1236" s="28" t="str">
        <x:v>top-left</x:v>
      </x:c>
      <x:c r="O1236" s="28" t="str">
        <x:v>PDF points</x:v>
      </x:c>
    </x:row>
    <x:row r="1237" ht="22" customHeight="1">
      <x:c r="A1237" s="28" t="str">
        <x:v>ANC-CAM-060-ASP-R03</x:v>
      </x:c>
      <x:c r="B1237" s="28" t="str">
        <x:v>ANC-CAM-060-ASP</x:v>
      </x:c>
      <x:c r="C1237" s="28" t="n">
        <x:v>4</x:v>
      </x:c>
      <x:c r="D1237" s="47" t="n">
        <x:v>72.037</x:v>
      </x:c>
      <x:c r="E1237" s="47" t="n">
        <x:v>428.615</x:v>
      </x:c>
      <x:c r="F1237" s="47" t="n">
        <x:v>540.102</x:v>
      </x:c>
      <x:c r="G1237" s="47" t="n">
        <x:v>442.802</x:v>
      </x:c>
      <x:c r="H1237" s="50" t="n">
        <x:v>0.117707</x:v>
      </x:c>
      <x:c r="I1237" s="50" t="n">
        <x:v>0.541181</x:v>
      </x:c>
      <x:c r="J1237" s="50" t="n">
        <x:v>0.88252</x:v>
      </x:c>
      <x:c r="K1237" s="50" t="n">
        <x:v>0.559093</x:v>
      </x:c>
      <x:c r="L1237" s="47" t="n">
        <x:v>612</x:v>
      </x:c>
      <x:c r="M1237" s="47" t="n">
        <x:v>792</x:v>
      </x:c>
      <x:c r="N1237" s="28" t="str">
        <x:v>top-left</x:v>
      </x:c>
      <x:c r="O1237" s="28" t="str">
        <x:v>PDF points</x:v>
      </x:c>
    </x:row>
    <x:row r="1238" ht="22" customHeight="1">
      <x:c r="A1238" s="28" t="str">
        <x:v>ANC-CAM-060-ASP-R04</x:v>
      </x:c>
      <x:c r="B1238" s="28" t="str">
        <x:v>ANC-CAM-060-ASP</x:v>
      </x:c>
      <x:c r="C1238" s="28" t="n">
        <x:v>4</x:v>
      </x:c>
      <x:c r="D1238" s="47" t="n">
        <x:v>72.037</x:v>
      </x:c>
      <x:c r="E1238" s="47" t="n">
        <x:v>442.051</x:v>
      </x:c>
      <x:c r="F1238" s="47" t="n">
        <x:v>540.104</x:v>
      </x:c>
      <x:c r="G1238" s="47" t="n">
        <x:v>456.237</x:v>
      </x:c>
      <x:c r="H1238" s="50" t="n">
        <x:v>0.117707</x:v>
      </x:c>
      <x:c r="I1238" s="50" t="n">
        <x:v>0.558145</x:v>
      </x:c>
      <x:c r="J1238" s="50" t="n">
        <x:v>0.882523</x:v>
      </x:c>
      <x:c r="K1238" s="50" t="n">
        <x:v>0.576057</x:v>
      </x:c>
      <x:c r="L1238" s="47" t="n">
        <x:v>612</x:v>
      </x:c>
      <x:c r="M1238" s="47" t="n">
        <x:v>792</x:v>
      </x:c>
      <x:c r="N1238" s="28" t="str">
        <x:v>top-left</x:v>
      </x:c>
      <x:c r="O1238" s="28" t="str">
        <x:v>PDF points</x:v>
      </x:c>
    </x:row>
    <x:row r="1239" ht="22" customHeight="1">
      <x:c r="A1239" s="28" t="str">
        <x:v>ANC-CAM-060-ASP-R05</x:v>
      </x:c>
      <x:c r="B1239" s="28" t="str">
        <x:v>ANC-CAM-060-ASP</x:v>
      </x:c>
      <x:c r="C1239" s="28" t="n">
        <x:v>4</x:v>
      </x:c>
      <x:c r="D1239" s="47" t="n">
        <x:v>72.037</x:v>
      </x:c>
      <x:c r="E1239" s="47" t="n">
        <x:v>455.487</x:v>
      </x:c>
      <x:c r="F1239" s="47" t="n">
        <x:v>284.709</x:v>
      </x:c>
      <x:c r="G1239" s="47" t="n">
        <x:v>469.673</x:v>
      </x:c>
      <x:c r="H1239" s="50" t="n">
        <x:v>0.117707</x:v>
      </x:c>
      <x:c r="I1239" s="50" t="n">
        <x:v>0.57511</x:v>
      </x:c>
      <x:c r="J1239" s="50" t="n">
        <x:v>0.465211</x:v>
      </x:c>
      <x:c r="K1239" s="50" t="n">
        <x:v>0.593022</x:v>
      </x:c>
      <x:c r="L1239" s="47" t="n">
        <x:v>612</x:v>
      </x:c>
      <x:c r="M1239" s="47" t="n">
        <x:v>792</x:v>
      </x:c>
      <x:c r="N1239" s="28" t="str">
        <x:v>top-left</x:v>
      </x:c>
      <x:c r="O1239" s="28" t="str">
        <x:v>PDF points</x:v>
      </x:c>
    </x:row>
    <x:row r="1240" ht="22" customHeight="1">
      <x:c r="A1240" s="28" t="str">
        <x:v>ANC-CAM-061-ASP-R01</x:v>
      </x:c>
      <x:c r="B1240" s="28" t="str">
        <x:v>ANC-CAM-061-ASP</x:v>
      </x:c>
      <x:c r="C1240" s="28" t="n">
        <x:v>4</x:v>
      </x:c>
      <x:c r="D1240" s="47" t="n">
        <x:v>288.399</x:v>
      </x:c>
      <x:c r="E1240" s="47" t="n">
        <x:v>455.487</x:v>
      </x:c>
      <x:c r="F1240" s="47" t="n">
        <x:v>540.124</x:v>
      </x:c>
      <x:c r="G1240" s="47" t="n">
        <x:v>469.673</x:v>
      </x:c>
      <x:c r="H1240" s="50" t="n">
        <x:v>0.47124</x:v>
      </x:c>
      <x:c r="I1240" s="50" t="n">
        <x:v>0.57511</x:v>
      </x:c>
      <x:c r="J1240" s="50" t="n">
        <x:v>0.882556</x:v>
      </x:c>
      <x:c r="K1240" s="50" t="n">
        <x:v>0.593022</x:v>
      </x:c>
      <x:c r="L1240" s="47" t="n">
        <x:v>612</x:v>
      </x:c>
      <x:c r="M1240" s="47" t="n">
        <x:v>792</x:v>
      </x:c>
      <x:c r="N1240" s="28" t="str">
        <x:v>top-left</x:v>
      </x:c>
      <x:c r="O1240" s="28" t="str">
        <x:v>PDF points</x:v>
      </x:c>
    </x:row>
    <x:row r="1241" ht="22" customHeight="1">
      <x:c r="A1241" s="28" t="str">
        <x:v>ANC-CAM-061-ASP-R02</x:v>
      </x:c>
      <x:c r="B1241" s="28" t="str">
        <x:v>ANC-CAM-061-ASP</x:v>
      </x:c>
      <x:c r="C1241" s="28" t="n">
        <x:v>4</x:v>
      </x:c>
      <x:c r="D1241" s="47" t="n">
        <x:v>72.037</x:v>
      </x:c>
      <x:c r="E1241" s="47" t="n">
        <x:v>468.812</x:v>
      </x:c>
      <x:c r="F1241" s="47" t="n">
        <x:v>540.086</x:v>
      </x:c>
      <x:c r="G1241" s="47" t="n">
        <x:v>482.998</x:v>
      </x:c>
      <x:c r="H1241" s="50" t="n">
        <x:v>0.117707</x:v>
      </x:c>
      <x:c r="I1241" s="50" t="n">
        <x:v>0.591934</x:v>
      </x:c>
      <x:c r="J1241" s="50" t="n">
        <x:v>0.882493</x:v>
      </x:c>
      <x:c r="K1241" s="50" t="n">
        <x:v>0.609846</x:v>
      </x:c>
      <x:c r="L1241" s="47" t="n">
        <x:v>612</x:v>
      </x:c>
      <x:c r="M1241" s="47" t="n">
        <x:v>792</x:v>
      </x:c>
      <x:c r="N1241" s="28" t="str">
        <x:v>top-left</x:v>
      </x:c>
      <x:c r="O1241" s="28" t="str">
        <x:v>PDF points</x:v>
      </x:c>
    </x:row>
    <x:row r="1242" ht="22" customHeight="1">
      <x:c r="A1242" s="28" t="str">
        <x:v>ANC-CAM-061-ASP-R03</x:v>
      </x:c>
      <x:c r="B1242" s="28" t="str">
        <x:v>ANC-CAM-061-ASP</x:v>
      </x:c>
      <x:c r="C1242" s="28" t="n">
        <x:v>4</x:v>
      </x:c>
      <x:c r="D1242" s="47" t="n">
        <x:v>72.037</x:v>
      </x:c>
      <x:c r="E1242" s="47" t="n">
        <x:v>482.248</x:v>
      </x:c>
      <x:c r="F1242" s="47" t="n">
        <x:v>425.473</x:v>
      </x:c>
      <x:c r="G1242" s="47" t="n">
        <x:v>496.434</x:v>
      </x:c>
      <x:c r="H1242" s="50" t="n">
        <x:v>0.117707</x:v>
      </x:c>
      <x:c r="I1242" s="50" t="n">
        <x:v>0.608899</x:v>
      </x:c>
      <x:c r="J1242" s="50" t="n">
        <x:v>0.695217</x:v>
      </x:c>
      <x:c r="K1242" s="50" t="n">
        <x:v>0.626811</x:v>
      </x:c>
      <x:c r="L1242" s="47" t="n">
        <x:v>612</x:v>
      </x:c>
      <x:c r="M1242" s="47" t="n">
        <x:v>792</x:v>
      </x:c>
      <x:c r="N1242" s="28" t="str">
        <x:v>top-left</x:v>
      </x:c>
      <x:c r="O1242" s="28" t="str">
        <x:v>PDF points</x:v>
      </x:c>
    </x:row>
    <x:row r="1243" ht="22" customHeight="1">
      <x:c r="A1243" s="28" t="str">
        <x:v>ANC-CAM-061-MECH-01-R01</x:v>
      </x:c>
      <x:c r="B1243" s="28" t="str">
        <x:v>ANC-CAM-061-MECH-01</x:v>
      </x:c>
      <x:c r="C1243" s="28" t="n">
        <x:v>8</x:v>
      </x:c>
      <x:c r="D1243" s="47" t="n">
        <x:v>241.32</x:v>
      </x:c>
      <x:c r="E1243" s="47" t="n">
        <x:v>119.29</x:v>
      </x:c>
      <x:c r="F1243" s="47" t="n">
        <x:v>515.093</x:v>
      </x:c>
      <x:c r="G1243" s="47" t="n">
        <x:v>133.476</x:v>
      </x:c>
      <x:c r="H1243" s="50" t="n">
        <x:v>0.394314</x:v>
      </x:c>
      <x:c r="I1243" s="50" t="n">
        <x:v>0.150618</x:v>
      </x:c>
      <x:c r="J1243" s="50" t="n">
        <x:v>0.841655</x:v>
      </x:c>
      <x:c r="K1243" s="50" t="n">
        <x:v>0.16853</x:v>
      </x:c>
      <x:c r="L1243" s="47" t="n">
        <x:v>612</x:v>
      </x:c>
      <x:c r="M1243" s="47" t="n">
        <x:v>792</x:v>
      </x:c>
      <x:c r="N1243" s="28" t="str">
        <x:v>top-left</x:v>
      </x:c>
      <x:c r="O1243" s="28" t="str">
        <x:v>PDF points</x:v>
      </x:c>
    </x:row>
    <x:row r="1244" ht="22" customHeight="1">
      <x:c r="A1244" s="28" t="str">
        <x:v>ANC-CAM-064-ASP-R01</x:v>
      </x:c>
      <x:c r="B1244" s="28" t="str">
        <x:v>ANC-CAM-064-ASP</x:v>
      </x:c>
      <x:c r="C1244" s="28" t="n">
        <x:v>8</x:v>
      </x:c>
      <x:c r="D1244" s="47" t="n">
        <x:v>201.95</x:v>
      </x:c>
      <x:c r="E1244" s="47" t="n">
        <x:v>400.554</x:v>
      </x:c>
      <x:c r="F1244" s="47" t="n">
        <x:v>540.259</x:v>
      </x:c>
      <x:c r="G1244" s="47" t="n">
        <x:v>414.741</x:v>
      </x:c>
      <x:c r="H1244" s="50" t="n">
        <x:v>0.329983</x:v>
      </x:c>
      <x:c r="I1244" s="50" t="n">
        <x:v>0.50575</x:v>
      </x:c>
      <x:c r="J1244" s="50" t="n">
        <x:v>0.882777</x:v>
      </x:c>
      <x:c r="K1244" s="50" t="n">
        <x:v>0.523662</x:v>
      </x:c>
      <x:c r="L1244" s="47" t="n">
        <x:v>612</x:v>
      </x:c>
      <x:c r="M1244" s="47" t="n">
        <x:v>792</x:v>
      </x:c>
      <x:c r="N1244" s="28" t="str">
        <x:v>top-left</x:v>
      </x:c>
      <x:c r="O1244" s="28" t="str">
        <x:v>PDF points</x:v>
      </x:c>
    </x:row>
    <x:row r="1245" ht="22" customHeight="1">
      <x:c r="A1245" s="28" t="str">
        <x:v>ANC-CAM-064-ASP-R02</x:v>
      </x:c>
      <x:c r="B1245" s="28" t="str">
        <x:v>ANC-CAM-064-ASP</x:v>
      </x:c>
      <x:c r="C1245" s="28" t="n">
        <x:v>8</x:v>
      </x:c>
      <x:c r="D1245" s="47" t="n">
        <x:v>71.989</x:v>
      </x:c>
      <x:c r="E1245" s="47" t="n">
        <x:v>413.99</x:v>
      </x:c>
      <x:c r="F1245" s="47" t="n">
        <x:v>540.1</x:v>
      </x:c>
      <x:c r="G1245" s="47" t="n">
        <x:v>428.176</x:v>
      </x:c>
      <x:c r="H1245" s="50" t="n">
        <x:v>0.117629</x:v>
      </x:c>
      <x:c r="I1245" s="50" t="n">
        <x:v>0.522714</x:v>
      </x:c>
      <x:c r="J1245" s="50" t="n">
        <x:v>0.882517</x:v>
      </x:c>
      <x:c r="K1245" s="50" t="n">
        <x:v>0.540627</x:v>
      </x:c>
      <x:c r="L1245" s="47" t="n">
        <x:v>612</x:v>
      </x:c>
      <x:c r="M1245" s="47" t="n">
        <x:v>792</x:v>
      </x:c>
      <x:c r="N1245" s="28" t="str">
        <x:v>top-left</x:v>
      </x:c>
      <x:c r="O1245" s="28" t="str">
        <x:v>PDF points</x:v>
      </x:c>
    </x:row>
    <x:row r="1246" ht="22" customHeight="1">
      <x:c r="A1246" s="28" t="str">
        <x:v>ANC-CAM-064-ASP-R03</x:v>
      </x:c>
      <x:c r="B1246" s="28" t="str">
        <x:v>ANC-CAM-064-ASP</x:v>
      </x:c>
      <x:c r="C1246" s="28" t="n">
        <x:v>8</x:v>
      </x:c>
      <x:c r="D1246" s="47" t="n">
        <x:v>71.989</x:v>
      </x:c>
      <x:c r="E1246" s="47" t="n">
        <x:v>427.426</x:v>
      </x:c>
      <x:c r="F1246" s="47" t="n">
        <x:v>540.126</x:v>
      </x:c>
      <x:c r="G1246" s="47" t="n">
        <x:v>441.612</x:v>
      </x:c>
      <x:c r="H1246" s="50" t="n">
        <x:v>0.117629</x:v>
      </x:c>
      <x:c r="I1246" s="50" t="n">
        <x:v>0.539679</x:v>
      </x:c>
      <x:c r="J1246" s="50" t="n">
        <x:v>0.882559</x:v>
      </x:c>
      <x:c r="K1246" s="50" t="n">
        <x:v>0.557591</x:v>
      </x:c>
      <x:c r="L1246" s="47" t="n">
        <x:v>612</x:v>
      </x:c>
      <x:c r="M1246" s="47" t="n">
        <x:v>792</x:v>
      </x:c>
      <x:c r="N1246" s="28" t="str">
        <x:v>top-left</x:v>
      </x:c>
      <x:c r="O1246" s="28" t="str">
        <x:v>PDF points</x:v>
      </x:c>
    </x:row>
    <x:row r="1247" ht="22" customHeight="1">
      <x:c r="A1247" s="28" t="str">
        <x:v>ANC-CAM-064-ASP-R04</x:v>
      </x:c>
      <x:c r="B1247" s="28" t="str">
        <x:v>ANC-CAM-064-ASP</x:v>
      </x:c>
      <x:c r="C1247" s="28" t="n">
        <x:v>8</x:v>
      </x:c>
      <x:c r="D1247" s="47" t="n">
        <x:v>71.989</x:v>
      </x:c>
      <x:c r="E1247" s="47" t="n">
        <x:v>440.861</x:v>
      </x:c>
      <x:c r="F1247" s="47" t="n">
        <x:v>101.307</x:v>
      </x:c>
      <x:c r="G1247" s="47" t="n">
        <x:v>455.048</x:v>
      </x:c>
      <x:c r="H1247" s="50" t="n">
        <x:v>0.117629</x:v>
      </x:c>
      <x:c r="I1247" s="50" t="n">
        <x:v>0.556643</x:v>
      </x:c>
      <x:c r="J1247" s="50" t="n">
        <x:v>0.165534</x:v>
      </x:c>
      <x:c r="K1247" s="50" t="n">
        <x:v>0.574555</x:v>
      </x:c>
      <x:c r="L1247" s="47" t="n">
        <x:v>612</x:v>
      </x:c>
      <x:c r="M1247" s="47" t="n">
        <x:v>792</x:v>
      </x:c>
      <x:c r="N1247" s="28" t="str">
        <x:v>top-left</x:v>
      </x:c>
      <x:c r="O1247" s="28" t="str">
        <x:v>PDF points</x:v>
      </x:c>
    </x:row>
    <x:row r="1248" ht="22" customHeight="1">
      <x:c r="A1248" s="28" t="str">
        <x:v>ANC-CAM-065-ASP-R01</x:v>
      </x:c>
      <x:c r="B1248" s="28" t="str">
        <x:v>ANC-CAM-065-ASP</x:v>
      </x:c>
      <x:c r="C1248" s="28" t="n">
        <x:v>9</x:v>
      </x:c>
      <x:c r="D1248" s="47" t="n">
        <x:v>218.777</x:v>
      </x:c>
      <x:c r="E1248" s="47" t="n">
        <x:v>355.637</x:v>
      </x:c>
      <x:c r="F1248" s="47" t="n">
        <x:v>540.081</x:v>
      </x:c>
      <x:c r="G1248" s="47" t="n">
        <x:v>369.824</x:v>
      </x:c>
      <x:c r="H1248" s="50" t="n">
        <x:v>0.357478</x:v>
      </x:c>
      <x:c r="I1248" s="50" t="n">
        <x:v>0.449037</x:v>
      </x:c>
      <x:c r="J1248" s="50" t="n">
        <x:v>0.882485</x:v>
      </x:c>
      <x:c r="K1248" s="50" t="n">
        <x:v>0.466949</x:v>
      </x:c>
      <x:c r="L1248" s="47" t="n">
        <x:v>612</x:v>
      </x:c>
      <x:c r="M1248" s="47" t="n">
        <x:v>792</x:v>
      </x:c>
      <x:c r="N1248" s="28" t="str">
        <x:v>top-left</x:v>
      </x:c>
      <x:c r="O1248" s="28" t="str">
        <x:v>PDF points</x:v>
      </x:c>
    </x:row>
    <x:row r="1249" ht="22" customHeight="1">
      <x:c r="A1249" s="28" t="str">
        <x:v>ANC-CAM-065-ASP-R02</x:v>
      </x:c>
      <x:c r="B1249" s="28" t="str">
        <x:v>ANC-CAM-065-ASP</x:v>
      </x:c>
      <x:c r="C1249" s="28" t="n">
        <x:v>9</x:v>
      </x:c>
      <x:c r="D1249" s="47" t="n">
        <x:v>72.033</x:v>
      </x:c>
      <x:c r="E1249" s="47" t="n">
        <x:v>369.073</x:v>
      </x:c>
      <x:c r="F1249" s="47" t="n">
        <x:v>540.188</x:v>
      </x:c>
      <x:c r="G1249" s="47" t="n">
        <x:v>383.259</x:v>
      </x:c>
      <x:c r="H1249" s="50" t="n">
        <x:v>0.117701</x:v>
      </x:c>
      <x:c r="I1249" s="50" t="n">
        <x:v>0.466001</x:v>
      </x:c>
      <x:c r="J1249" s="50" t="n">
        <x:v>0.882659</x:v>
      </x:c>
      <x:c r="K1249" s="50" t="n">
        <x:v>0.483913</x:v>
      </x:c>
      <x:c r="L1249" s="47" t="n">
        <x:v>612</x:v>
      </x:c>
      <x:c r="M1249" s="47" t="n">
        <x:v>792</x:v>
      </x:c>
      <x:c r="N1249" s="28" t="str">
        <x:v>top-left</x:v>
      </x:c>
      <x:c r="O1249" s="28" t="str">
        <x:v>PDF points</x:v>
      </x:c>
    </x:row>
    <x:row r="1250" ht="22" customHeight="1">
      <x:c r="A1250" s="28" t="str">
        <x:v>ANC-CAM-065-ASP-R03</x:v>
      </x:c>
      <x:c r="B1250" s="28" t="str">
        <x:v>ANC-CAM-065-ASP</x:v>
      </x:c>
      <x:c r="C1250" s="28" t="n">
        <x:v>9</x:v>
      </x:c>
      <x:c r="D1250" s="47" t="n">
        <x:v>72.044</x:v>
      </x:c>
      <x:c r="E1250" s="47" t="n">
        <x:v>382.508</x:v>
      </x:c>
      <x:c r="F1250" s="47" t="n">
        <x:v>540.142</x:v>
      </x:c>
      <x:c r="G1250" s="47" t="n">
        <x:v>396.695</x:v>
      </x:c>
      <x:c r="H1250" s="50" t="n">
        <x:v>0.117719</x:v>
      </x:c>
      <x:c r="I1250" s="50" t="n">
        <x:v>0.482965</x:v>
      </x:c>
      <x:c r="J1250" s="50" t="n">
        <x:v>0.882586</x:v>
      </x:c>
      <x:c r="K1250" s="50" t="n">
        <x:v>0.500877</x:v>
      </x:c>
      <x:c r="L1250" s="47" t="n">
        <x:v>612</x:v>
      </x:c>
      <x:c r="M1250" s="47" t="n">
        <x:v>792</x:v>
      </x:c>
      <x:c r="N1250" s="28" t="str">
        <x:v>top-left</x:v>
      </x:c>
      <x:c r="O1250" s="28" t="str">
        <x:v>PDF points</x:v>
      </x:c>
    </x:row>
    <x:row r="1251" ht="22" customHeight="1">
      <x:c r="A1251" s="28" t="str">
        <x:v>ANC-CAM-065-ASP-R04</x:v>
      </x:c>
      <x:c r="B1251" s="28" t="str">
        <x:v>ANC-CAM-065-ASP</x:v>
      </x:c>
      <x:c r="C1251" s="28" t="n">
        <x:v>9</x:v>
      </x:c>
      <x:c r="D1251" s="47" t="n">
        <x:v>72.055</x:v>
      </x:c>
      <x:c r="E1251" s="47" t="n">
        <x:v>395.944</x:v>
      </x:c>
      <x:c r="F1251" s="47" t="n">
        <x:v>540.235</x:v>
      </x:c>
      <x:c r="G1251" s="47" t="n">
        <x:v>410.131</x:v>
      </x:c>
      <x:c r="H1251" s="50" t="n">
        <x:v>0.117737</x:v>
      </x:c>
      <x:c r="I1251" s="50" t="n">
        <x:v>0.499929</x:v>
      </x:c>
      <x:c r="J1251" s="50" t="n">
        <x:v>0.882737</x:v>
      </x:c>
      <x:c r="K1251" s="50" t="n">
        <x:v>0.517842</x:v>
      </x:c>
      <x:c r="L1251" s="47" t="n">
        <x:v>612</x:v>
      </x:c>
      <x:c r="M1251" s="47" t="n">
        <x:v>792</x:v>
      </x:c>
      <x:c r="N1251" s="28" t="str">
        <x:v>top-left</x:v>
      </x:c>
      <x:c r="O1251" s="28" t="str">
        <x:v>PDF points</x:v>
      </x:c>
    </x:row>
    <x:row r="1252" ht="22" customHeight="1">
      <x:c r="A1252" s="28" t="str">
        <x:v>ANC-CAM-065-ASP-R05</x:v>
      </x:c>
      <x:c r="B1252" s="28" t="str">
        <x:v>ANC-CAM-065-ASP</x:v>
      </x:c>
      <x:c r="C1252" s="28" t="n">
        <x:v>9</x:v>
      </x:c>
      <x:c r="D1252" s="47" t="n">
        <x:v>72.066</x:v>
      </x:c>
      <x:c r="E1252" s="47" t="n">
        <x:v>409.38</x:v>
      </x:c>
      <x:c r="F1252" s="47" t="n">
        <x:v>283.746</x:v>
      </x:c>
      <x:c r="G1252" s="47" t="n">
        <x:v>423.566</x:v>
      </x:c>
      <x:c r="H1252" s="50" t="n">
        <x:v>0.117755</x:v>
      </x:c>
      <x:c r="I1252" s="50" t="n">
        <x:v>0.516894</x:v>
      </x:c>
      <x:c r="J1252" s="50" t="n">
        <x:v>0.463638</x:v>
      </x:c>
      <x:c r="K1252" s="50" t="n">
        <x:v>0.534806</x:v>
      </x:c>
      <x:c r="L1252" s="47" t="n">
        <x:v>612</x:v>
      </x:c>
      <x:c r="M1252" s="47" t="n">
        <x:v>792</x:v>
      </x:c>
      <x:c r="N1252" s="28" t="str">
        <x:v>top-left</x:v>
      </x:c>
      <x:c r="O1252" s="28" t="str">
        <x:v>PDF points</x:v>
      </x:c>
    </x:row>
    <x:row r="1253" ht="22" customHeight="1">
      <x:c r="A1253" s="28" t="str">
        <x:v>ANC-CAM-065-MECH-01-R01</x:v>
      </x:c>
      <x:c r="B1253" s="28" t="str">
        <x:v>ANC-CAM-065-MECH-01</x:v>
      </x:c>
      <x:c r="C1253" s="28" t="n">
        <x:v>8</x:v>
      </x:c>
      <x:c r="D1253" s="47" t="n">
        <x:v>241.32</x:v>
      </x:c>
      <x:c r="E1253" s="47" t="n">
        <x:v>183.01</x:v>
      </x:c>
      <x:c r="F1253" s="47" t="n">
        <x:v>486.945</x:v>
      </x:c>
      <x:c r="G1253" s="47" t="n">
        <x:v>197.196</x:v>
      </x:c>
      <x:c r="H1253" s="50" t="n">
        <x:v>0.394314</x:v>
      </x:c>
      <x:c r="I1253" s="50" t="n">
        <x:v>0.231073</x:v>
      </x:c>
      <x:c r="J1253" s="50" t="n">
        <x:v>0.795662</x:v>
      </x:c>
      <x:c r="K1253" s="50" t="n">
        <x:v>0.248985</x:v>
      </x:c>
      <x:c r="L1253" s="47" t="n">
        <x:v>612</x:v>
      </x:c>
      <x:c r="M1253" s="47" t="n">
        <x:v>792</x:v>
      </x:c>
      <x:c r="N1253" s="28" t="str">
        <x:v>top-left</x:v>
      </x:c>
      <x:c r="O1253" s="28" t="str">
        <x:v>PDF points</x:v>
      </x:c>
    </x:row>
    <x:row r="1254" ht="22" customHeight="1">
      <x:c r="A1254" s="28" t="str">
        <x:v>ANC-CAM-065-MECH-01-R02</x:v>
      </x:c>
      <x:c r="B1254" s="28" t="str">
        <x:v>ANC-CAM-065-MECH-01</x:v>
      </x:c>
      <x:c r="C1254" s="28" t="n">
        <x:v>8</x:v>
      </x:c>
      <x:c r="D1254" s="47" t="n">
        <x:v>241.32</x:v>
      </x:c>
      <x:c r="E1254" s="47" t="n">
        <x:v>196.45</x:v>
      </x:c>
      <x:c r="F1254" s="47" t="n">
        <x:v>479.077</x:v>
      </x:c>
      <x:c r="G1254" s="47" t="n">
        <x:v>210.636</x:v>
      </x:c>
      <x:c r="H1254" s="50" t="n">
        <x:v>0.394314</x:v>
      </x:c>
      <x:c r="I1254" s="50" t="n">
        <x:v>0.248042</x:v>
      </x:c>
      <x:c r="J1254" s="50" t="n">
        <x:v>0.782806</x:v>
      </x:c>
      <x:c r="K1254" s="50" t="n">
        <x:v>0.265955</x:v>
      </x:c>
      <x:c r="L1254" s="47" t="n">
        <x:v>612</x:v>
      </x:c>
      <x:c r="M1254" s="47" t="n">
        <x:v>792</x:v>
      </x:c>
      <x:c r="N1254" s="28" t="str">
        <x:v>top-left</x:v>
      </x:c>
      <x:c r="O1254" s="28" t="str">
        <x:v>PDF points</x:v>
      </x:c>
    </x:row>
    <x:row r="1255" ht="22" customHeight="1">
      <x:c r="A1255" s="28" t="str">
        <x:v>ANC-CAM-066-ASP-R01</x:v>
      </x:c>
      <x:c r="B1255" s="28" t="str">
        <x:v>ANC-CAM-066-ASP</x:v>
      </x:c>
      <x:c r="C1255" s="28" t="n">
        <x:v>9</x:v>
      </x:c>
      <x:c r="D1255" s="47" t="n">
        <x:v>218.777</x:v>
      </x:c>
      <x:c r="E1255" s="47" t="n">
        <x:v>355.637</x:v>
      </x:c>
      <x:c r="F1255" s="47" t="n">
        <x:v>540.081</x:v>
      </x:c>
      <x:c r="G1255" s="47" t="n">
        <x:v>369.824</x:v>
      </x:c>
      <x:c r="H1255" s="50" t="n">
        <x:v>0.357478</x:v>
      </x:c>
      <x:c r="I1255" s="50" t="n">
        <x:v>0.449037</x:v>
      </x:c>
      <x:c r="J1255" s="50" t="n">
        <x:v>0.882485</x:v>
      </x:c>
      <x:c r="K1255" s="50" t="n">
        <x:v>0.466949</x:v>
      </x:c>
      <x:c r="L1255" s="47" t="n">
        <x:v>612</x:v>
      </x:c>
      <x:c r="M1255" s="47" t="n">
        <x:v>792</x:v>
      </x:c>
      <x:c r="N1255" s="28" t="str">
        <x:v>top-left</x:v>
      </x:c>
      <x:c r="O1255" s="28" t="str">
        <x:v>PDF points</x:v>
      </x:c>
    </x:row>
    <x:row r="1256" ht="22" customHeight="1">
      <x:c r="A1256" s="28" t="str">
        <x:v>ANC-CAM-066-ASP-R02</x:v>
      </x:c>
      <x:c r="B1256" s="28" t="str">
        <x:v>ANC-CAM-066-ASP</x:v>
      </x:c>
      <x:c r="C1256" s="28" t="n">
        <x:v>9</x:v>
      </x:c>
      <x:c r="D1256" s="47" t="n">
        <x:v>72.033</x:v>
      </x:c>
      <x:c r="E1256" s="47" t="n">
        <x:v>369.073</x:v>
      </x:c>
      <x:c r="F1256" s="47" t="n">
        <x:v>540.188</x:v>
      </x:c>
      <x:c r="G1256" s="47" t="n">
        <x:v>383.259</x:v>
      </x:c>
      <x:c r="H1256" s="50" t="n">
        <x:v>0.117701</x:v>
      </x:c>
      <x:c r="I1256" s="50" t="n">
        <x:v>0.466001</x:v>
      </x:c>
      <x:c r="J1256" s="50" t="n">
        <x:v>0.882659</x:v>
      </x:c>
      <x:c r="K1256" s="50" t="n">
        <x:v>0.483913</x:v>
      </x:c>
      <x:c r="L1256" s="47" t="n">
        <x:v>612</x:v>
      </x:c>
      <x:c r="M1256" s="47" t="n">
        <x:v>792</x:v>
      </x:c>
      <x:c r="N1256" s="28" t="str">
        <x:v>top-left</x:v>
      </x:c>
      <x:c r="O1256" s="28" t="str">
        <x:v>PDF points</x:v>
      </x:c>
    </x:row>
    <x:row r="1257" ht="22" customHeight="1">
      <x:c r="A1257" s="28" t="str">
        <x:v>ANC-CAM-066-ASP-R03</x:v>
      </x:c>
      <x:c r="B1257" s="28" t="str">
        <x:v>ANC-CAM-066-ASP</x:v>
      </x:c>
      <x:c r="C1257" s="28" t="n">
        <x:v>9</x:v>
      </x:c>
      <x:c r="D1257" s="47" t="n">
        <x:v>72.044</x:v>
      </x:c>
      <x:c r="E1257" s="47" t="n">
        <x:v>382.508</x:v>
      </x:c>
      <x:c r="F1257" s="47" t="n">
        <x:v>540.142</x:v>
      </x:c>
      <x:c r="G1257" s="47" t="n">
        <x:v>396.695</x:v>
      </x:c>
      <x:c r="H1257" s="50" t="n">
        <x:v>0.117719</x:v>
      </x:c>
      <x:c r="I1257" s="50" t="n">
        <x:v>0.482965</x:v>
      </x:c>
      <x:c r="J1257" s="50" t="n">
        <x:v>0.882586</x:v>
      </x:c>
      <x:c r="K1257" s="50" t="n">
        <x:v>0.500877</x:v>
      </x:c>
      <x:c r="L1257" s="47" t="n">
        <x:v>612</x:v>
      </x:c>
      <x:c r="M1257" s="47" t="n">
        <x:v>792</x:v>
      </x:c>
      <x:c r="N1257" s="28" t="str">
        <x:v>top-left</x:v>
      </x:c>
      <x:c r="O1257" s="28" t="str">
        <x:v>PDF points</x:v>
      </x:c>
    </x:row>
    <x:row r="1258" ht="22" customHeight="1">
      <x:c r="A1258" s="28" t="str">
        <x:v>ANC-CAM-066-ASP-R04</x:v>
      </x:c>
      <x:c r="B1258" s="28" t="str">
        <x:v>ANC-CAM-066-ASP</x:v>
      </x:c>
      <x:c r="C1258" s="28" t="n">
        <x:v>9</x:v>
      </x:c>
      <x:c r="D1258" s="47" t="n">
        <x:v>72.055</x:v>
      </x:c>
      <x:c r="E1258" s="47" t="n">
        <x:v>395.944</x:v>
      </x:c>
      <x:c r="F1258" s="47" t="n">
        <x:v>540.235</x:v>
      </x:c>
      <x:c r="G1258" s="47" t="n">
        <x:v>410.131</x:v>
      </x:c>
      <x:c r="H1258" s="50" t="n">
        <x:v>0.117737</x:v>
      </x:c>
      <x:c r="I1258" s="50" t="n">
        <x:v>0.499929</x:v>
      </x:c>
      <x:c r="J1258" s="50" t="n">
        <x:v>0.882737</x:v>
      </x:c>
      <x:c r="K1258" s="50" t="n">
        <x:v>0.517842</x:v>
      </x:c>
      <x:c r="L1258" s="47" t="n">
        <x:v>612</x:v>
      </x:c>
      <x:c r="M1258" s="47" t="n">
        <x:v>792</x:v>
      </x:c>
      <x:c r="N1258" s="28" t="str">
        <x:v>top-left</x:v>
      </x:c>
      <x:c r="O1258" s="28" t="str">
        <x:v>PDF points</x:v>
      </x:c>
    </x:row>
    <x:row r="1259" ht="22" customHeight="1">
      <x:c r="A1259" s="28" t="str">
        <x:v>ANC-CAM-066-ASP-R05</x:v>
      </x:c>
      <x:c r="B1259" s="28" t="str">
        <x:v>ANC-CAM-066-ASP</x:v>
      </x:c>
      <x:c r="C1259" s="28" t="n">
        <x:v>9</x:v>
      </x:c>
      <x:c r="D1259" s="47" t="n">
        <x:v>72.066</x:v>
      </x:c>
      <x:c r="E1259" s="47" t="n">
        <x:v>409.38</x:v>
      </x:c>
      <x:c r="F1259" s="47" t="n">
        <x:v>283.746</x:v>
      </x:c>
      <x:c r="G1259" s="47" t="n">
        <x:v>423.566</x:v>
      </x:c>
      <x:c r="H1259" s="50" t="n">
        <x:v>0.117755</x:v>
      </x:c>
      <x:c r="I1259" s="50" t="n">
        <x:v>0.516894</x:v>
      </x:c>
      <x:c r="J1259" s="50" t="n">
        <x:v>0.463638</x:v>
      </x:c>
      <x:c r="K1259" s="50" t="n">
        <x:v>0.534806</x:v>
      </x:c>
      <x:c r="L1259" s="47" t="n">
        <x:v>612</x:v>
      </x:c>
      <x:c r="M1259" s="47" t="n">
        <x:v>792</x:v>
      </x:c>
      <x:c r="N1259" s="28" t="str">
        <x:v>top-left</x:v>
      </x:c>
      <x:c r="O1259" s="28" t="str">
        <x:v>PDF points</x:v>
      </x:c>
    </x:row>
    <x:row r="1260" ht="22" customHeight="1">
      <x:c r="A1260" s="28" t="str">
        <x:v>ANC-CAM-067-ASP-R01</x:v>
      </x:c>
      <x:c r="B1260" s="28" t="str">
        <x:v>ANC-CAM-067-ASP</x:v>
      </x:c>
      <x:c r="C1260" s="28" t="n">
        <x:v>5</x:v>
      </x:c>
      <x:c r="D1260" s="47" t="n">
        <x:v>77.64</x:v>
      </x:c>
      <x:c r="E1260" s="47" t="n">
        <x:v>122.89</x:v>
      </x:c>
      <x:c r="F1260" s="47" t="n">
        <x:v>249.291</x:v>
      </x:c>
      <x:c r="G1260" s="47" t="n">
        <x:v>137.076</x:v>
      </x:c>
      <x:c r="H1260" s="50" t="n">
        <x:v>0.126863</x:v>
      </x:c>
      <x:c r="I1260" s="50" t="n">
        <x:v>0.155164</x:v>
      </x:c>
      <x:c r="J1260" s="50" t="n">
        <x:v>0.407338</x:v>
      </x:c>
      <x:c r="K1260" s="50" t="n">
        <x:v>0.173076</x:v>
      </x:c>
      <x:c r="L1260" s="47" t="n">
        <x:v>612</x:v>
      </x:c>
      <x:c r="M1260" s="47" t="n">
        <x:v>792</x:v>
      </x:c>
      <x:c r="N1260" s="28" t="str">
        <x:v>top-left</x:v>
      </x:c>
      <x:c r="O1260" s="28" t="str">
        <x:v>PDF points</x:v>
      </x:c>
    </x:row>
    <x:row r="1261" ht="22" customHeight="1">
      <x:c r="A1261" s="28" t="str">
        <x:v>ANC-CAM-068-ASP-R01</x:v>
      </x:c>
      <x:c r="B1261" s="28" t="str">
        <x:v>ANC-CAM-068-ASP</x:v>
      </x:c>
      <x:c r="C1261" s="28" t="n">
        <x:v>5</x:v>
      </x:c>
      <x:c r="D1261" s="47" t="n">
        <x:v>77.64</x:v>
      </x:c>
      <x:c r="E1261" s="47" t="n">
        <x:v>150.25</x:v>
      </x:c>
      <x:c r="F1261" s="47" t="n">
        <x:v>249.295</x:v>
      </x:c>
      <x:c r="G1261" s="47" t="n">
        <x:v>164.436</x:v>
      </x:c>
      <x:c r="H1261" s="50" t="n">
        <x:v>0.126863</x:v>
      </x:c>
      <x:c r="I1261" s="50" t="n">
        <x:v>0.189709</x:v>
      </x:c>
      <x:c r="J1261" s="50" t="n">
        <x:v>0.407345</x:v>
      </x:c>
      <x:c r="K1261" s="50" t="n">
        <x:v>0.207621</x:v>
      </x:c>
      <x:c r="L1261" s="47" t="n">
        <x:v>612</x:v>
      </x:c>
      <x:c r="M1261" s="47" t="n">
        <x:v>792</x:v>
      </x:c>
      <x:c r="N1261" s="28" t="str">
        <x:v>top-left</x:v>
      </x:c>
      <x:c r="O1261" s="28" t="str">
        <x:v>PDF points</x:v>
      </x:c>
    </x:row>
    <x:row r="1262" ht="22" customHeight="1">
      <x:c r="A1262" s="28" t="str">
        <x:v>ANC-CAM-068-ASP-R02</x:v>
      </x:c>
      <x:c r="B1262" s="28" t="str">
        <x:v>ANC-CAM-068-ASP</x:v>
      </x:c>
      <x:c r="C1262" s="28" t="n">
        <x:v>5</x:v>
      </x:c>
      <x:c r="D1262" s="47" t="n">
        <x:v>77.64</x:v>
      </x:c>
      <x:c r="E1262" s="47" t="n">
        <x:v>163.69</x:v>
      </x:c>
      <x:c r="F1262" s="47" t="n">
        <x:v>161.449</x:v>
      </x:c>
      <x:c r="G1262" s="47" t="n">
        <x:v>177.876</x:v>
      </x:c>
      <x:c r="H1262" s="50" t="n">
        <x:v>0.126863</x:v>
      </x:c>
      <x:c r="I1262" s="50" t="n">
        <x:v>0.206679</x:v>
      </x:c>
      <x:c r="J1262" s="50" t="n">
        <x:v>0.263806</x:v>
      </x:c>
      <x:c r="K1262" s="50" t="n">
        <x:v>0.224591</x:v>
      </x:c>
      <x:c r="L1262" s="47" t="n">
        <x:v>612</x:v>
      </x:c>
      <x:c r="M1262" s="47" t="n">
        <x:v>792</x:v>
      </x:c>
      <x:c r="N1262" s="28" t="str">
        <x:v>top-left</x:v>
      </x:c>
      <x:c r="O1262" s="28" t="str">
        <x:v>PDF points</x:v>
      </x:c>
    </x:row>
    <x:row r="1263" ht="22" customHeight="1">
      <x:c r="A1263" s="28" t="str">
        <x:v>ANC-CAM-069-ASP-R01</x:v>
      </x:c>
      <x:c r="B1263" s="28" t="str">
        <x:v>ANC-CAM-069-ASP</x:v>
      </x:c>
      <x:c r="C1263" s="28" t="n">
        <x:v>5</x:v>
      </x:c>
      <x:c r="D1263" s="47" t="n">
        <x:v>77.64</x:v>
      </x:c>
      <x:c r="E1263" s="47" t="n">
        <x:v>177.61</x:v>
      </x:c>
      <x:c r="F1263" s="47" t="n">
        <x:v>224.82</x:v>
      </x:c>
      <x:c r="G1263" s="47" t="n">
        <x:v>191.796</x:v>
      </x:c>
      <x:c r="H1263" s="50" t="n">
        <x:v>0.126863</x:v>
      </x:c>
      <x:c r="I1263" s="50" t="n">
        <x:v>0.224255</x:v>
      </x:c>
      <x:c r="J1263" s="50" t="n">
        <x:v>0.367354</x:v>
      </x:c>
      <x:c r="K1263" s="50" t="n">
        <x:v>0.242167</x:v>
      </x:c>
      <x:c r="L1263" s="47" t="n">
        <x:v>612</x:v>
      </x:c>
      <x:c r="M1263" s="47" t="n">
        <x:v>792</x:v>
      </x:c>
      <x:c r="N1263" s="28" t="str">
        <x:v>top-left</x:v>
      </x:c>
      <x:c r="O1263" s="28" t="str">
        <x:v>PDF points</x:v>
      </x:c>
    </x:row>
    <x:row r="1264" ht="22" customHeight="1">
      <x:c r="A1264" s="28" t="str">
        <x:v>ANC-CAM-069-ASP-R02</x:v>
      </x:c>
      <x:c r="B1264" s="28" t="str">
        <x:v>ANC-CAM-069-ASP</x:v>
      </x:c>
      <x:c r="C1264" s="28" t="n">
        <x:v>5</x:v>
      </x:c>
      <x:c r="D1264" s="47" t="n">
        <x:v>77.64</x:v>
      </x:c>
      <x:c r="E1264" s="47" t="n">
        <x:v>191.05</x:v>
      </x:c>
      <x:c r="F1264" s="47" t="n">
        <x:v>132.56</x:v>
      </x:c>
      <x:c r="G1264" s="47" t="n">
        <x:v>205.236</x:v>
      </x:c>
      <x:c r="H1264" s="50" t="n">
        <x:v>0.126863</x:v>
      </x:c>
      <x:c r="I1264" s="50" t="n">
        <x:v>0.241224</x:v>
      </x:c>
      <x:c r="J1264" s="50" t="n">
        <x:v>0.216601</x:v>
      </x:c>
      <x:c r="K1264" s="50" t="n">
        <x:v>0.259136</x:v>
      </x:c>
      <x:c r="L1264" s="47" t="n">
        <x:v>612</x:v>
      </x:c>
      <x:c r="M1264" s="47" t="n">
        <x:v>792</x:v>
      </x:c>
      <x:c r="N1264" s="28" t="str">
        <x:v>top-left</x:v>
      </x:c>
      <x:c r="O1264" s="28" t="str">
        <x:v>PDF points</x:v>
      </x:c>
    </x:row>
    <x:row r="1265" ht="22" customHeight="1">
      <x:c r="A1265" s="28" t="str">
        <x:v>ANC-CAM-070-ASP-R01</x:v>
      </x:c>
      <x:c r="B1265" s="28" t="str">
        <x:v>ANC-CAM-070-ASP</x:v>
      </x:c>
      <x:c r="C1265" s="28" t="n">
        <x:v>4</x:v>
      </x:c>
      <x:c r="D1265" s="47" t="n">
        <x:v>285.017</x:v>
      </x:c>
      <x:c r="E1265" s="47" t="n">
        <x:v>232.681</x:v>
      </x:c>
      <x:c r="F1265" s="47" t="n">
        <x:v>540.091</x:v>
      </x:c>
      <x:c r="G1265" s="47" t="n">
        <x:v>246.867</x:v>
      </x:c>
      <x:c r="H1265" s="50" t="n">
        <x:v>0.465714</x:v>
      </x:c>
      <x:c r="I1265" s="50" t="n">
        <x:v>0.293789</x:v>
      </x:c>
      <x:c r="J1265" s="50" t="n">
        <x:v>0.882502</x:v>
      </x:c>
      <x:c r="K1265" s="50" t="n">
        <x:v>0.311701</x:v>
      </x:c>
      <x:c r="L1265" s="47" t="n">
        <x:v>612</x:v>
      </x:c>
      <x:c r="M1265" s="47" t="n">
        <x:v>792</x:v>
      </x:c>
      <x:c r="N1265" s="28" t="str">
        <x:v>top-left</x:v>
      </x:c>
      <x:c r="O1265" s="28" t="str">
        <x:v>PDF points</x:v>
      </x:c>
    </x:row>
    <x:row r="1266" ht="22" customHeight="1">
      <x:c r="A1266" s="28" t="str">
        <x:v>ANC-CAM-070-ASP-R02</x:v>
      </x:c>
      <x:c r="B1266" s="28" t="str">
        <x:v>ANC-CAM-070-ASP</x:v>
      </x:c>
      <x:c r="C1266" s="28" t="n">
        <x:v>4</x:v>
      </x:c>
      <x:c r="D1266" s="47" t="n">
        <x:v>72.012</x:v>
      </x:c>
      <x:c r="E1266" s="47" t="n">
        <x:v>246.006</x:v>
      </x:c>
      <x:c r="F1266" s="47" t="n">
        <x:v>540.068</x:v>
      </x:c>
      <x:c r="G1266" s="47" t="n">
        <x:v>260.193</x:v>
      </x:c>
      <x:c r="H1266" s="50" t="n">
        <x:v>0.117666</x:v>
      </x:c>
      <x:c r="I1266" s="50" t="n">
        <x:v>0.310614</x:v>
      </x:c>
      <x:c r="J1266" s="50" t="n">
        <x:v>0.882463</x:v>
      </x:c>
      <x:c r="K1266" s="50" t="n">
        <x:v>0.328526</x:v>
      </x:c>
      <x:c r="L1266" s="47" t="n">
        <x:v>612</x:v>
      </x:c>
      <x:c r="M1266" s="47" t="n">
        <x:v>792</x:v>
      </x:c>
      <x:c r="N1266" s="28" t="str">
        <x:v>top-left</x:v>
      </x:c>
      <x:c r="O1266" s="28" t="str">
        <x:v>PDF points</x:v>
      </x:c>
    </x:row>
    <x:row r="1267" ht="22" customHeight="1">
      <x:c r="A1267" s="28" t="str">
        <x:v>ANC-CAM-070-ASP-R03</x:v>
      </x:c>
      <x:c r="B1267" s="28" t="str">
        <x:v>ANC-CAM-070-ASP</x:v>
      </x:c>
      <x:c r="C1267" s="28" t="n">
        <x:v>4</x:v>
      </x:c>
      <x:c r="D1267" s="47" t="n">
        <x:v>72.012</x:v>
      </x:c>
      <x:c r="E1267" s="47" t="n">
        <x:v>259.442</x:v>
      </x:c>
      <x:c r="F1267" s="47" t="n">
        <x:v>285.1</x:v>
      </x:c>
      <x:c r="G1267" s="47" t="n">
        <x:v>273.628</x:v>
      </x:c>
      <x:c r="H1267" s="50" t="n">
        <x:v>0.117666</x:v>
      </x:c>
      <x:c r="I1267" s="50" t="n">
        <x:v>0.327578</x:v>
      </x:c>
      <x:c r="J1267" s="50" t="n">
        <x:v>0.46585</x:v>
      </x:c>
      <x:c r="K1267" s="50" t="n">
        <x:v>0.34549</x:v>
      </x:c>
      <x:c r="L1267" s="47" t="n">
        <x:v>612</x:v>
      </x:c>
      <x:c r="M1267" s="47" t="n">
        <x:v>792</x:v>
      </x:c>
      <x:c r="N1267" s="28" t="str">
        <x:v>top-left</x:v>
      </x:c>
      <x:c r="O1267" s="28" t="str">
        <x:v>PDF points</x:v>
      </x:c>
    </x:row>
    <x:row r="1268" ht="22" customHeight="1">
      <x:c r="A1268" s="28" t="str">
        <x:v>ANC-CAM-070-ASP-R04</x:v>
      </x:c>
      <x:c r="B1268" s="28" t="str">
        <x:v>ANC-CAM-070-ASP</x:v>
      </x:c>
      <x:c r="C1268" s="28" t="n">
        <x:v>4</x:v>
      </x:c>
      <x:c r="D1268" s="47" t="n">
        <x:v>72.004</x:v>
      </x:c>
      <x:c r="E1268" s="47" t="n">
        <x:v>280.933</x:v>
      </x:c>
      <x:c r="F1268" s="47" t="n">
        <x:v>145.179</x:v>
      </x:c>
      <x:c r="G1268" s="47" t="n">
        <x:v>295.12</x:v>
      </x:c>
      <x:c r="H1268" s="50" t="n">
        <x:v>0.117653</x:v>
      </x:c>
      <x:c r="I1268" s="50" t="n">
        <x:v>0.354714</x:v>
      </x:c>
      <x:c r="J1268" s="50" t="n">
        <x:v>0.237221</x:v>
      </x:c>
      <x:c r="K1268" s="50" t="n">
        <x:v>0.372626</x:v>
      </x:c>
      <x:c r="L1268" s="47" t="n">
        <x:v>612</x:v>
      </x:c>
      <x:c r="M1268" s="47" t="n">
        <x:v>792</x:v>
      </x:c>
      <x:c r="N1268" s="28" t="str">
        <x:v>top-left</x:v>
      </x:c>
      <x:c r="O1268" s="28" t="str">
        <x:v>PDF points</x:v>
      </x:c>
    </x:row>
    <x:row r="1269" ht="22" customHeight="1">
      <x:c r="A1269" s="28" t="str">
        <x:v>ANC-CAM-070-ASP-R05</x:v>
      </x:c>
      <x:c r="B1269" s="28" t="str">
        <x:v>ANC-CAM-070-ASP</x:v>
      </x:c>
      <x:c r="C1269" s="28" t="n">
        <x:v>4</x:v>
      </x:c>
      <x:c r="D1269" s="47" t="n">
        <x:v>72.004</x:v>
      </x:c>
      <x:c r="E1269" s="47" t="n">
        <x:v>307.805</x:v>
      </x:c>
      <x:c r="F1269" s="47" t="n">
        <x:v>540.104</x:v>
      </x:c>
      <x:c r="G1269" s="47" t="n">
        <x:v>321.991</x:v>
      </x:c>
      <x:c r="H1269" s="50" t="n">
        <x:v>0.117653</x:v>
      </x:c>
      <x:c r="I1269" s="50" t="n">
        <x:v>0.388642</x:v>
      </x:c>
      <x:c r="J1269" s="50" t="n">
        <x:v>0.882523</x:v>
      </x:c>
      <x:c r="K1269" s="50" t="n">
        <x:v>0.406554</x:v>
      </x:c>
      <x:c r="L1269" s="47" t="n">
        <x:v>612</x:v>
      </x:c>
      <x:c r="M1269" s="47" t="n">
        <x:v>792</x:v>
      </x:c>
      <x:c r="N1269" s="28" t="str">
        <x:v>top-left</x:v>
      </x:c>
      <x:c r="O1269" s="28" t="str">
        <x:v>PDF points</x:v>
      </x:c>
    </x:row>
    <x:row r="1270" ht="22" customHeight="1">
      <x:c r="A1270" s="28" t="str">
        <x:v>ANC-CAM-070-ASP-R06</x:v>
      </x:c>
      <x:c r="B1270" s="28" t="str">
        <x:v>ANC-CAM-070-ASP</x:v>
      </x:c>
      <x:c r="C1270" s="28" t="n">
        <x:v>4</x:v>
      </x:c>
      <x:c r="D1270" s="47" t="n">
        <x:v>72.015</x:v>
      </x:c>
      <x:c r="E1270" s="47" t="n">
        <x:v>321.24</x:v>
      </x:c>
      <x:c r="F1270" s="47" t="n">
        <x:v>540.211</x:v>
      </x:c>
      <x:c r="G1270" s="47" t="n">
        <x:v>335.427</x:v>
      </x:c>
      <x:c r="H1270" s="50" t="n">
        <x:v>0.117671</x:v>
      </x:c>
      <x:c r="I1270" s="50" t="n">
        <x:v>0.405607</x:v>
      </x:c>
      <x:c r="J1270" s="50" t="n">
        <x:v>0.882698</x:v>
      </x:c>
      <x:c r="K1270" s="50" t="n">
        <x:v>0.423519</x:v>
      </x:c>
      <x:c r="L1270" s="47" t="n">
        <x:v>612</x:v>
      </x:c>
      <x:c r="M1270" s="47" t="n">
        <x:v>792</x:v>
      </x:c>
      <x:c r="N1270" s="28" t="str">
        <x:v>top-left</x:v>
      </x:c>
      <x:c r="O1270" s="28" t="str">
        <x:v>PDF points</x:v>
      </x:c>
    </x:row>
    <x:row r="1271" ht="22" customHeight="1">
      <x:c r="A1271" s="28" t="str">
        <x:v>ANC-CAM-070-ASP-R07</x:v>
      </x:c>
      <x:c r="B1271" s="28" t="str">
        <x:v>ANC-CAM-070-ASP</x:v>
      </x:c>
      <x:c r="C1271" s="28" t="n">
        <x:v>4</x:v>
      </x:c>
      <x:c r="D1271" s="47" t="n">
        <x:v>72.026</x:v>
      </x:c>
      <x:c r="E1271" s="47" t="n">
        <x:v>334.566</x:v>
      </x:c>
      <x:c r="F1271" s="47" t="n">
        <x:v>540.129</x:v>
      </x:c>
      <x:c r="G1271" s="47" t="n">
        <x:v>348.752</x:v>
      </x:c>
      <x:c r="H1271" s="50" t="n">
        <x:v>0.117689</x:v>
      </x:c>
      <x:c r="I1271" s="50" t="n">
        <x:v>0.422431</x:v>
      </x:c>
      <x:c r="J1271" s="50" t="n">
        <x:v>0.882563</x:v>
      </x:c>
      <x:c r="K1271" s="50" t="n">
        <x:v>0.440344</x:v>
      </x:c>
      <x:c r="L1271" s="47" t="n">
        <x:v>612</x:v>
      </x:c>
      <x:c r="M1271" s="47" t="n">
        <x:v>792</x:v>
      </x:c>
      <x:c r="N1271" s="28" t="str">
        <x:v>top-left</x:v>
      </x:c>
      <x:c r="O1271" s="28" t="str">
        <x:v>PDF points</x:v>
      </x:c>
    </x:row>
    <x:row r="1272" ht="22" customHeight="1">
      <x:c r="A1272" s="28" t="str">
        <x:v>ANC-CAM-070-ASP-R08</x:v>
      </x:c>
      <x:c r="B1272" s="28" t="str">
        <x:v>ANC-CAM-070-ASP</x:v>
      </x:c>
      <x:c r="C1272" s="28" t="n">
        <x:v>4</x:v>
      </x:c>
      <x:c r="D1272" s="47" t="n">
        <x:v>72.015</x:v>
      </x:c>
      <x:c r="E1272" s="47" t="n">
        <x:v>348.001</x:v>
      </x:c>
      <x:c r="F1272" s="47" t="n">
        <x:v>131.562</x:v>
      </x:c>
      <x:c r="G1272" s="47" t="n">
        <x:v>362.188</x:v>
      </x:c>
      <x:c r="H1272" s="50" t="n">
        <x:v>0.117671</x:v>
      </x:c>
      <x:c r="I1272" s="50" t="n">
        <x:v>0.439396</x:v>
      </x:c>
      <x:c r="J1272" s="50" t="n">
        <x:v>0.214971</x:v>
      </x:c>
      <x:c r="K1272" s="50" t="n">
        <x:v>0.457308</x:v>
      </x:c>
      <x:c r="L1272" s="47" t="n">
        <x:v>612</x:v>
      </x:c>
      <x:c r="M1272" s="47" t="n">
        <x:v>792</x:v>
      </x:c>
      <x:c r="N1272" s="28" t="str">
        <x:v>top-left</x:v>
      </x:c>
      <x:c r="O1272" s="28" t="str">
        <x:v>PDF points</x:v>
      </x:c>
    </x:row>
    <x:row r="1273" ht="22" customHeight="1">
      <x:c r="A1273" s="28" t="str">
        <x:v>ANC-CAM-071-ASP-R01</x:v>
      </x:c>
      <x:c r="B1273" s="28" t="str">
        <x:v>ANC-CAM-071-ASP</x:v>
      </x:c>
      <x:c r="C1273" s="28" t="n">
        <x:v>4</x:v>
      </x:c>
      <x:c r="D1273" s="47" t="n">
        <x:v>72.037</x:v>
      </x:c>
      <x:c r="E1273" s="47" t="n">
        <x:v>388.308</x:v>
      </x:c>
      <x:c r="F1273" s="47" t="n">
        <x:v>152.625</x:v>
      </x:c>
      <x:c r="G1273" s="47" t="n">
        <x:v>402.495</x:v>
      </x:c>
      <x:c r="H1273" s="50" t="n">
        <x:v>0.117707</x:v>
      </x:c>
      <x:c r="I1273" s="50" t="n">
        <x:v>0.490288</x:v>
      </x:c>
      <x:c r="J1273" s="50" t="n">
        <x:v>0.249387</x:v>
      </x:c>
      <x:c r="K1273" s="50" t="n">
        <x:v>0.5082</x:v>
      </x:c>
      <x:c r="L1273" s="47" t="n">
        <x:v>612</x:v>
      </x:c>
      <x:c r="M1273" s="47" t="n">
        <x:v>792</x:v>
      </x:c>
      <x:c r="N1273" s="28" t="str">
        <x:v>top-left</x:v>
      </x:c>
      <x:c r="O1273" s="28" t="str">
        <x:v>PDF points</x:v>
      </x:c>
    </x:row>
    <x:row r="1274" ht="22" customHeight="1">
      <x:c r="A1274" s="28" t="str">
        <x:v>ANC-CAM-071-ASP-R02</x:v>
      </x:c>
      <x:c r="B1274" s="28" t="str">
        <x:v>ANC-CAM-071-ASP</x:v>
      </x:c>
      <x:c r="C1274" s="28" t="n">
        <x:v>4</x:v>
      </x:c>
      <x:c r="D1274" s="47" t="n">
        <x:v>72.037</x:v>
      </x:c>
      <x:c r="E1274" s="47" t="n">
        <x:v>415.18</x:v>
      </x:c>
      <x:c r="F1274" s="47" t="n">
        <x:v>540.101</x:v>
      </x:c>
      <x:c r="G1274" s="47" t="n">
        <x:v>429.366</x:v>
      </x:c>
      <x:c r="H1274" s="50" t="n">
        <x:v>0.117707</x:v>
      </x:c>
      <x:c r="I1274" s="50" t="n">
        <x:v>0.524217</x:v>
      </x:c>
      <x:c r="J1274" s="50" t="n">
        <x:v>0.882518</x:v>
      </x:c>
      <x:c r="K1274" s="50" t="n">
        <x:v>0.542129</x:v>
      </x:c>
      <x:c r="L1274" s="47" t="n">
        <x:v>612</x:v>
      </x:c>
      <x:c r="M1274" s="47" t="n">
        <x:v>792</x:v>
      </x:c>
      <x:c r="N1274" s="28" t="str">
        <x:v>top-left</x:v>
      </x:c>
      <x:c r="O1274" s="28" t="str">
        <x:v>PDF points</x:v>
      </x:c>
    </x:row>
    <x:row r="1275" ht="22" customHeight="1">
      <x:c r="A1275" s="28" t="str">
        <x:v>ANC-CAM-071-ASP-R03</x:v>
      </x:c>
      <x:c r="B1275" s="28" t="str">
        <x:v>ANC-CAM-071-ASP</x:v>
      </x:c>
      <x:c r="C1275" s="28" t="n">
        <x:v>4</x:v>
      </x:c>
      <x:c r="D1275" s="47" t="n">
        <x:v>72.037</x:v>
      </x:c>
      <x:c r="E1275" s="47" t="n">
        <x:v>428.615</x:v>
      </x:c>
      <x:c r="F1275" s="47" t="n">
        <x:v>540.102</x:v>
      </x:c>
      <x:c r="G1275" s="47" t="n">
        <x:v>442.802</x:v>
      </x:c>
      <x:c r="H1275" s="50" t="n">
        <x:v>0.117707</x:v>
      </x:c>
      <x:c r="I1275" s="50" t="n">
        <x:v>0.541181</x:v>
      </x:c>
      <x:c r="J1275" s="50" t="n">
        <x:v>0.88252</x:v>
      </x:c>
      <x:c r="K1275" s="50" t="n">
        <x:v>0.559093</x:v>
      </x:c>
      <x:c r="L1275" s="47" t="n">
        <x:v>612</x:v>
      </x:c>
      <x:c r="M1275" s="47" t="n">
        <x:v>792</x:v>
      </x:c>
      <x:c r="N1275" s="28" t="str">
        <x:v>top-left</x:v>
      </x:c>
      <x:c r="O1275" s="28" t="str">
        <x:v>PDF points</x:v>
      </x:c>
    </x:row>
    <x:row r="1276" ht="22" customHeight="1">
      <x:c r="A1276" s="28" t="str">
        <x:v>ANC-CAM-071-ASP-R04</x:v>
      </x:c>
      <x:c r="B1276" s="28" t="str">
        <x:v>ANC-CAM-071-ASP</x:v>
      </x:c>
      <x:c r="C1276" s="28" t="n">
        <x:v>4</x:v>
      </x:c>
      <x:c r="D1276" s="47" t="n">
        <x:v>72.037</x:v>
      </x:c>
      <x:c r="E1276" s="47" t="n">
        <x:v>442.051</x:v>
      </x:c>
      <x:c r="F1276" s="47" t="n">
        <x:v>540.104</x:v>
      </x:c>
      <x:c r="G1276" s="47" t="n">
        <x:v>456.237</x:v>
      </x:c>
      <x:c r="H1276" s="50" t="n">
        <x:v>0.117707</x:v>
      </x:c>
      <x:c r="I1276" s="50" t="n">
        <x:v>0.558145</x:v>
      </x:c>
      <x:c r="J1276" s="50" t="n">
        <x:v>0.882523</x:v>
      </x:c>
      <x:c r="K1276" s="50" t="n">
        <x:v>0.576057</x:v>
      </x:c>
      <x:c r="L1276" s="47" t="n">
        <x:v>612</x:v>
      </x:c>
      <x:c r="M1276" s="47" t="n">
        <x:v>792</x:v>
      </x:c>
      <x:c r="N1276" s="28" t="str">
        <x:v>top-left</x:v>
      </x:c>
      <x:c r="O1276" s="28" t="str">
        <x:v>PDF points</x:v>
      </x:c>
    </x:row>
    <x:row r="1277" ht="22" customHeight="1">
      <x:c r="A1277" s="28" t="str">
        <x:v>ANC-CAM-071-ASP-R05</x:v>
      </x:c>
      <x:c r="B1277" s="28" t="str">
        <x:v>ANC-CAM-071-ASP</x:v>
      </x:c>
      <x:c r="C1277" s="28" t="n">
        <x:v>4</x:v>
      </x:c>
      <x:c r="D1277" s="47" t="n">
        <x:v>72.037</x:v>
      </x:c>
      <x:c r="E1277" s="47" t="n">
        <x:v>455.487</x:v>
      </x:c>
      <x:c r="F1277" s="47" t="n">
        <x:v>284.709</x:v>
      </x:c>
      <x:c r="G1277" s="47" t="n">
        <x:v>469.673</x:v>
      </x:c>
      <x:c r="H1277" s="50" t="n">
        <x:v>0.117707</x:v>
      </x:c>
      <x:c r="I1277" s="50" t="n">
        <x:v>0.57511</x:v>
      </x:c>
      <x:c r="J1277" s="50" t="n">
        <x:v>0.465211</x:v>
      </x:c>
      <x:c r="K1277" s="50" t="n">
        <x:v>0.593022</x:v>
      </x:c>
      <x:c r="L1277" s="47" t="n">
        <x:v>612</x:v>
      </x:c>
      <x:c r="M1277" s="47" t="n">
        <x:v>792</x:v>
      </x:c>
      <x:c r="N1277" s="28" t="str">
        <x:v>top-left</x:v>
      </x:c>
      <x:c r="O1277" s="28" t="str">
        <x:v>PDF points</x:v>
      </x:c>
    </x:row>
    <x:row r="1278" ht="22" customHeight="1">
      <x:c r="A1278" s="28" t="str">
        <x:v>ANC-CAM-072-ASP-R01</x:v>
      </x:c>
      <x:c r="B1278" s="28" t="str">
        <x:v>ANC-CAM-072-ASP</x:v>
      </x:c>
      <x:c r="C1278" s="28" t="n">
        <x:v>5</x:v>
      </x:c>
      <x:c r="D1278" s="47" t="n">
        <x:v>414.84</x:v>
      </x:c>
      <x:c r="E1278" s="47" t="n">
        <x:v>386.41</x:v>
      </x:c>
      <x:c r="F1278" s="47" t="n">
        <x:v>517.106</x:v>
      </x:c>
      <x:c r="G1278" s="47" t="n">
        <x:v>400.596</x:v>
      </x:c>
      <x:c r="H1278" s="50" t="n">
        <x:v>0.677843</x:v>
      </x:c>
      <x:c r="I1278" s="50" t="n">
        <x:v>0.487891</x:v>
      </x:c>
      <x:c r="J1278" s="50" t="n">
        <x:v>0.844944</x:v>
      </x:c>
      <x:c r="K1278" s="50" t="n">
        <x:v>0.505803</x:v>
      </x:c>
      <x:c r="L1278" s="47" t="n">
        <x:v>612</x:v>
      </x:c>
      <x:c r="M1278" s="47" t="n">
        <x:v>792</x:v>
      </x:c>
      <x:c r="N1278" s="28" t="str">
        <x:v>top-left</x:v>
      </x:c>
      <x:c r="O1278" s="28" t="str">
        <x:v>PDF points</x:v>
      </x:c>
    </x:row>
    <x:row r="1279" ht="22" customHeight="1">
      <x:c r="A1279" s="28" t="str">
        <x:v>ANC-CAM-072-ASP-R02</x:v>
      </x:c>
      <x:c r="B1279" s="28" t="str">
        <x:v>ANC-CAM-072-ASP</x:v>
      </x:c>
      <x:c r="C1279" s="28" t="n">
        <x:v>5</x:v>
      </x:c>
      <x:c r="D1279" s="47" t="n">
        <x:v>414.84</x:v>
      </x:c>
      <x:c r="E1279" s="47" t="n">
        <x:v>413.175</x:v>
      </x:c>
      <x:c r="F1279" s="47" t="n">
        <x:v>534.68</x:v>
      </x:c>
      <x:c r="G1279" s="47" t="n">
        <x:v>427.361</x:v>
      </x:c>
      <x:c r="H1279" s="50" t="n">
        <x:v>0.677843</x:v>
      </x:c>
      <x:c r="I1279" s="50" t="n">
        <x:v>0.521685</x:v>
      </x:c>
      <x:c r="J1279" s="50" t="n">
        <x:v>0.873661</x:v>
      </x:c>
      <x:c r="K1279" s="50" t="n">
        <x:v>0.539598</x:v>
      </x:c>
      <x:c r="L1279" s="47" t="n">
        <x:v>612</x:v>
      </x:c>
      <x:c r="M1279" s="47" t="n">
        <x:v>792</x:v>
      </x:c>
      <x:c r="N1279" s="28" t="str">
        <x:v>top-left</x:v>
      </x:c>
      <x:c r="O1279" s="28" t="str">
        <x:v>PDF points</x:v>
      </x:c>
    </x:row>
    <x:row r="1280" ht="22" customHeight="1">
      <x:c r="A1280" s="28" t="str">
        <x:v>ANC-JAM-005-ASP-R01</x:v>
      </x:c>
      <x:c r="B1280" s="28" t="str">
        <x:v>ANC-JAM-005-ASP</x:v>
      </x:c>
      <x:c r="C1280" s="28" t="n">
        <x:v>4</x:v>
      </x:c>
      <x:c r="D1280" s="47" t="n">
        <x:v>116.3</x:v>
      </x:c>
      <x:c r="E1280" s="47" t="n">
        <x:v>305.453</x:v>
      </x:c>
      <x:c r="F1280" s="47" t="n">
        <x:v>126.092</x:v>
      </x:c>
      <x:c r="G1280" s="47" t="n">
        <x:v>317.675</x:v>
      </x:c>
      <x:c r="H1280" s="50" t="n">
        <x:v>0.190033</x:v>
      </x:c>
      <x:c r="I1280" s="50" t="n">
        <x:v>0.385673</x:v>
      </x:c>
      <x:c r="J1280" s="50" t="n">
        <x:v>0.206033</x:v>
      </x:c>
      <x:c r="K1280" s="50" t="n">
        <x:v>0.401104</x:v>
      </x:c>
      <x:c r="L1280" s="47" t="n">
        <x:v>612</x:v>
      </x:c>
      <x:c r="M1280" s="47" t="n">
        <x:v>792</x:v>
      </x:c>
      <x:c r="N1280" s="28" t="str">
        <x:v>top-left</x:v>
      </x:c>
      <x:c r="O1280" s="28" t="str">
        <x:v>PDF points</x:v>
      </x:c>
    </x:row>
    <x:row r="1281" ht="22" customHeight="1">
      <x:c r="A1281" s="28" t="str">
        <x:v>ANC-JAM-005-ASP-R02</x:v>
      </x:c>
      <x:c r="B1281" s="28" t="str">
        <x:v>ANC-JAM-005-ASP</x:v>
      </x:c>
      <x:c r="C1281" s="28" t="n">
        <x:v>4</x:v>
      </x:c>
      <x:c r="D1281" s="47" t="n">
        <x:v>144.02</x:v>
      </x:c>
      <x:c r="E1281" s="47" t="n">
        <x:v>304.598</x:v>
      </x:c>
      <x:c r="F1281" s="47" t="n">
        <x:v>539.822</x:v>
      </x:c>
      <x:c r="G1281" s="47" t="n">
        <x:v>317.882</x:v>
      </x:c>
      <x:c r="H1281" s="50" t="n">
        <x:v>0.235327</x:v>
      </x:c>
      <x:c r="I1281" s="50" t="n">
        <x:v>0.384593</x:v>
      </x:c>
      <x:c r="J1281" s="50" t="n">
        <x:v>0.882062</x:v>
      </x:c>
      <x:c r="K1281" s="50" t="n">
        <x:v>0.401366</x:v>
      </x:c>
      <x:c r="L1281" s="47" t="n">
        <x:v>612</x:v>
      </x:c>
      <x:c r="M1281" s="47" t="n">
        <x:v>792</x:v>
      </x:c>
      <x:c r="N1281" s="28" t="str">
        <x:v>top-left</x:v>
      </x:c>
      <x:c r="O1281" s="28" t="str">
        <x:v>PDF points</x:v>
      </x:c>
    </x:row>
    <x:row r="1282" ht="22" customHeight="1">
      <x:c r="A1282" s="28" t="str">
        <x:v>ANC-JAM-005-ASP-R03</x:v>
      </x:c>
      <x:c r="B1282" s="28" t="str">
        <x:v>ANC-JAM-005-ASP</x:v>
      </x:c>
      <x:c r="C1282" s="28" t="n">
        <x:v>4</x:v>
      </x:c>
      <x:c r="D1282" s="47" t="n">
        <x:v>144.02</x:v>
      </x:c>
      <x:c r="E1282" s="47" t="n">
        <x:v>319.358</x:v>
      </x:c>
      <x:c r="F1282" s="47" t="n">
        <x:v>539.95</x:v>
      </x:c>
      <x:c r="G1282" s="47" t="n">
        <x:v>332.642</x:v>
      </x:c>
      <x:c r="H1282" s="50" t="n">
        <x:v>0.235327</x:v>
      </x:c>
      <x:c r="I1282" s="50" t="n">
        <x:v>0.40323</x:v>
      </x:c>
      <x:c r="J1282" s="50" t="n">
        <x:v>0.882271</x:v>
      </x:c>
      <x:c r="K1282" s="50" t="n">
        <x:v>0.420003</x:v>
      </x:c>
      <x:c r="L1282" s="47" t="n">
        <x:v>612</x:v>
      </x:c>
      <x:c r="M1282" s="47" t="n">
        <x:v>792</x:v>
      </x:c>
      <x:c r="N1282" s="28" t="str">
        <x:v>top-left</x:v>
      </x:c>
      <x:c r="O1282" s="28" t="str">
        <x:v>PDF points</x:v>
      </x:c>
    </x:row>
    <x:row r="1283" ht="22" customHeight="1">
      <x:c r="A1283" s="28" t="str">
        <x:v>ANC-JAM-005-ASP-R04</x:v>
      </x:c>
      <x:c r="B1283" s="28" t="str">
        <x:v>ANC-JAM-005-ASP</x:v>
      </x:c>
      <x:c r="C1283" s="28" t="n">
        <x:v>4</x:v>
      </x:c>
      <x:c r="D1283" s="47" t="n">
        <x:v>144.02</x:v>
      </x:c>
      <x:c r="E1283" s="47" t="n">
        <x:v>334.118</x:v>
      </x:c>
      <x:c r="F1283" s="47" t="n">
        <x:v>256.544</x:v>
      </x:c>
      <x:c r="G1283" s="47" t="n">
        <x:v>347.402</x:v>
      </x:c>
      <x:c r="H1283" s="50" t="n">
        <x:v>0.235327</x:v>
      </x:c>
      <x:c r="I1283" s="50" t="n">
        <x:v>0.421866</x:v>
      </x:c>
      <x:c r="J1283" s="50" t="n">
        <x:v>0.41919</x:v>
      </x:c>
      <x:c r="K1283" s="50" t="n">
        <x:v>0.438639</x:v>
      </x:c>
      <x:c r="L1283" s="47" t="n">
        <x:v>612</x:v>
      </x:c>
      <x:c r="M1283" s="47" t="n">
        <x:v>792</x:v>
      </x:c>
      <x:c r="N1283" s="28" t="str">
        <x:v>top-left</x:v>
      </x:c>
      <x:c r="O1283" s="28" t="str">
        <x:v>PDF points</x:v>
      </x:c>
    </x:row>
    <x:row r="1284" ht="22" customHeight="1">
      <x:c r="A1284" s="28" t="str">
        <x:v>ANC-JAM-006-ASP-R01</x:v>
      </x:c>
      <x:c r="B1284" s="28" t="str">
        <x:v>ANC-JAM-006-ASP</x:v>
      </x:c>
      <x:c r="C1284" s="28" t="n">
        <x:v>5</x:v>
      </x:c>
      <x:c r="D1284" s="47" t="n">
        <x:v>90.024</x:v>
      </x:c>
      <x:c r="E1284" s="47" t="n">
        <x:v>398.078</x:v>
      </x:c>
      <x:c r="F1284" s="47" t="n">
        <x:v>532.532</x:v>
      </x:c>
      <x:c r="G1284" s="47" t="n">
        <x:v>411.53</x:v>
      </x:c>
      <x:c r="H1284" s="50" t="n">
        <x:v>0.147098</x:v>
      </x:c>
      <x:c r="I1284" s="50" t="n">
        <x:v>0.502624</x:v>
      </x:c>
      <x:c r="J1284" s="50" t="n">
        <x:v>0.87015</x:v>
      </x:c>
      <x:c r="K1284" s="50" t="n">
        <x:v>0.519609</x:v>
      </x:c>
      <x:c r="L1284" s="47" t="n">
        <x:v>612</x:v>
      </x:c>
      <x:c r="M1284" s="47" t="n">
        <x:v>792</x:v>
      </x:c>
      <x:c r="N1284" s="28" t="str">
        <x:v>top-left</x:v>
      </x:c>
      <x:c r="O1284" s="28" t="str">
        <x:v>PDF points</x:v>
      </x:c>
    </x:row>
    <x:row r="1285" ht="22" customHeight="1">
      <x:c r="A1285" s="28" t="str">
        <x:v>ANC-JAM-006-ASP-R02</x:v>
      </x:c>
      <x:c r="B1285" s="28" t="str">
        <x:v>ANC-JAM-006-ASP</x:v>
      </x:c>
      <x:c r="C1285" s="28" t="n">
        <x:v>5</x:v>
      </x:c>
      <x:c r="D1285" s="47" t="n">
        <x:v>108.02</x:v>
      </x:c>
      <x:c r="E1285" s="47" t="n">
        <x:v>412.858</x:v>
      </x:c>
      <x:c r="F1285" s="47" t="n">
        <x:v>140.288</x:v>
      </x:c>
      <x:c r="G1285" s="47" t="n">
        <x:v>426.142</x:v>
      </x:c>
      <x:c r="H1285" s="50" t="n">
        <x:v>0.176503</x:v>
      </x:c>
      <x:c r="I1285" s="50" t="n">
        <x:v>0.521285</x:v>
      </x:c>
      <x:c r="J1285" s="50" t="n">
        <x:v>0.229229</x:v>
      </x:c>
      <x:c r="K1285" s="50" t="n">
        <x:v>0.538058</x:v>
      </x:c>
      <x:c r="L1285" s="47" t="n">
        <x:v>612</x:v>
      </x:c>
      <x:c r="M1285" s="47" t="n">
        <x:v>792</x:v>
      </x:c>
      <x:c r="N1285" s="28" t="str">
        <x:v>top-left</x:v>
      </x:c>
      <x:c r="O1285" s="28" t="str">
        <x:v>PDF points</x:v>
      </x:c>
    </x:row>
    <x:row r="1286" ht="22" customHeight="1">
      <x:c r="A1286" s="28" t="str">
        <x:v>ANC-JAM-007-ASP-R01</x:v>
      </x:c>
      <x:c r="B1286" s="28" t="str">
        <x:v>ANC-JAM-007-ASP</x:v>
      </x:c>
      <x:c r="C1286" s="28" t="n">
        <x:v>6</x:v>
      </x:c>
      <x:c r="D1286" s="47" t="n">
        <x:v>115.1</x:v>
      </x:c>
      <x:c r="E1286" s="47" t="n">
        <x:v>190.34</x:v>
      </x:c>
      <x:c r="F1286" s="47" t="n">
        <x:v>126.005</x:v>
      </x:c>
      <x:c r="G1286" s="47" t="n">
        <x:v>201.38</x:v>
      </x:c>
      <x:c r="H1286" s="50" t="n">
        <x:v>0.188072</x:v>
      </x:c>
      <x:c r="I1286" s="50" t="n">
        <x:v>0.240328</x:v>
      </x:c>
      <x:c r="J1286" s="50" t="n">
        <x:v>0.205891</x:v>
      </x:c>
      <x:c r="K1286" s="50" t="n">
        <x:v>0.254268</x:v>
      </x:c>
      <x:c r="L1286" s="47" t="n">
        <x:v>612</x:v>
      </x:c>
      <x:c r="M1286" s="47" t="n">
        <x:v>792</x:v>
      </x:c>
      <x:c r="N1286" s="28" t="str">
        <x:v>top-left</x:v>
      </x:c>
      <x:c r="O1286" s="28" t="str">
        <x:v>PDF points</x:v>
      </x:c>
    </x:row>
    <x:row r="1287" ht="22" customHeight="1">
      <x:c r="A1287" s="28" t="str">
        <x:v>ANC-JAM-007-ASP-R02</x:v>
      </x:c>
      <x:c r="B1287" s="28" t="str">
        <x:v>ANC-JAM-007-ASP</x:v>
      </x:c>
      <x:c r="C1287" s="28" t="n">
        <x:v>6</x:v>
      </x:c>
      <x:c r="D1287" s="47" t="n">
        <x:v>144.02</x:v>
      </x:c>
      <x:c r="E1287" s="47" t="n">
        <x:v>187.928</x:v>
      </x:c>
      <x:c r="F1287" s="47" t="n">
        <x:v>539.998</x:v>
      </x:c>
      <x:c r="G1287" s="47" t="n">
        <x:v>201.212</x:v>
      </x:c>
      <x:c r="H1287" s="50" t="n">
        <x:v>0.235327</x:v>
      </x:c>
      <x:c r="I1287" s="50" t="n">
        <x:v>0.237283</x:v>
      </x:c>
      <x:c r="J1287" s="50" t="n">
        <x:v>0.88235</x:v>
      </x:c>
      <x:c r="K1287" s="50" t="n">
        <x:v>0.254056</x:v>
      </x:c>
      <x:c r="L1287" s="47" t="n">
        <x:v>612</x:v>
      </x:c>
      <x:c r="M1287" s="47" t="n">
        <x:v>792</x:v>
      </x:c>
      <x:c r="N1287" s="28" t="str">
        <x:v>top-left</x:v>
      </x:c>
      <x:c r="O1287" s="28" t="str">
        <x:v>PDF points</x:v>
      </x:c>
    </x:row>
    <x:row r="1288" ht="22" customHeight="1">
      <x:c r="A1288" s="28" t="str">
        <x:v>ANC-JAM-007-ASP-R03</x:v>
      </x:c>
      <x:c r="B1288" s="28" t="str">
        <x:v>ANC-JAM-007-ASP</x:v>
      </x:c>
      <x:c r="C1288" s="28" t="n">
        <x:v>6</x:v>
      </x:c>
      <x:c r="D1288" s="47" t="n">
        <x:v>144.02</x:v>
      </x:c>
      <x:c r="E1288" s="47" t="n">
        <x:v>202.688</x:v>
      </x:c>
      <x:c r="F1288" s="47" t="n">
        <x:v>539.744</x:v>
      </x:c>
      <x:c r="G1288" s="47" t="n">
        <x:v>215.972</x:v>
      </x:c>
      <x:c r="H1288" s="50" t="n">
        <x:v>0.235327</x:v>
      </x:c>
      <x:c r="I1288" s="50" t="n">
        <x:v>0.255919</x:v>
      </x:c>
      <x:c r="J1288" s="50" t="n">
        <x:v>0.881935</x:v>
      </x:c>
      <x:c r="K1288" s="50" t="n">
        <x:v>0.272692</x:v>
      </x:c>
      <x:c r="L1288" s="47" t="n">
        <x:v>612</x:v>
      </x:c>
      <x:c r="M1288" s="47" t="n">
        <x:v>792</x:v>
      </x:c>
      <x:c r="N1288" s="28" t="str">
        <x:v>top-left</x:v>
      </x:c>
      <x:c r="O1288" s="28" t="str">
        <x:v>PDF points</x:v>
      </x:c>
    </x:row>
    <x:row r="1289" ht="22" customHeight="1">
      <x:c r="A1289" s="28" t="str">
        <x:v>ANC-JAM-007-ASP-R04</x:v>
      </x:c>
      <x:c r="B1289" s="28" t="str">
        <x:v>ANC-JAM-007-ASP</x:v>
      </x:c>
      <x:c r="C1289" s="28" t="n">
        <x:v>6</x:v>
      </x:c>
      <x:c r="D1289" s="47" t="n">
        <x:v>144.02</x:v>
      </x:c>
      <x:c r="E1289" s="47" t="n">
        <x:v>217.448</x:v>
      </x:c>
      <x:c r="F1289" s="47" t="n">
        <x:v>539.936</x:v>
      </x:c>
      <x:c r="G1289" s="47" t="n">
        <x:v>230.732</x:v>
      </x:c>
      <x:c r="H1289" s="50" t="n">
        <x:v>0.235327</x:v>
      </x:c>
      <x:c r="I1289" s="50" t="n">
        <x:v>0.274556</x:v>
      </x:c>
      <x:c r="J1289" s="50" t="n">
        <x:v>0.882248</x:v>
      </x:c>
      <x:c r="K1289" s="50" t="n">
        <x:v>0.291328</x:v>
      </x:c>
      <x:c r="L1289" s="47" t="n">
        <x:v>612</x:v>
      </x:c>
      <x:c r="M1289" s="47" t="n">
        <x:v>792</x:v>
      </x:c>
      <x:c r="N1289" s="28" t="str">
        <x:v>top-left</x:v>
      </x:c>
      <x:c r="O1289" s="28" t="str">
        <x:v>PDF points</x:v>
      </x:c>
    </x:row>
    <x:row r="1290" ht="22" customHeight="1">
      <x:c r="A1290" s="28" t="str">
        <x:v>ANC-JAM-007-ASP-R05</x:v>
      </x:c>
      <x:c r="B1290" s="28" t="str">
        <x:v>ANC-JAM-007-ASP</x:v>
      </x:c>
      <x:c r="C1290" s="28" t="n">
        <x:v>6</x:v>
      </x:c>
      <x:c r="D1290" s="47" t="n">
        <x:v>144.02</x:v>
      </x:c>
      <x:c r="E1290" s="47" t="n">
        <x:v>232.208</x:v>
      </x:c>
      <x:c r="F1290" s="47" t="n">
        <x:v>252.62</x:v>
      </x:c>
      <x:c r="G1290" s="47" t="n">
        <x:v>245.492</x:v>
      </x:c>
      <x:c r="H1290" s="50" t="n">
        <x:v>0.235327</x:v>
      </x:c>
      <x:c r="I1290" s="50" t="n">
        <x:v>0.293192</x:v>
      </x:c>
      <x:c r="J1290" s="50" t="n">
        <x:v>0.412778</x:v>
      </x:c>
      <x:c r="K1290" s="50" t="n">
        <x:v>0.309965</x:v>
      </x:c>
      <x:c r="L1290" s="47" t="n">
        <x:v>612</x:v>
      </x:c>
      <x:c r="M1290" s="47" t="n">
        <x:v>792</x:v>
      </x:c>
      <x:c r="N1290" s="28" t="str">
        <x:v>top-left</x:v>
      </x:c>
      <x:c r="O1290" s="28" t="str">
        <x:v>PDF points</x:v>
      </x:c>
    </x:row>
    <x:row r="1291" ht="22" customHeight="1">
      <x:c r="A1291" s="28" t="str">
        <x:v>ANC-JAM-010-ASP-R01</x:v>
      </x:c>
      <x:c r="B1291" s="28" t="str">
        <x:v>ANC-JAM-010-ASP</x:v>
      </x:c>
      <x:c r="C1291" s="28" t="n">
        <x:v>7</x:v>
      </x:c>
      <x:c r="D1291" s="47" t="n">
        <x:v>72.024</x:v>
      </x:c>
      <x:c r="E1291" s="47" t="n">
        <x:v>125.12</x:v>
      </x:c>
      <x:c r="F1291" s="47" t="n">
        <x:v>387.416</x:v>
      </x:c>
      <x:c r="G1291" s="47" t="n">
        <x:v>142.787</x:v>
      </x:c>
      <x:c r="H1291" s="50" t="n">
        <x:v>0.117686</x:v>
      </x:c>
      <x:c r="I1291" s="50" t="n">
        <x:v>0.157979</x:v>
      </x:c>
      <x:c r="J1291" s="50" t="n">
        <x:v>0.633033</x:v>
      </x:c>
      <x:c r="K1291" s="50" t="n">
        <x:v>0.180287</x:v>
      </x:c>
      <x:c r="L1291" s="47" t="n">
        <x:v>612</x:v>
      </x:c>
      <x:c r="M1291" s="47" t="n">
        <x:v>792</x:v>
      </x:c>
      <x:c r="N1291" s="28" t="str">
        <x:v>top-left</x:v>
      </x:c>
      <x:c r="O1291" s="28" t="str">
        <x:v>PDF points</x:v>
      </x:c>
    </x:row>
    <x:row r="1292" ht="22" customHeight="1">
      <x:c r="A1292" s="28" t="str">
        <x:v>ANC-JAM-010-ASP-R02</x:v>
      </x:c>
      <x:c r="B1292" s="28" t="str">
        <x:v>ANC-JAM-010-ASP</x:v>
      </x:c>
      <x:c r="C1292" s="28" t="n">
        <x:v>7</x:v>
      </x:c>
      <x:c r="D1292" s="47" t="n">
        <x:v>72.024</x:v>
      </x:c>
      <x:c r="E1292" s="47" t="n">
        <x:v>146.408</x:v>
      </x:c>
      <x:c r="F1292" s="47" t="n">
        <x:v>539.652</x:v>
      </x:c>
      <x:c r="G1292" s="47" t="n">
        <x:v>159.692</x:v>
      </x:c>
      <x:c r="H1292" s="50" t="n">
        <x:v>0.117686</x:v>
      </x:c>
      <x:c r="I1292" s="50" t="n">
        <x:v>0.184859</x:v>
      </x:c>
      <x:c r="J1292" s="50" t="n">
        <x:v>0.881784</x:v>
      </x:c>
      <x:c r="K1292" s="50" t="n">
        <x:v>0.201631</x:v>
      </x:c>
      <x:c r="L1292" s="47" t="n">
        <x:v>612</x:v>
      </x:c>
      <x:c r="M1292" s="47" t="n">
        <x:v>792</x:v>
      </x:c>
      <x:c r="N1292" s="28" t="str">
        <x:v>top-left</x:v>
      </x:c>
      <x:c r="O1292" s="28" t="str">
        <x:v>PDF points</x:v>
      </x:c>
    </x:row>
    <x:row r="1293" ht="22" customHeight="1">
      <x:c r="A1293" s="28" t="str">
        <x:v>ANC-JAM-010-ASP-R03</x:v>
      </x:c>
      <x:c r="B1293" s="28" t="str">
        <x:v>ANC-JAM-010-ASP</x:v>
      </x:c>
      <x:c r="C1293" s="28" t="n">
        <x:v>7</x:v>
      </x:c>
      <x:c r="D1293" s="47" t="n">
        <x:v>72.024</x:v>
      </x:c>
      <x:c r="E1293" s="47" t="n">
        <x:v>160.208</x:v>
      </x:c>
      <x:c r="F1293" s="47" t="n">
        <x:v>187.284</x:v>
      </x:c>
      <x:c r="G1293" s="47" t="n">
        <x:v>173.492</x:v>
      </x:c>
      <x:c r="H1293" s="50" t="n">
        <x:v>0.117686</x:v>
      </x:c>
      <x:c r="I1293" s="50" t="n">
        <x:v>0.202283</x:v>
      </x:c>
      <x:c r="J1293" s="50" t="n">
        <x:v>0.30602</x:v>
      </x:c>
      <x:c r="K1293" s="50" t="n">
        <x:v>0.219056</x:v>
      </x:c>
      <x:c r="L1293" s="47" t="n">
        <x:v>612</x:v>
      </x:c>
      <x:c r="M1293" s="47" t="n">
        <x:v>792</x:v>
      </x:c>
      <x:c r="N1293" s="28" t="str">
        <x:v>top-left</x:v>
      </x:c>
      <x:c r="O1293" s="28" t="str">
        <x:v>PDF points</x:v>
      </x:c>
    </x:row>
    <x:row r="1294" ht="22" customHeight="1">
      <x:c r="A1294" s="28" t="str">
        <x:v>ANC-JAM-010-ASP-R04</x:v>
      </x:c>
      <x:c r="B1294" s="28" t="str">
        <x:v>ANC-JAM-010-ASP</x:v>
      </x:c>
      <x:c r="C1294" s="28" t="n">
        <x:v>7</x:v>
      </x:c>
      <x:c r="D1294" s="47" t="n">
        <x:v>90.024</x:v>
      </x:c>
      <x:c r="E1294" s="47" t="n">
        <x:v>181.928</x:v>
      </x:c>
      <x:c r="F1294" s="47" t="n">
        <x:v>507.25</x:v>
      </x:c>
      <x:c r="G1294" s="47" t="n">
        <x:v>195.38</x:v>
      </x:c>
      <x:c r="H1294" s="50" t="n">
        <x:v>0.147098</x:v>
      </x:c>
      <x:c r="I1294" s="50" t="n">
        <x:v>0.229707</x:v>
      </x:c>
      <x:c r="J1294" s="50" t="n">
        <x:v>0.82884</x:v>
      </x:c>
      <x:c r="K1294" s="50" t="n">
        <x:v>0.246692</x:v>
      </x:c>
      <x:c r="L1294" s="47" t="n">
        <x:v>612</x:v>
      </x:c>
      <x:c r="M1294" s="47" t="n">
        <x:v>792</x:v>
      </x:c>
      <x:c r="N1294" s="28" t="str">
        <x:v>top-left</x:v>
      </x:c>
      <x:c r="O1294" s="28" t="str">
        <x:v>PDF points</x:v>
      </x:c>
    </x:row>
    <x:row r="1295" ht="22" customHeight="1">
      <x:c r="A1295" s="28" t="str">
        <x:v>ANC-JAM-010-MECH-01-R01</x:v>
      </x:c>
      <x:c r="B1295" s="28" t="str">
        <x:v>ANC-JAM-010-MECH-01</x:v>
      </x:c>
      <x:c r="C1295" s="28" t="n">
        <x:v>3</x:v>
      </x:c>
      <x:c r="D1295" s="47" t="n">
        <x:v>72.024</x:v>
      </x:c>
      <x:c r="E1295" s="47" t="n">
        <x:v>463.378</x:v>
      </x:c>
      <x:c r="F1295" s="47" t="n">
        <x:v>393.396</x:v>
      </x:c>
      <x:c r="G1295" s="47" t="n">
        <x:v>476.662</x:v>
      </x:c>
      <x:c r="H1295" s="50" t="n">
        <x:v>0.117686</x:v>
      </x:c>
      <x:c r="I1295" s="50" t="n">
        <x:v>0.585073</x:v>
      </x:c>
      <x:c r="J1295" s="50" t="n">
        <x:v>0.642804</x:v>
      </x:c>
      <x:c r="K1295" s="50" t="n">
        <x:v>0.601846</x:v>
      </x:c>
      <x:c r="L1295" s="47" t="n">
        <x:v>612</x:v>
      </x:c>
      <x:c r="M1295" s="47" t="n">
        <x:v>792</x:v>
      </x:c>
      <x:c r="N1295" s="28" t="str">
        <x:v>top-left</x:v>
      </x:c>
      <x:c r="O1295" s="28" t="str">
        <x:v>PDF points</x:v>
      </x:c>
    </x:row>
    <x:row r="1296" ht="22" customHeight="1">
      <x:c r="A1296" s="28" t="str">
        <x:v>ANC-JAM-010-MECH-01-R02</x:v>
      </x:c>
      <x:c r="B1296" s="28" t="str">
        <x:v>ANC-JAM-010-MECH-01</x:v>
      </x:c>
      <x:c r="C1296" s="28" t="n">
        <x:v>3</x:v>
      </x:c>
      <x:c r="D1296" s="47" t="n">
        <x:v>90.024</x:v>
      </x:c>
      <x:c r="E1296" s="47" t="n">
        <x:v>485.218</x:v>
      </x:c>
      <x:c r="F1296" s="47" t="n">
        <x:v>511.486</x:v>
      </x:c>
      <x:c r="G1296" s="47" t="n">
        <x:v>498.67</x:v>
      </x:c>
      <x:c r="H1296" s="50" t="n">
        <x:v>0.147098</x:v>
      </x:c>
      <x:c r="I1296" s="50" t="n">
        <x:v>0.612649</x:v>
      </x:c>
      <x:c r="J1296" s="50" t="n">
        <x:v>0.835761</x:v>
      </x:c>
      <x:c r="K1296" s="50" t="n">
        <x:v>0.629634</x:v>
      </x:c>
      <x:c r="L1296" s="47" t="n">
        <x:v>612</x:v>
      </x:c>
      <x:c r="M1296" s="47" t="n">
        <x:v>792</x:v>
      </x:c>
      <x:c r="N1296" s="28" t="str">
        <x:v>top-left</x:v>
      </x:c>
      <x:c r="O1296" s="28" t="str">
        <x:v>PDF points</x:v>
      </x:c>
    </x:row>
    <x:row r="1297" ht="22" customHeight="1">
      <x:c r="A1297" s="28" t="str">
        <x:v>ANC-JAM-010-MECH-01-R03</x:v>
      </x:c>
      <x:c r="B1297" s="28" t="str">
        <x:v>ANC-JAM-010-MECH-01</x:v>
      </x:c>
      <x:c r="C1297" s="28" t="n">
        <x:v>3</x:v>
      </x:c>
      <x:c r="D1297" s="47" t="n">
        <x:v>108.02</x:v>
      </x:c>
      <x:c r="E1297" s="47" t="n">
        <x:v>499.978</x:v>
      </x:c>
      <x:c r="F1297" s="47" t="n">
        <x:v>303.548</x:v>
      </x:c>
      <x:c r="G1297" s="47" t="n">
        <x:v>513.262</x:v>
      </x:c>
      <x:c r="H1297" s="50" t="n">
        <x:v>0.176503</x:v>
      </x:c>
      <x:c r="I1297" s="50" t="n">
        <x:v>0.631285</x:v>
      </x:c>
      <x:c r="J1297" s="50" t="n">
        <x:v>0.495993</x:v>
      </x:c>
      <x:c r="K1297" s="50" t="n">
        <x:v>0.648058</x:v>
      </x:c>
      <x:c r="L1297" s="47" t="n">
        <x:v>612</x:v>
      </x:c>
      <x:c r="M1297" s="47" t="n">
        <x:v>792</x:v>
      </x:c>
      <x:c r="N1297" s="28" t="str">
        <x:v>top-left</x:v>
      </x:c>
      <x:c r="O1297" s="28" t="str">
        <x:v>PDF points</x:v>
      </x:c>
    </x:row>
    <x:row r="1298" ht="22" customHeight="1">
      <x:c r="A1298" s="28" t="str">
        <x:v>ANC-JAM-010-MECH-02-R01</x:v>
      </x:c>
      <x:c r="B1298" s="28" t="str">
        <x:v>ANC-JAM-010-MECH-02</x:v>
      </x:c>
      <x:c r="C1298" s="28" t="n">
        <x:v>9</x:v>
      </x:c>
      <x:c r="D1298" s="47" t="n">
        <x:v>108.02</x:v>
      </x:c>
      <x:c r="E1298" s="47" t="n">
        <x:v>586.12</x:v>
      </x:c>
      <x:c r="F1298" s="47" t="n">
        <x:v>112.22</x:v>
      </x:c>
      <x:c r="G1298" s="47" t="n">
        <x:v>599.5</x:v>
      </x:c>
      <x:c r="H1298" s="50" t="n">
        <x:v>0.176503</x:v>
      </x:c>
      <x:c r="I1298" s="50" t="n">
        <x:v>0.74005</x:v>
      </x:c>
      <x:c r="J1298" s="50" t="n">
        <x:v>0.183366</x:v>
      </x:c>
      <x:c r="K1298" s="50" t="n">
        <x:v>0.756944</x:v>
      </x:c>
      <x:c r="L1298" s="47" t="n">
        <x:v>612</x:v>
      </x:c>
      <x:c r="M1298" s="47" t="n">
        <x:v>792</x:v>
      </x:c>
      <x:c r="N1298" s="28" t="str">
        <x:v>top-left</x:v>
      </x:c>
      <x:c r="O1298" s="28" t="str">
        <x:v>PDF points</x:v>
      </x:c>
    </x:row>
    <x:row r="1299" ht="22" customHeight="1">
      <x:c r="A1299" s="28" t="str">
        <x:v>ANC-JAM-010-MECH-02-R02</x:v>
      </x:c>
      <x:c r="B1299" s="28" t="str">
        <x:v>ANC-JAM-010-MECH-02</x:v>
      </x:c>
      <x:c r="C1299" s="28" t="n">
        <x:v>9</x:v>
      </x:c>
      <x:c r="D1299" s="47" t="n">
        <x:v>144.02</x:v>
      </x:c>
      <x:c r="E1299" s="47" t="n">
        <x:v>586.288</x:v>
      </x:c>
      <x:c r="F1299" s="47" t="n">
        <x:v>494.894</x:v>
      </x:c>
      <x:c r="G1299" s="47" t="n">
        <x:v>599.572</x:v>
      </x:c>
      <x:c r="H1299" s="50" t="n">
        <x:v>0.235327</x:v>
      </x:c>
      <x:c r="I1299" s="50" t="n">
        <x:v>0.740263</x:v>
      </x:c>
      <x:c r="J1299" s="50" t="n">
        <x:v>0.80865</x:v>
      </x:c>
      <x:c r="K1299" s="50" t="n">
        <x:v>0.757035</x:v>
      </x:c>
      <x:c r="L1299" s="47" t="n">
        <x:v>612</x:v>
      </x:c>
      <x:c r="M1299" s="47" t="n">
        <x:v>792</x:v>
      </x:c>
      <x:c r="N1299" s="28" t="str">
        <x:v>top-left</x:v>
      </x:c>
      <x:c r="O1299" s="28" t="str">
        <x:v>PDF points</x:v>
      </x:c>
    </x:row>
    <x:row r="1300" ht="22" customHeight="1">
      <x:c r="A1300" s="28" t="str">
        <x:v>ANC-JAM-010-MECH-02-R03</x:v>
      </x:c>
      <x:c r="B1300" s="28" t="str">
        <x:v>ANC-JAM-010-MECH-02</x:v>
      </x:c>
      <x:c r="C1300" s="28" t="n">
        <x:v>9</x:v>
      </x:c>
      <x:c r="D1300" s="47" t="n">
        <x:v>144.02</x:v>
      </x:c>
      <x:c r="E1300" s="47" t="n">
        <x:v>602.008</x:v>
      </x:c>
      <x:c r="F1300" s="47" t="n">
        <x:v>515.852</x:v>
      </x:c>
      <x:c r="G1300" s="47" t="n">
        <x:v>615.292</x:v>
      </x:c>
      <x:c r="H1300" s="50" t="n">
        <x:v>0.235327</x:v>
      </x:c>
      <x:c r="I1300" s="50" t="n">
        <x:v>0.760111</x:v>
      </x:c>
      <x:c r="J1300" s="50" t="n">
        <x:v>0.842895</x:v>
      </x:c>
      <x:c r="K1300" s="50" t="n">
        <x:v>0.776884</x:v>
      </x:c>
      <x:c r="L1300" s="47" t="n">
        <x:v>612</x:v>
      </x:c>
      <x:c r="M1300" s="47" t="n">
        <x:v>792</x:v>
      </x:c>
      <x:c r="N1300" s="28" t="str">
        <x:v>top-left</x:v>
      </x:c>
      <x:c r="O1300" s="28" t="str">
        <x:v>PDF points</x:v>
      </x:c>
    </x:row>
    <x:row r="1301" ht="22" customHeight="1">
      <x:c r="A1301" s="28" t="str">
        <x:v>ANC-JAM-010-MECH-02-R04</x:v>
      </x:c>
      <x:c r="B1301" s="28" t="str">
        <x:v>ANC-JAM-010-MECH-02</x:v>
      </x:c>
      <x:c r="C1301" s="28" t="n">
        <x:v>9</x:v>
      </x:c>
      <x:c r="D1301" s="47" t="n">
        <x:v>144.02</x:v>
      </x:c>
      <x:c r="E1301" s="47" t="n">
        <x:v>617.728</x:v>
      </x:c>
      <x:c r="F1301" s="47" t="n">
        <x:v>188.996</x:v>
      </x:c>
      <x:c r="G1301" s="47" t="n">
        <x:v>631.012</x:v>
      </x:c>
      <x:c r="H1301" s="50" t="n">
        <x:v>0.235327</x:v>
      </x:c>
      <x:c r="I1301" s="50" t="n">
        <x:v>0.77996</x:v>
      </x:c>
      <x:c r="J1301" s="50" t="n">
        <x:v>0.308817</x:v>
      </x:c>
      <x:c r="K1301" s="50" t="n">
        <x:v>0.796732</x:v>
      </x:c>
      <x:c r="L1301" s="47" t="n">
        <x:v>612</x:v>
      </x:c>
      <x:c r="M1301" s="47" t="n">
        <x:v>792</x:v>
      </x:c>
      <x:c r="N1301" s="28" t="str">
        <x:v>top-left</x:v>
      </x:c>
      <x:c r="O1301" s="28" t="str">
        <x:v>PDF points</x:v>
      </x:c>
    </x:row>
    <x:row r="1302" ht="22" customHeight="1">
      <x:c r="A1302" s="28" t="str">
        <x:v>ANC-JAM-011-ASP-R01</x:v>
      </x:c>
      <x:c r="B1302" s="28" t="str">
        <x:v>ANC-JAM-011-ASP</x:v>
      </x:c>
      <x:c r="C1302" s="28" t="n">
        <x:v>7</x:v>
      </x:c>
      <x:c r="D1302" s="47" t="n">
        <x:v>90.024</x:v>
      </x:c>
      <x:c r="E1302" s="47" t="n">
        <x:v>200.768</x:v>
      </x:c>
      <x:c r="F1302" s="47" t="n">
        <x:v>530.822</x:v>
      </x:c>
      <x:c r="G1302" s="47" t="n">
        <x:v>214.22</x:v>
      </x:c>
      <x:c r="H1302" s="50" t="n">
        <x:v>0.147098</x:v>
      </x:c>
      <x:c r="I1302" s="50" t="n">
        <x:v>0.253495</x:v>
      </x:c>
      <x:c r="J1302" s="50" t="n">
        <x:v>0.867356</x:v>
      </x:c>
      <x:c r="K1302" s="50" t="n">
        <x:v>0.27048</x:v>
      </x:c>
      <x:c r="L1302" s="47" t="n">
        <x:v>612</x:v>
      </x:c>
      <x:c r="M1302" s="47" t="n">
        <x:v>792</x:v>
      </x:c>
      <x:c r="N1302" s="28" t="str">
        <x:v>top-left</x:v>
      </x:c>
      <x:c r="O1302" s="28" t="str">
        <x:v>PDF points</x:v>
      </x:c>
    </x:row>
    <x:row r="1303" ht="22" customHeight="1">
      <x:c r="A1303" s="28" t="str">
        <x:v>ANC-JAM-011-ASP-R02</x:v>
      </x:c>
      <x:c r="B1303" s="28" t="str">
        <x:v>ANC-JAM-011-ASP</x:v>
      </x:c>
      <x:c r="C1303" s="28" t="n">
        <x:v>7</x:v>
      </x:c>
      <x:c r="D1303" s="47" t="n">
        <x:v>108.02</x:v>
      </x:c>
      <x:c r="E1303" s="47" t="n">
        <x:v>215.528</x:v>
      </x:c>
      <x:c r="F1303" s="47" t="n">
        <x:v>490.004</x:v>
      </x:c>
      <x:c r="G1303" s="47" t="n">
        <x:v>228.812</x:v>
      </x:c>
      <x:c r="H1303" s="50" t="n">
        <x:v>0.176503</x:v>
      </x:c>
      <x:c r="I1303" s="50" t="n">
        <x:v>0.272131</x:v>
      </x:c>
      <x:c r="J1303" s="50" t="n">
        <x:v>0.80066</x:v>
      </x:c>
      <x:c r="K1303" s="50" t="n">
        <x:v>0.288904</x:v>
      </x:c>
      <x:c r="L1303" s="47" t="n">
        <x:v>612</x:v>
      </x:c>
      <x:c r="M1303" s="47" t="n">
        <x:v>792</x:v>
      </x:c>
      <x:c r="N1303" s="28" t="str">
        <x:v>top-left</x:v>
      </x:c>
      <x:c r="O1303" s="28" t="str">
        <x:v>PDF points</x:v>
      </x:c>
    </x:row>
    <x:row r="1304" ht="22" customHeight="1">
      <x:c r="A1304" s="28" t="str">
        <x:v>ANC-JAM-012-ASP-R01</x:v>
      </x:c>
      <x:c r="B1304" s="28" t="str">
        <x:v>ANC-JAM-012-ASP</x:v>
      </x:c>
      <x:c r="C1304" s="28" t="n">
        <x:v>7</x:v>
      </x:c>
      <x:c r="D1304" s="47" t="n">
        <x:v>90.024</x:v>
      </x:c>
      <x:c r="E1304" s="47" t="n">
        <x:v>234.248</x:v>
      </x:c>
      <x:c r="F1304" s="47" t="n">
        <x:v>523.696</x:v>
      </x:c>
      <x:c r="G1304" s="47" t="n">
        <x:v>247.7</x:v>
      </x:c>
      <x:c r="H1304" s="50" t="n">
        <x:v>0.147098</x:v>
      </x:c>
      <x:c r="I1304" s="50" t="n">
        <x:v>0.295768</x:v>
      </x:c>
      <x:c r="J1304" s="50" t="n">
        <x:v>0.855712</x:v>
      </x:c>
      <x:c r="K1304" s="50" t="n">
        <x:v>0.312753</x:v>
      </x:c>
      <x:c r="L1304" s="47" t="n">
        <x:v>612</x:v>
      </x:c>
      <x:c r="M1304" s="47" t="n">
        <x:v>792</x:v>
      </x:c>
      <x:c r="N1304" s="28" t="str">
        <x:v>top-left</x:v>
      </x:c>
      <x:c r="O1304" s="28" t="str">
        <x:v>PDF points</x:v>
      </x:c>
    </x:row>
    <x:row r="1305" ht="22" customHeight="1">
      <x:c r="A1305" s="28" t="str">
        <x:v>ANC-JAM-014-ASP-R01</x:v>
      </x:c>
      <x:c r="B1305" s="28" t="str">
        <x:v>ANC-JAM-014-ASP</x:v>
      </x:c>
      <x:c r="C1305" s="28" t="n">
        <x:v>7</x:v>
      </x:c>
      <x:c r="D1305" s="47" t="n">
        <x:v>117.62</x:v>
      </x:c>
      <x:c r="E1305" s="47" t="n">
        <x:v>411.31</x:v>
      </x:c>
      <x:c r="F1305" s="47" t="n">
        <x:v>126.005</x:v>
      </x:c>
      <x:c r="G1305" s="47" t="n">
        <x:v>422.35</x:v>
      </x:c>
      <x:c r="H1305" s="50" t="n">
        <x:v>0.19219</x:v>
      </x:c>
      <x:c r="I1305" s="50" t="n">
        <x:v>0.519331</x:v>
      </x:c>
      <x:c r="J1305" s="50" t="n">
        <x:v>0.205891</x:v>
      </x:c>
      <x:c r="K1305" s="50" t="n">
        <x:v>0.53327</x:v>
      </x:c>
      <x:c r="L1305" s="47" t="n">
        <x:v>612</x:v>
      </x:c>
      <x:c r="M1305" s="47" t="n">
        <x:v>792</x:v>
      </x:c>
      <x:c r="N1305" s="28" t="str">
        <x:v>top-left</x:v>
      </x:c>
      <x:c r="O1305" s="28" t="str">
        <x:v>PDF points</x:v>
      </x:c>
    </x:row>
    <x:row r="1306" ht="22" customHeight="1">
      <x:c r="A1306" s="28" t="str">
        <x:v>ANC-JAM-014-ASP-R02</x:v>
      </x:c>
      <x:c r="B1306" s="28" t="str">
        <x:v>ANC-JAM-014-ASP</x:v>
      </x:c>
      <x:c r="C1306" s="28" t="n">
        <x:v>7</x:v>
      </x:c>
      <x:c r="D1306" s="47" t="n">
        <x:v>144.02</x:v>
      </x:c>
      <x:c r="E1306" s="47" t="n">
        <x:v>408.898</x:v>
      </x:c>
      <x:c r="F1306" s="47" t="n">
        <x:v>533.252</x:v>
      </x:c>
      <x:c r="G1306" s="47" t="n">
        <x:v>422.182</x:v>
      </x:c>
      <x:c r="H1306" s="50" t="n">
        <x:v>0.235327</x:v>
      </x:c>
      <x:c r="I1306" s="50" t="n">
        <x:v>0.516285</x:v>
      </x:c>
      <x:c r="J1306" s="50" t="n">
        <x:v>0.871327</x:v>
      </x:c>
      <x:c r="K1306" s="50" t="n">
        <x:v>0.533058</x:v>
      </x:c>
      <x:c r="L1306" s="47" t="n">
        <x:v>612</x:v>
      </x:c>
      <x:c r="M1306" s="47" t="n">
        <x:v>792</x:v>
      </x:c>
      <x:c r="N1306" s="28" t="str">
        <x:v>top-left</x:v>
      </x:c>
      <x:c r="O1306" s="28" t="str">
        <x:v>PDF points</x:v>
      </x:c>
    </x:row>
    <x:row r="1307" ht="22" customHeight="1">
      <x:c r="A1307" s="28" t="str">
        <x:v>ANC-JAM-014-ASP-R03</x:v>
      </x:c>
      <x:c r="B1307" s="28" t="str">
        <x:v>ANC-JAM-014-ASP</x:v>
      </x:c>
      <x:c r="C1307" s="28" t="n">
        <x:v>7</x:v>
      </x:c>
      <x:c r="D1307" s="47" t="n">
        <x:v>144.02</x:v>
      </x:c>
      <x:c r="E1307" s="47" t="n">
        <x:v>423.658</x:v>
      </x:c>
      <x:c r="F1307" s="47" t="n">
        <x:v>538.124</x:v>
      </x:c>
      <x:c r="G1307" s="47" t="n">
        <x:v>436.942</x:v>
      </x:c>
      <x:c r="H1307" s="50" t="n">
        <x:v>0.235327</x:v>
      </x:c>
      <x:c r="I1307" s="50" t="n">
        <x:v>0.534922</x:v>
      </x:c>
      <x:c r="J1307" s="50" t="n">
        <x:v>0.879288</x:v>
      </x:c>
      <x:c r="K1307" s="50" t="n">
        <x:v>0.551694</x:v>
      </x:c>
      <x:c r="L1307" s="47" t="n">
        <x:v>612</x:v>
      </x:c>
      <x:c r="M1307" s="47" t="n">
        <x:v>792</x:v>
      </x:c>
      <x:c r="N1307" s="28" t="str">
        <x:v>top-left</x:v>
      </x:c>
      <x:c r="O1307" s="28" t="str">
        <x:v>PDF points</x:v>
      </x:c>
    </x:row>
    <x:row r="1308" ht="22" customHeight="1">
      <x:c r="A1308" s="28" t="str">
        <x:v>ANC-JAM-014-ASP-R04</x:v>
      </x:c>
      <x:c r="B1308" s="28" t="str">
        <x:v>ANC-JAM-014-ASP</x:v>
      </x:c>
      <x:c r="C1308" s="28" t="n">
        <x:v>7</x:v>
      </x:c>
      <x:c r="D1308" s="47" t="n">
        <x:v>144.02</x:v>
      </x:c>
      <x:c r="E1308" s="47" t="n">
        <x:v>438.418</x:v>
      </x:c>
      <x:c r="F1308" s="47" t="n">
        <x:v>403.268</x:v>
      </x:c>
      <x:c r="G1308" s="47" t="n">
        <x:v>451.702</x:v>
      </x:c>
      <x:c r="H1308" s="50" t="n">
        <x:v>0.235327</x:v>
      </x:c>
      <x:c r="I1308" s="50" t="n">
        <x:v>0.553558</x:v>
      </x:c>
      <x:c r="J1308" s="50" t="n">
        <x:v>0.658935</x:v>
      </x:c>
      <x:c r="K1308" s="50" t="n">
        <x:v>0.570331</x:v>
      </x:c>
      <x:c r="L1308" s="47" t="n">
        <x:v>612</x:v>
      </x:c>
      <x:c r="M1308" s="47" t="n">
        <x:v>792</x:v>
      </x:c>
      <x:c r="N1308" s="28" t="str">
        <x:v>top-left</x:v>
      </x:c>
      <x:c r="O1308" s="28" t="str">
        <x:v>PDF points</x:v>
      </x:c>
    </x:row>
    <x:row r="1309" ht="22" customHeight="1">
      <x:c r="A1309" s="28" t="str">
        <x:v>ANC-JAM-015-ASP-R01</x:v>
      </x:c>
      <x:c r="B1309" s="28" t="str">
        <x:v>ANC-JAM-015-ASP</x:v>
      </x:c>
      <x:c r="C1309" s="28" t="n">
        <x:v>7</x:v>
      </x:c>
      <x:c r="D1309" s="47" t="n">
        <x:v>115.1</x:v>
      </x:c>
      <x:c r="E1309" s="47" t="n">
        <x:v>459.67</x:v>
      </x:c>
      <x:c r="F1309" s="47" t="n">
        <x:v>126.005</x:v>
      </x:c>
      <x:c r="G1309" s="47" t="n">
        <x:v>470.71</x:v>
      </x:c>
      <x:c r="H1309" s="50" t="n">
        <x:v>0.188072</x:v>
      </x:c>
      <x:c r="I1309" s="50" t="n">
        <x:v>0.580391</x:v>
      </x:c>
      <x:c r="J1309" s="50" t="n">
        <x:v>0.205891</x:v>
      </x:c>
      <x:c r="K1309" s="50" t="n">
        <x:v>0.594331</x:v>
      </x:c>
      <x:c r="L1309" s="47" t="n">
        <x:v>612</x:v>
      </x:c>
      <x:c r="M1309" s="47" t="n">
        <x:v>792</x:v>
      </x:c>
      <x:c r="N1309" s="28" t="str">
        <x:v>top-left</x:v>
      </x:c>
      <x:c r="O1309" s="28" t="str">
        <x:v>PDF points</x:v>
      </x:c>
    </x:row>
    <x:row r="1310" ht="22" customHeight="1">
      <x:c r="A1310" s="28" t="str">
        <x:v>ANC-JAM-015-ASP-R02</x:v>
      </x:c>
      <x:c r="B1310" s="28" t="str">
        <x:v>ANC-JAM-015-ASP</x:v>
      </x:c>
      <x:c r="C1310" s="28" t="n">
        <x:v>7</x:v>
      </x:c>
      <x:c r="D1310" s="47" t="n">
        <x:v>144.02</x:v>
      </x:c>
      <x:c r="E1310" s="47" t="n">
        <x:v>457.258</x:v>
      </x:c>
      <x:c r="F1310" s="47" t="n">
        <x:v>533.684</x:v>
      </x:c>
      <x:c r="G1310" s="47" t="n">
        <x:v>470.542</x:v>
      </x:c>
      <x:c r="H1310" s="50" t="n">
        <x:v>0.235327</x:v>
      </x:c>
      <x:c r="I1310" s="50" t="n">
        <x:v>0.577346</x:v>
      </x:c>
      <x:c r="J1310" s="50" t="n">
        <x:v>0.872033</x:v>
      </x:c>
      <x:c r="K1310" s="50" t="n">
        <x:v>0.594119</x:v>
      </x:c>
      <x:c r="L1310" s="47" t="n">
        <x:v>612</x:v>
      </x:c>
      <x:c r="M1310" s="47" t="n">
        <x:v>792</x:v>
      </x:c>
      <x:c r="N1310" s="28" t="str">
        <x:v>top-left</x:v>
      </x:c>
      <x:c r="O1310" s="28" t="str">
        <x:v>PDF points</x:v>
      </x:c>
    </x:row>
    <x:row r="1311" ht="22" customHeight="1">
      <x:c r="A1311" s="28" t="str">
        <x:v>ANC-JAM-015-ASP-R03</x:v>
      </x:c>
      <x:c r="B1311" s="28" t="str">
        <x:v>ANC-JAM-015-ASP</x:v>
      </x:c>
      <x:c r="C1311" s="28" t="n">
        <x:v>7</x:v>
      </x:c>
      <x:c r="D1311" s="47" t="n">
        <x:v>144.02</x:v>
      </x:c>
      <x:c r="E1311" s="47" t="n">
        <x:v>472.018</x:v>
      </x:c>
      <x:c r="F1311" s="47" t="n">
        <x:v>359.48</x:v>
      </x:c>
      <x:c r="G1311" s="47" t="n">
        <x:v>485.302</x:v>
      </x:c>
      <x:c r="H1311" s="50" t="n">
        <x:v>0.235327</x:v>
      </x:c>
      <x:c r="I1311" s="50" t="n">
        <x:v>0.595982</x:v>
      </x:c>
      <x:c r="J1311" s="50" t="n">
        <x:v>0.587386</x:v>
      </x:c>
      <x:c r="K1311" s="50" t="n">
        <x:v>0.612755</x:v>
      </x:c>
      <x:c r="L1311" s="47" t="n">
        <x:v>612</x:v>
      </x:c>
      <x:c r="M1311" s="47" t="n">
        <x:v>792</x:v>
      </x:c>
      <x:c r="N1311" s="28" t="str">
        <x:v>top-left</x:v>
      </x:c>
      <x:c r="O1311" s="28" t="str">
        <x:v>PDF points</x:v>
      </x:c>
    </x:row>
    <x:row r="1312" ht="22" customHeight="1">
      <x:c r="A1312" s="28" t="str">
        <x:v>ANC-JAM-016-ASP-R01</x:v>
      </x:c>
      <x:c r="B1312" s="28" t="str">
        <x:v>ANC-JAM-016-ASP</x:v>
      </x:c>
      <x:c r="C1312" s="28" t="n">
        <x:v>7</x:v>
      </x:c>
      <x:c r="D1312" s="47" t="n">
        <x:v>115.22</x:v>
      </x:c>
      <x:c r="E1312" s="47" t="n">
        <x:v>493.15</x:v>
      </x:c>
      <x:c r="F1312" s="47" t="n">
        <x:v>126.094</x:v>
      </x:c>
      <x:c r="G1312" s="47" t="n">
        <x:v>504.19</x:v>
      </x:c>
      <x:c r="H1312" s="50" t="n">
        <x:v>0.188268</x:v>
      </x:c>
      <x:c r="I1312" s="50" t="n">
        <x:v>0.622664</x:v>
      </x:c>
      <x:c r="J1312" s="50" t="n">
        <x:v>0.206037</x:v>
      </x:c>
      <x:c r="K1312" s="50" t="n">
        <x:v>0.636604</x:v>
      </x:c>
      <x:c r="L1312" s="47" t="n">
        <x:v>612</x:v>
      </x:c>
      <x:c r="M1312" s="47" t="n">
        <x:v>792</x:v>
      </x:c>
      <x:c r="N1312" s="28" t="str">
        <x:v>top-left</x:v>
      </x:c>
      <x:c r="O1312" s="28" t="str">
        <x:v>PDF points</x:v>
      </x:c>
    </x:row>
    <x:row r="1313" ht="22" customHeight="1">
      <x:c r="A1313" s="28" t="str">
        <x:v>ANC-JAM-016-ASP-R02</x:v>
      </x:c>
      <x:c r="B1313" s="28" t="str">
        <x:v>ANC-JAM-016-ASP</x:v>
      </x:c>
      <x:c r="C1313" s="28" t="n">
        <x:v>7</x:v>
      </x:c>
      <x:c r="D1313" s="47" t="n">
        <x:v>144.02</x:v>
      </x:c>
      <x:c r="E1313" s="47" t="n">
        <x:v>490.738</x:v>
      </x:c>
      <x:c r="F1313" s="47" t="n">
        <x:v>523.748</x:v>
      </x:c>
      <x:c r="G1313" s="47" t="n">
        <x:v>504.022</x:v>
      </x:c>
      <x:c r="H1313" s="50" t="n">
        <x:v>0.235327</x:v>
      </x:c>
      <x:c r="I1313" s="50" t="n">
        <x:v>0.619619</x:v>
      </x:c>
      <x:c r="J1313" s="50" t="n">
        <x:v>0.855797</x:v>
      </x:c>
      <x:c r="K1313" s="50" t="n">
        <x:v>0.636391</x:v>
      </x:c>
      <x:c r="L1313" s="47" t="n">
        <x:v>612</x:v>
      </x:c>
      <x:c r="M1313" s="47" t="n">
        <x:v>792</x:v>
      </x:c>
      <x:c r="N1313" s="28" t="str">
        <x:v>top-left</x:v>
      </x:c>
      <x:c r="O1313" s="28" t="str">
        <x:v>PDF points</x:v>
      </x:c>
    </x:row>
    <x:row r="1314" ht="22" customHeight="1">
      <x:c r="A1314" s="28" t="str">
        <x:v>ANC-JAM-016-ASP-R03</x:v>
      </x:c>
      <x:c r="B1314" s="28" t="str">
        <x:v>ANC-JAM-016-ASP</x:v>
      </x:c>
      <x:c r="C1314" s="28" t="n">
        <x:v>7</x:v>
      </x:c>
      <x:c r="D1314" s="47" t="n">
        <x:v>144.02</x:v>
      </x:c>
      <x:c r="E1314" s="47" t="n">
        <x:v>505.498</x:v>
      </x:c>
      <x:c r="F1314" s="47" t="n">
        <x:v>287.612</x:v>
      </x:c>
      <x:c r="G1314" s="47" t="n">
        <x:v>518.782</x:v>
      </x:c>
      <x:c r="H1314" s="50" t="n">
        <x:v>0.235327</x:v>
      </x:c>
      <x:c r="I1314" s="50" t="n">
        <x:v>0.638255</x:v>
      </x:c>
      <x:c r="J1314" s="50" t="n">
        <x:v>0.469954</x:v>
      </x:c>
      <x:c r="K1314" s="50" t="n">
        <x:v>0.655028</x:v>
      </x:c>
      <x:c r="L1314" s="47" t="n">
        <x:v>612</x:v>
      </x:c>
      <x:c r="M1314" s="47" t="n">
        <x:v>792</x:v>
      </x:c>
      <x:c r="N1314" s="28" t="str">
        <x:v>top-left</x:v>
      </x:c>
      <x:c r="O1314" s="28" t="str">
        <x:v>PDF points</x:v>
      </x:c>
    </x:row>
    <x:row r="1315" ht="22" customHeight="1">
      <x:c r="A1315" s="28" t="str">
        <x:v>ANC-JAM-016-MECH-01-R01</x:v>
      </x:c>
      <x:c r="B1315" s="28" t="str">
        <x:v>ANC-JAM-016-MECH-01</x:v>
      </x:c>
      <x:c r="C1315" s="28" t="n">
        <x:v>9</x:v>
      </x:c>
      <x:c r="D1315" s="47" t="n">
        <x:v>108.02</x:v>
      </x:c>
      <x:c r="E1315" s="47" t="n">
        <x:v>226.28</x:v>
      </x:c>
      <x:c r="F1315" s="47" t="n">
        <x:v>112.22</x:v>
      </x:c>
      <x:c r="G1315" s="47" t="n">
        <x:v>239.66</x:v>
      </x:c>
      <x:c r="H1315" s="50" t="n">
        <x:v>0.176503</x:v>
      </x:c>
      <x:c r="I1315" s="50" t="n">
        <x:v>0.285707</x:v>
      </x:c>
      <x:c r="J1315" s="50" t="n">
        <x:v>0.183366</x:v>
      </x:c>
      <x:c r="K1315" s="50" t="n">
        <x:v>0.302601</x:v>
      </x:c>
      <x:c r="L1315" s="47" t="n">
        <x:v>612</x:v>
      </x:c>
      <x:c r="M1315" s="47" t="n">
        <x:v>792</x:v>
      </x:c>
      <x:c r="N1315" s="28" t="str">
        <x:v>top-left</x:v>
      </x:c>
      <x:c r="O1315" s="28" t="str">
        <x:v>PDF points</x:v>
      </x:c>
    </x:row>
    <x:row r="1316" ht="22" customHeight="1">
      <x:c r="A1316" s="28" t="str">
        <x:v>ANC-JAM-016-MECH-01-R02</x:v>
      </x:c>
      <x:c r="B1316" s="28" t="str">
        <x:v>ANC-JAM-016-MECH-01</x:v>
      </x:c>
      <x:c r="C1316" s="28" t="n">
        <x:v>9</x:v>
      </x:c>
      <x:c r="D1316" s="47" t="n">
        <x:v>144.02</x:v>
      </x:c>
      <x:c r="E1316" s="47" t="n">
        <x:v>226.448</x:v>
      </x:c>
      <x:c r="F1316" s="47" t="n">
        <x:v>506.18</x:v>
      </x:c>
      <x:c r="G1316" s="47" t="n">
        <x:v>239.732</x:v>
      </x:c>
      <x:c r="H1316" s="50" t="n">
        <x:v>0.235327</x:v>
      </x:c>
      <x:c r="I1316" s="50" t="n">
        <x:v>0.285919</x:v>
      </x:c>
      <x:c r="J1316" s="50" t="n">
        <x:v>0.827092</x:v>
      </x:c>
      <x:c r="K1316" s="50" t="n">
        <x:v>0.302692</x:v>
      </x:c>
      <x:c r="L1316" s="47" t="n">
        <x:v>612</x:v>
      </x:c>
      <x:c r="M1316" s="47" t="n">
        <x:v>792</x:v>
      </x:c>
      <x:c r="N1316" s="28" t="str">
        <x:v>top-left</x:v>
      </x:c>
      <x:c r="O1316" s="28" t="str">
        <x:v>PDF points</x:v>
      </x:c>
    </x:row>
    <x:row r="1317" ht="22" customHeight="1">
      <x:c r="A1317" s="28" t="str">
        <x:v>ANC-JAM-016-MECH-01-R03</x:v>
      </x:c>
      <x:c r="B1317" s="28" t="str">
        <x:v>ANC-JAM-016-MECH-01</x:v>
      </x:c>
      <x:c r="C1317" s="28" t="n">
        <x:v>9</x:v>
      </x:c>
      <x:c r="D1317" s="47" t="n">
        <x:v>144.02</x:v>
      </x:c>
      <x:c r="E1317" s="47" t="n">
        <x:v>242.198</x:v>
      </x:c>
      <x:c r="F1317" s="47" t="n">
        <x:v>535.598</x:v>
      </x:c>
      <x:c r="G1317" s="47" t="n">
        <x:v>255.482</x:v>
      </x:c>
      <x:c r="H1317" s="50" t="n">
        <x:v>0.235327</x:v>
      </x:c>
      <x:c r="I1317" s="50" t="n">
        <x:v>0.305806</x:v>
      </x:c>
      <x:c r="J1317" s="50" t="n">
        <x:v>0.87516</x:v>
      </x:c>
      <x:c r="K1317" s="50" t="n">
        <x:v>0.322578</x:v>
      </x:c>
      <x:c r="L1317" s="47" t="n">
        <x:v>612</x:v>
      </x:c>
      <x:c r="M1317" s="47" t="n">
        <x:v>792</x:v>
      </x:c>
      <x:c r="N1317" s="28" t="str">
        <x:v>top-left</x:v>
      </x:c>
      <x:c r="O1317" s="28" t="str">
        <x:v>PDF points</x:v>
      </x:c>
    </x:row>
    <x:row r="1318" ht="22" customHeight="1">
      <x:c r="A1318" s="28" t="str">
        <x:v>ANC-JAM-016-MECH-01-R04</x:v>
      </x:c>
      <x:c r="B1318" s="28" t="str">
        <x:v>ANC-JAM-016-MECH-01</x:v>
      </x:c>
      <x:c r="C1318" s="28" t="n">
        <x:v>9</x:v>
      </x:c>
      <x:c r="D1318" s="47" t="n">
        <x:v>144.02</x:v>
      </x:c>
      <x:c r="E1318" s="47" t="n">
        <x:v>257.918</x:v>
      </x:c>
      <x:c r="F1318" s="47" t="n">
        <x:v>186.38</x:v>
      </x:c>
      <x:c r="G1318" s="47" t="n">
        <x:v>271.202</x:v>
      </x:c>
      <x:c r="H1318" s="50" t="n">
        <x:v>0.235327</x:v>
      </x:c>
      <x:c r="I1318" s="50" t="n">
        <x:v>0.325654</x:v>
      </x:c>
      <x:c r="J1318" s="50" t="n">
        <x:v>0.304542</x:v>
      </x:c>
      <x:c r="K1318" s="50" t="n">
        <x:v>0.342427</x:v>
      </x:c>
      <x:c r="L1318" s="47" t="n">
        <x:v>612</x:v>
      </x:c>
      <x:c r="M1318" s="47" t="n">
        <x:v>792</x:v>
      </x:c>
      <x:c r="N1318" s="28" t="str">
        <x:v>top-left</x:v>
      </x:c>
      <x:c r="O1318" s="28" t="str">
        <x:v>PDF points</x:v>
      </x:c>
    </x:row>
    <x:row r="1319" ht="22" customHeight="1">
      <x:c r="A1319" s="28" t="str">
        <x:v>ANC-JAM-017-ASP-R01</x:v>
      </x:c>
      <x:c r="B1319" s="28" t="str">
        <x:v>ANC-JAM-017-ASP</x:v>
      </x:c>
      <x:c r="C1319" s="28" t="n">
        <x:v>7</x:v>
      </x:c>
      <x:c r="D1319" s="47" t="n">
        <x:v>90.024</x:v>
      </x:c>
      <x:c r="E1319" s="47" t="n">
        <x:v>524.338</x:v>
      </x:c>
      <x:c r="F1319" s="47" t="n">
        <x:v>515.656</x:v>
      </x:c>
      <x:c r="G1319" s="47" t="n">
        <x:v>537.79</x:v>
      </x:c>
      <x:c r="H1319" s="50" t="n">
        <x:v>0.147098</x:v>
      </x:c>
      <x:c r="I1319" s="50" t="n">
        <x:v>0.662043</x:v>
      </x:c>
      <x:c r="J1319" s="50" t="n">
        <x:v>0.842575</x:v>
      </x:c>
      <x:c r="K1319" s="50" t="n">
        <x:v>0.679028</x:v>
      </x:c>
      <x:c r="L1319" s="47" t="n">
        <x:v>612</x:v>
      </x:c>
      <x:c r="M1319" s="47" t="n">
        <x:v>792</x:v>
      </x:c>
      <x:c r="N1319" s="28" t="str">
        <x:v>top-left</x:v>
      </x:c>
      <x:c r="O1319" s="28" t="str">
        <x:v>PDF points</x:v>
      </x:c>
    </x:row>
    <x:row r="1320" ht="22" customHeight="1">
      <x:c r="A1320" s="28" t="str">
        <x:v>ANC-JAM-017-ASP-R02</x:v>
      </x:c>
      <x:c r="B1320" s="28" t="str">
        <x:v>ANC-JAM-017-ASP</x:v>
      </x:c>
      <x:c r="C1320" s="28" t="n">
        <x:v>7</x:v>
      </x:c>
      <x:c r="D1320" s="47" t="n">
        <x:v>108.02</x:v>
      </x:c>
      <x:c r="E1320" s="47" t="n">
        <x:v>539.098</x:v>
      </x:c>
      <x:c r="F1320" s="47" t="n">
        <x:v>232.304</x:v>
      </x:c>
      <x:c r="G1320" s="47" t="n">
        <x:v>552.382</x:v>
      </x:c>
      <x:c r="H1320" s="50" t="n">
        <x:v>0.176503</x:v>
      </x:c>
      <x:c r="I1320" s="50" t="n">
        <x:v>0.680679</x:v>
      </x:c>
      <x:c r="J1320" s="50" t="n">
        <x:v>0.379582</x:v>
      </x:c>
      <x:c r="K1320" s="50" t="n">
        <x:v>0.697452</x:v>
      </x:c>
      <x:c r="L1320" s="47" t="n">
        <x:v>612</x:v>
      </x:c>
      <x:c r="M1320" s="47" t="n">
        <x:v>792</x:v>
      </x:c>
      <x:c r="N1320" s="28" t="str">
        <x:v>top-left</x:v>
      </x:c>
      <x:c r="O1320" s="28" t="str">
        <x:v>PDF points</x:v>
      </x:c>
    </x:row>
    <x:row r="1321" ht="22" customHeight="1">
      <x:c r="A1321" s="28" t="str">
        <x:v>ANC-JAM-017-MECH-01-R01</x:v>
      </x:c>
      <x:c r="B1321" s="28" t="str">
        <x:v>ANC-JAM-017-MECH-01</x:v>
      </x:c>
      <x:c r="C1321" s="28" t="n">
        <x:v>4</x:v>
      </x:c>
      <x:c r="D1321" s="47" t="n">
        <x:v>404.144</x:v>
      </x:c>
      <x:c r="E1321" s="47" t="n">
        <x:v>87.248</x:v>
      </x:c>
      <x:c r="F1321" s="47" t="n">
        <x:v>539.864</x:v>
      </x:c>
      <x:c r="G1321" s="47" t="n">
        <x:v>100.532</x:v>
      </x:c>
      <x:c r="H1321" s="50" t="n">
        <x:v>0.660366</x:v>
      </x:c>
      <x:c r="I1321" s="50" t="n">
        <x:v>0.110162</x:v>
      </x:c>
      <x:c r="J1321" s="50" t="n">
        <x:v>0.882131</x:v>
      </x:c>
      <x:c r="K1321" s="50" t="n">
        <x:v>0.126934</x:v>
      </x:c>
      <x:c r="L1321" s="47" t="n">
        <x:v>612</x:v>
      </x:c>
      <x:c r="M1321" s="47" t="n">
        <x:v>792</x:v>
      </x:c>
      <x:c r="N1321" s="28" t="str">
        <x:v>top-left</x:v>
      </x:c>
      <x:c r="O1321" s="28" t="str">
        <x:v>PDF points</x:v>
      </x:c>
    </x:row>
    <x:row r="1322" ht="22" customHeight="1">
      <x:c r="A1322" s="28" t="str">
        <x:v>ANC-JAM-017-MECH-01-R02</x:v>
      </x:c>
      <x:c r="B1322" s="28" t="str">
        <x:v>ANC-JAM-017-MECH-01</x:v>
      </x:c>
      <x:c r="C1322" s="28" t="n">
        <x:v>4</x:v>
      </x:c>
      <x:c r="D1322" s="47" t="n">
        <x:v>144.02</x:v>
      </x:c>
      <x:c r="E1322" s="47" t="n">
        <x:v>102.008</x:v>
      </x:c>
      <x:c r="F1322" s="47" t="n">
        <x:v>438.368</x:v>
      </x:c>
      <x:c r="G1322" s="47" t="n">
        <x:v>115.292</x:v>
      </x:c>
      <x:c r="H1322" s="50" t="n">
        <x:v>0.235327</x:v>
      </x:c>
      <x:c r="I1322" s="50" t="n">
        <x:v>0.128798</x:v>
      </x:c>
      <x:c r="J1322" s="50" t="n">
        <x:v>0.716288</x:v>
      </x:c>
      <x:c r="K1322" s="50" t="n">
        <x:v>0.145571</x:v>
      </x:c>
      <x:c r="L1322" s="47" t="n">
        <x:v>612</x:v>
      </x:c>
      <x:c r="M1322" s="47" t="n">
        <x:v>792</x:v>
      </x:c>
      <x:c r="N1322" s="28" t="str">
        <x:v>top-left</x:v>
      </x:c>
      <x:c r="O1322" s="28" t="str">
        <x:v>PDF points</x:v>
      </x:c>
    </x:row>
    <x:row r="1323" ht="22" customHeight="1">
      <x:c r="A1323" s="28" t="str">
        <x:v>ANC-JAM-017-MECH-01-R03</x:v>
      </x:c>
      <x:c r="B1323" s="28" t="str">
        <x:v>ANC-JAM-017-MECH-01</x:v>
      </x:c>
      <x:c r="C1323" s="28" t="n">
        <x:v>4</x:v>
      </x:c>
      <x:c r="D1323" s="47" t="n">
        <x:v>116.3</x:v>
      </x:c>
      <x:c r="E1323" s="47" t="n">
        <x:v>125.663</x:v>
      </x:c>
      <x:c r="F1323" s="47" t="n">
        <x:v>126.092</x:v>
      </x:c>
      <x:c r="G1323" s="47" t="n">
        <x:v>137.885</x:v>
      </x:c>
      <x:c r="H1323" s="50" t="n">
        <x:v>0.190033</x:v>
      </x:c>
      <x:c r="I1323" s="50" t="n">
        <x:v>0.158666</x:v>
      </x:c>
      <x:c r="J1323" s="50" t="n">
        <x:v>0.206033</x:v>
      </x:c>
      <x:c r="K1323" s="50" t="n">
        <x:v>0.174097</x:v>
      </x:c>
      <x:c r="L1323" s="47" t="n">
        <x:v>612</x:v>
      </x:c>
      <x:c r="M1323" s="47" t="n">
        <x:v>792</x:v>
      </x:c>
      <x:c r="N1323" s="28" t="str">
        <x:v>top-left</x:v>
      </x:c>
      <x:c r="O1323" s="28" t="str">
        <x:v>PDF points</x:v>
      </x:c>
    </x:row>
    <x:row r="1324" ht="22" customHeight="1">
      <x:c r="A1324" s="28" t="str">
        <x:v>ANC-JAM-017-MECH-01-R04</x:v>
      </x:c>
      <x:c r="B1324" s="28" t="str">
        <x:v>ANC-JAM-017-MECH-01</x:v>
      </x:c>
      <x:c r="C1324" s="28" t="n">
        <x:v>4</x:v>
      </x:c>
      <x:c r="D1324" s="47" t="n">
        <x:v>144.02</x:v>
      </x:c>
      <x:c r="E1324" s="47" t="n">
        <x:v>124.808</x:v>
      </x:c>
      <x:c r="F1324" s="47" t="n">
        <x:v>539.738</x:v>
      </x:c>
      <x:c r="G1324" s="47" t="n">
        <x:v>138.092</x:v>
      </x:c>
      <x:c r="H1324" s="50" t="n">
        <x:v>0.235327</x:v>
      </x:c>
      <x:c r="I1324" s="50" t="n">
        <x:v>0.157586</x:v>
      </x:c>
      <x:c r="J1324" s="50" t="n">
        <x:v>0.881925</x:v>
      </x:c>
      <x:c r="K1324" s="50" t="n">
        <x:v>0.174359</x:v>
      </x:c>
      <x:c r="L1324" s="47" t="n">
        <x:v>612</x:v>
      </x:c>
      <x:c r="M1324" s="47" t="n">
        <x:v>792</x:v>
      </x:c>
      <x:c r="N1324" s="28" t="str">
        <x:v>top-left</x:v>
      </x:c>
      <x:c r="O1324" s="28" t="str">
        <x:v>PDF points</x:v>
      </x:c>
    </x:row>
    <x:row r="1325" ht="22" customHeight="1">
      <x:c r="A1325" s="28" t="str">
        <x:v>ANC-JAM-017-MECH-01-R05</x:v>
      </x:c>
      <x:c r="B1325" s="28" t="str">
        <x:v>ANC-JAM-017-MECH-01</x:v>
      </x:c>
      <x:c r="C1325" s="28" t="n">
        <x:v>4</x:v>
      </x:c>
      <x:c r="D1325" s="47" t="n">
        <x:v>144.02</x:v>
      </x:c>
      <x:c r="E1325" s="47" t="n">
        <x:v>139.568</x:v>
      </x:c>
      <x:c r="F1325" s="47" t="n">
        <x:v>539.822</x:v>
      </x:c>
      <x:c r="G1325" s="47" t="n">
        <x:v>152.852</x:v>
      </x:c>
      <x:c r="H1325" s="50" t="n">
        <x:v>0.235327</x:v>
      </x:c>
      <x:c r="I1325" s="50" t="n">
        <x:v>0.176222</x:v>
      </x:c>
      <x:c r="J1325" s="50" t="n">
        <x:v>0.882062</x:v>
      </x:c>
      <x:c r="K1325" s="50" t="n">
        <x:v>0.192995</x:v>
      </x:c>
      <x:c r="L1325" s="47" t="n">
        <x:v>612</x:v>
      </x:c>
      <x:c r="M1325" s="47" t="n">
        <x:v>792</x:v>
      </x:c>
      <x:c r="N1325" s="28" t="str">
        <x:v>top-left</x:v>
      </x:c>
      <x:c r="O1325" s="28" t="str">
        <x:v>PDF points</x:v>
      </x:c>
    </x:row>
    <x:row r="1326" ht="22" customHeight="1">
      <x:c r="A1326" s="28" t="str">
        <x:v>ANC-JAM-017-MECH-01-R06</x:v>
      </x:c>
      <x:c r="B1326" s="28" t="str">
        <x:v>ANC-JAM-017-MECH-01</x:v>
      </x:c>
      <x:c r="C1326" s="28" t="n">
        <x:v>4</x:v>
      </x:c>
      <x:c r="D1326" s="47" t="n">
        <x:v>144.02</x:v>
      </x:c>
      <x:c r="E1326" s="47" t="n">
        <x:v>154.328</x:v>
      </x:c>
      <x:c r="F1326" s="47" t="n">
        <x:v>330.998</x:v>
      </x:c>
      <x:c r="G1326" s="47" t="n">
        <x:v>167.612</x:v>
      </x:c>
      <x:c r="H1326" s="50" t="n">
        <x:v>0.235327</x:v>
      </x:c>
      <x:c r="I1326" s="50" t="n">
        <x:v>0.194859</x:v>
      </x:c>
      <x:c r="J1326" s="50" t="n">
        <x:v>0.540846</x:v>
      </x:c>
      <x:c r="K1326" s="50" t="n">
        <x:v>0.211631</x:v>
      </x:c>
      <x:c r="L1326" s="47" t="n">
        <x:v>612</x:v>
      </x:c>
      <x:c r="M1326" s="47" t="n">
        <x:v>792</x:v>
      </x:c>
      <x:c r="N1326" s="28" t="str">
        <x:v>top-left</x:v>
      </x:c>
      <x:c r="O1326" s="28" t="str">
        <x:v>PDF points</x:v>
      </x:c>
    </x:row>
    <x:row r="1327" ht="22" customHeight="1">
      <x:c r="A1327" s="28" t="str">
        <x:v>ANC-JAM-017-MECH-02-R01</x:v>
      </x:c>
      <x:c r="B1327" s="28" t="str">
        <x:v>ANC-JAM-017-MECH-02</x:v>
      </x:c>
      <x:c r="C1327" s="28" t="n">
        <x:v>9</x:v>
      </x:c>
      <x:c r="D1327" s="47" t="n">
        <x:v>72.024</x:v>
      </x:c>
      <x:c r="E1327" s="47" t="n">
        <x:v>294.038</x:v>
      </x:c>
      <x:c r="F1327" s="47" t="n">
        <x:v>78.024</x:v>
      </x:c>
      <x:c r="G1327" s="47" t="n">
        <x:v>307.322</x:v>
      </x:c>
      <x:c r="H1327" s="50" t="n">
        <x:v>0.117686</x:v>
      </x:c>
      <x:c r="I1327" s="50" t="n">
        <x:v>0.37126</x:v>
      </x:c>
      <x:c r="J1327" s="50" t="n">
        <x:v>0.12749</x:v>
      </x:c>
      <x:c r="K1327" s="50" t="n">
        <x:v>0.388033</x:v>
      </x:c>
      <x:c r="L1327" s="47" t="n">
        <x:v>612</x:v>
      </x:c>
      <x:c r="M1327" s="47" t="n">
        <x:v>792</x:v>
      </x:c>
      <x:c r="N1327" s="28" t="str">
        <x:v>top-left</x:v>
      </x:c>
      <x:c r="O1327" s="28" t="str">
        <x:v>PDF points</x:v>
      </x:c>
    </x:row>
    <x:row r="1328" ht="22" customHeight="1">
      <x:c r="A1328" s="28" t="str">
        <x:v>ANC-JAM-017-MECH-02-R02</x:v>
      </x:c>
      <x:c r="B1328" s="28" t="str">
        <x:v>ANC-JAM-017-MECH-02</x:v>
      </x:c>
      <x:c r="C1328" s="28" t="n">
        <x:v>9</x:v>
      </x:c>
      <x:c r="D1328" s="47" t="n">
        <x:v>93.624</x:v>
      </x:c>
      <x:c r="E1328" s="47" t="n">
        <x:v>294.038</x:v>
      </x:c>
      <x:c r="F1328" s="47" t="n">
        <x:v>237.18</x:v>
      </x:c>
      <x:c r="G1328" s="47" t="n">
        <x:v>307.322</x:v>
      </x:c>
      <x:c r="H1328" s="50" t="n">
        <x:v>0.15298</x:v>
      </x:c>
      <x:c r="I1328" s="50" t="n">
        <x:v>0.37126</x:v>
      </x:c>
      <x:c r="J1328" s="50" t="n">
        <x:v>0.387549</x:v>
      </x:c>
      <x:c r="K1328" s="50" t="n">
        <x:v>0.388033</x:v>
      </x:c>
      <x:c r="L1328" s="47" t="n">
        <x:v>612</x:v>
      </x:c>
      <x:c r="M1328" s="47" t="n">
        <x:v>792</x:v>
      </x:c>
      <x:c r="N1328" s="28" t="str">
        <x:v>top-left</x:v>
      </x:c>
      <x:c r="O1328" s="28" t="str">
        <x:v>PDF points</x:v>
      </x:c>
    </x:row>
    <x:row r="1329" ht="22" customHeight="1">
      <x:c r="A1329" s="28" t="str">
        <x:v>ANC-JAM-017-MECH-02-R03</x:v>
      </x:c>
      <x:c r="B1329" s="28" t="str">
        <x:v>ANC-JAM-017-MECH-02</x:v>
      </x:c>
      <x:c r="C1329" s="28" t="n">
        <x:v>9</x:v>
      </x:c>
      <x:c r="D1329" s="47" t="n">
        <x:v>72.024</x:v>
      </x:c>
      <x:c r="E1329" s="47" t="n">
        <x:v>311.798</x:v>
      </x:c>
      <x:c r="F1329" s="47" t="n">
        <x:v>539.724</x:v>
      </x:c>
      <x:c r="G1329" s="47" t="n">
        <x:v>325.082</x:v>
      </x:c>
      <x:c r="H1329" s="50" t="n">
        <x:v>0.117686</x:v>
      </x:c>
      <x:c r="I1329" s="50" t="n">
        <x:v>0.393684</x:v>
      </x:c>
      <x:c r="J1329" s="50" t="n">
        <x:v>0.881902</x:v>
      </x:c>
      <x:c r="K1329" s="50" t="n">
        <x:v>0.410457</x:v>
      </x:c>
      <x:c r="L1329" s="47" t="n">
        <x:v>612</x:v>
      </x:c>
      <x:c r="M1329" s="47" t="n">
        <x:v>792</x:v>
      </x:c>
      <x:c r="N1329" s="28" t="str">
        <x:v>top-left</x:v>
      </x:c>
      <x:c r="O1329" s="28" t="str">
        <x:v>PDF points</x:v>
      </x:c>
    </x:row>
    <x:row r="1330" ht="22" customHeight="1">
      <x:c r="A1330" s="28" t="str">
        <x:v>ANC-JAM-017-MECH-02-R04</x:v>
      </x:c>
      <x:c r="B1330" s="28" t="str">
        <x:v>ANC-JAM-017-MECH-02</x:v>
      </x:c>
      <x:c r="C1330" s="28" t="n">
        <x:v>9</x:v>
      </x:c>
      <x:c r="D1330" s="47" t="n">
        <x:v>72.024</x:v>
      </x:c>
      <x:c r="E1330" s="47" t="n">
        <x:v>326.558</x:v>
      </x:c>
      <x:c r="F1330" s="47" t="n">
        <x:v>539.664</x:v>
      </x:c>
      <x:c r="G1330" s="47" t="n">
        <x:v>339.842</x:v>
      </x:c>
      <x:c r="H1330" s="50" t="n">
        <x:v>0.117686</x:v>
      </x:c>
      <x:c r="I1330" s="50" t="n">
        <x:v>0.412321</x:v>
      </x:c>
      <x:c r="J1330" s="50" t="n">
        <x:v>0.881804</x:v>
      </x:c>
      <x:c r="K1330" s="50" t="n">
        <x:v>0.429093</x:v>
      </x:c>
      <x:c r="L1330" s="47" t="n">
        <x:v>612</x:v>
      </x:c>
      <x:c r="M1330" s="47" t="n">
        <x:v>792</x:v>
      </x:c>
      <x:c r="N1330" s="28" t="str">
        <x:v>top-left</x:v>
      </x:c>
      <x:c r="O1330" s="28" t="str">
        <x:v>PDF points</x:v>
      </x:c>
    </x:row>
    <x:row r="1331" ht="22" customHeight="1">
      <x:c r="A1331" s="28" t="str">
        <x:v>ANC-JAM-017-MECH-02-R05</x:v>
      </x:c>
      <x:c r="B1331" s="28" t="str">
        <x:v>ANC-JAM-017-MECH-02</x:v>
      </x:c>
      <x:c r="C1331" s="28" t="n">
        <x:v>9</x:v>
      </x:c>
      <x:c r="D1331" s="47" t="n">
        <x:v>72.024</x:v>
      </x:c>
      <x:c r="E1331" s="47" t="n">
        <x:v>341.318</x:v>
      </x:c>
      <x:c r="F1331" s="47" t="n">
        <x:v>539.76</x:v>
      </x:c>
      <x:c r="G1331" s="47" t="n">
        <x:v>354.602</x:v>
      </x:c>
      <x:c r="H1331" s="50" t="n">
        <x:v>0.117686</x:v>
      </x:c>
      <x:c r="I1331" s="50" t="n">
        <x:v>0.430957</x:v>
      </x:c>
      <x:c r="J1331" s="50" t="n">
        <x:v>0.881961</x:v>
      </x:c>
      <x:c r="K1331" s="50" t="n">
        <x:v>0.44773</x:v>
      </x:c>
      <x:c r="L1331" s="47" t="n">
        <x:v>612</x:v>
      </x:c>
      <x:c r="M1331" s="47" t="n">
        <x:v>792</x:v>
      </x:c>
      <x:c r="N1331" s="28" t="str">
        <x:v>top-left</x:v>
      </x:c>
      <x:c r="O1331" s="28" t="str">
        <x:v>PDF points</x:v>
      </x:c>
    </x:row>
    <x:row r="1332" ht="22" customHeight="1">
      <x:c r="A1332" s="28" t="str">
        <x:v>ANC-JAM-017-MECH-02-R06</x:v>
      </x:c>
      <x:c r="B1332" s="28" t="str">
        <x:v>ANC-JAM-017-MECH-02</x:v>
      </x:c>
      <x:c r="C1332" s="28" t="n">
        <x:v>9</x:v>
      </x:c>
      <x:c r="D1332" s="47" t="n">
        <x:v>72.024</x:v>
      </x:c>
      <x:c r="E1332" s="47" t="n">
        <x:v>356.078</x:v>
      </x:c>
      <x:c r="F1332" s="47" t="n">
        <x:v>539.944</x:v>
      </x:c>
      <x:c r="G1332" s="47" t="n">
        <x:v>369.362</x:v>
      </x:c>
      <x:c r="H1332" s="50" t="n">
        <x:v>0.117686</x:v>
      </x:c>
      <x:c r="I1332" s="50" t="n">
        <x:v>0.449593</x:v>
      </x:c>
      <x:c r="J1332" s="50" t="n">
        <x:v>0.882261</x:v>
      </x:c>
      <x:c r="K1332" s="50" t="n">
        <x:v>0.466366</x:v>
      </x:c>
      <x:c r="L1332" s="47" t="n">
        <x:v>612</x:v>
      </x:c>
      <x:c r="M1332" s="47" t="n">
        <x:v>792</x:v>
      </x:c>
      <x:c r="N1332" s="28" t="str">
        <x:v>top-left</x:v>
      </x:c>
      <x:c r="O1332" s="28" t="str">
        <x:v>PDF points</x:v>
      </x:c>
    </x:row>
    <x:row r="1333" ht="22" customHeight="1">
      <x:c r="A1333" s="28" t="str">
        <x:v>ANC-JAM-017-MECH-03-R01</x:v>
      </x:c>
      <x:c r="B1333" s="28" t="str">
        <x:v>ANC-JAM-017-MECH-03</x:v>
      </x:c>
      <x:c r="C1333" s="28" t="n">
        <x:v>10</x:v>
      </x:c>
      <x:c r="D1333" s="47" t="n">
        <x:v>72.024</x:v>
      </x:c>
      <x:c r="E1333" s="47" t="n">
        <x:v>72.468</x:v>
      </x:c>
      <x:c r="F1333" s="47" t="n">
        <x:v>539.748</x:v>
      </x:c>
      <x:c r="G1333" s="47" t="n">
        <x:v>85.752</x:v>
      </x:c>
      <x:c r="H1333" s="50" t="n">
        <x:v>0.117686</x:v>
      </x:c>
      <x:c r="I1333" s="50" t="n">
        <x:v>0.0915</x:v>
      </x:c>
      <x:c r="J1333" s="50" t="n">
        <x:v>0.881941</x:v>
      </x:c>
      <x:c r="K1333" s="50" t="n">
        <x:v>0.108273</x:v>
      </x:c>
      <x:c r="L1333" s="47" t="n">
        <x:v>612</x:v>
      </x:c>
      <x:c r="M1333" s="47" t="n">
        <x:v>792</x:v>
      </x:c>
      <x:c r="N1333" s="28" t="str">
        <x:v>top-left</x:v>
      </x:c>
      <x:c r="O1333" s="28" t="str">
        <x:v>PDF points</x:v>
      </x:c>
    </x:row>
    <x:row r="1334" ht="22" customHeight="1">
      <x:c r="A1334" s="28" t="str">
        <x:v>ANC-JAM-017-MECH-03-R02</x:v>
      </x:c>
      <x:c r="B1334" s="28" t="str">
        <x:v>ANC-JAM-017-MECH-03</x:v>
      </x:c>
      <x:c r="C1334" s="28" t="n">
        <x:v>10</x:v>
      </x:c>
      <x:c r="D1334" s="47" t="n">
        <x:v>72.024</x:v>
      </x:c>
      <x:c r="E1334" s="47" t="n">
        <x:v>87.248</x:v>
      </x:c>
      <x:c r="F1334" s="47" t="n">
        <x:v>369.828</x:v>
      </x:c>
      <x:c r="G1334" s="47" t="n">
        <x:v>100.532</x:v>
      </x:c>
      <x:c r="H1334" s="50" t="n">
        <x:v>0.117686</x:v>
      </x:c>
      <x:c r="I1334" s="50" t="n">
        <x:v>0.110162</x:v>
      </x:c>
      <x:c r="J1334" s="50" t="n">
        <x:v>0.604294</x:v>
      </x:c>
      <x:c r="K1334" s="50" t="n">
        <x:v>0.126934</x:v>
      </x:c>
      <x:c r="L1334" s="47" t="n">
        <x:v>612</x:v>
      </x:c>
      <x:c r="M1334" s="47" t="n">
        <x:v>792</x:v>
      </x:c>
      <x:c r="N1334" s="28" t="str">
        <x:v>top-left</x:v>
      </x:c>
      <x:c r="O1334" s="28" t="str">
        <x:v>PDF points</x:v>
      </x:c>
    </x:row>
    <x:row r="1335" ht="22" customHeight="1">
      <x:c r="A1335" s="28" t="str">
        <x:v>ANC-JAM-028-ASP-R01</x:v>
      </x:c>
      <x:c r="B1335" s="28" t="str">
        <x:v>ANC-JAM-028-ASP</x:v>
      </x:c>
      <x:c r="C1335" s="28" t="n">
        <x:v>10</x:v>
      </x:c>
      <x:c r="D1335" s="47" t="n">
        <x:v>128.652</x:v>
      </x:c>
      <x:c r="E1335" s="47" t="n">
        <x:v>169.688</x:v>
      </x:c>
      <x:c r="F1335" s="47" t="n">
        <x:v>539.856</x:v>
      </x:c>
      <x:c r="G1335" s="47" t="n">
        <x:v>182.972</x:v>
      </x:c>
      <x:c r="H1335" s="50" t="n">
        <x:v>0.210216</x:v>
      </x:c>
      <x:c r="I1335" s="50" t="n">
        <x:v>0.214253</x:v>
      </x:c>
      <x:c r="J1335" s="50" t="n">
        <x:v>0.882118</x:v>
      </x:c>
      <x:c r="K1335" s="50" t="n">
        <x:v>0.231025</x:v>
      </x:c>
      <x:c r="L1335" s="47" t="n">
        <x:v>612</x:v>
      </x:c>
      <x:c r="M1335" s="47" t="n">
        <x:v>792</x:v>
      </x:c>
      <x:c r="N1335" s="28" t="str">
        <x:v>top-left</x:v>
      </x:c>
      <x:c r="O1335" s="28" t="str">
        <x:v>PDF points</x:v>
      </x:c>
    </x:row>
    <x:row r="1336" ht="22" customHeight="1">
      <x:c r="A1336" s="28" t="str">
        <x:v>ANC-JAM-028-ASP-R02</x:v>
      </x:c>
      <x:c r="B1336" s="28" t="str">
        <x:v>ANC-JAM-028-ASP</x:v>
      </x:c>
      <x:c r="C1336" s="28" t="n">
        <x:v>10</x:v>
      </x:c>
      <x:c r="D1336" s="47" t="n">
        <x:v>72.024</x:v>
      </x:c>
      <x:c r="E1336" s="47" t="n">
        <x:v>184.448</x:v>
      </x:c>
      <x:c r="F1336" s="47" t="n">
        <x:v>397.812</x:v>
      </x:c>
      <x:c r="G1336" s="47" t="n">
        <x:v>197.732</x:v>
      </x:c>
      <x:c r="H1336" s="50" t="n">
        <x:v>0.117686</x:v>
      </x:c>
      <x:c r="I1336" s="50" t="n">
        <x:v>0.232889</x:v>
      </x:c>
      <x:c r="J1336" s="50" t="n">
        <x:v>0.65002</x:v>
      </x:c>
      <x:c r="K1336" s="50" t="n">
        <x:v>0.249662</x:v>
      </x:c>
      <x:c r="L1336" s="47" t="n">
        <x:v>612</x:v>
      </x:c>
      <x:c r="M1336" s="47" t="n">
        <x:v>792</x:v>
      </x:c>
      <x:c r="N1336" s="28" t="str">
        <x:v>top-left</x:v>
      </x:c>
      <x:c r="O1336" s="28" t="str">
        <x:v>PDF points</x:v>
      </x:c>
    </x:row>
    <x:row r="1337" ht="22" customHeight="1">
      <x:c r="A1337" s="28" t="str">
        <x:v>ANC-JAM-029-ASP-R01</x:v>
      </x:c>
      <x:c r="B1337" s="28" t="str">
        <x:v>ANC-JAM-029-ASP</x:v>
      </x:c>
      <x:c r="C1337" s="28" t="n">
        <x:v>2</x:v>
      </x:c>
      <x:c r="D1337" s="47" t="n">
        <x:v>72.024</x:v>
      </x:c>
      <x:c r="E1337" s="47" t="n">
        <x:v>547.378</x:v>
      </x:c>
      <x:c r="F1337" s="47" t="n">
        <x:v>78.024</x:v>
      </x:c>
      <x:c r="G1337" s="47" t="n">
        <x:v>560.662</x:v>
      </x:c>
      <x:c r="H1337" s="50" t="n">
        <x:v>0.117686</x:v>
      </x:c>
      <x:c r="I1337" s="50" t="n">
        <x:v>0.691134</x:v>
      </x:c>
      <x:c r="J1337" s="50" t="n">
        <x:v>0.12749</x:v>
      </x:c>
      <x:c r="K1337" s="50" t="n">
        <x:v>0.707907</x:v>
      </x:c>
      <x:c r="L1337" s="47" t="n">
        <x:v>612</x:v>
      </x:c>
      <x:c r="M1337" s="47" t="n">
        <x:v>792</x:v>
      </x:c>
      <x:c r="N1337" s="28" t="str">
        <x:v>top-left</x:v>
      </x:c>
      <x:c r="O1337" s="28" t="str">
        <x:v>PDF points</x:v>
      </x:c>
    </x:row>
    <x:row r="1338" ht="22" customHeight="1">
      <x:c r="A1338" s="28" t="str">
        <x:v>ANC-JAM-029-ASP-R02</x:v>
      </x:c>
      <x:c r="B1338" s="28" t="str">
        <x:v>ANC-JAM-029-ASP</x:v>
      </x:c>
      <x:c r="C1338" s="28" t="n">
        <x:v>2</x:v>
      </x:c>
      <x:c r="D1338" s="47" t="n">
        <x:v>93.624</x:v>
      </x:c>
      <x:c r="E1338" s="47" t="n">
        <x:v>547.378</x:v>
      </x:c>
      <x:c r="F1338" s="47" t="n">
        <x:v>224.88</x:v>
      </x:c>
      <x:c r="G1338" s="47" t="n">
        <x:v>560.662</x:v>
      </x:c>
      <x:c r="H1338" s="50" t="n">
        <x:v>0.15298</x:v>
      </x:c>
      <x:c r="I1338" s="50" t="n">
        <x:v>0.691134</x:v>
      </x:c>
      <x:c r="J1338" s="50" t="n">
        <x:v>0.367451</x:v>
      </x:c>
      <x:c r="K1338" s="50" t="n">
        <x:v>0.707907</x:v>
      </x:c>
      <x:c r="L1338" s="47" t="n">
        <x:v>612</x:v>
      </x:c>
      <x:c r="M1338" s="47" t="n">
        <x:v>792</x:v>
      </x:c>
      <x:c r="N1338" s="28" t="str">
        <x:v>top-left</x:v>
      </x:c>
      <x:c r="O1338" s="28" t="str">
        <x:v>PDF points</x:v>
      </x:c>
    </x:row>
    <x:row r="1339" ht="22" customHeight="1">
      <x:c r="A1339" s="28" t="str">
        <x:v>ANC-JAM-029-ASP-R03</x:v>
      </x:c>
      <x:c r="B1339" s="28" t="str">
        <x:v>ANC-JAM-029-ASP</x:v>
      </x:c>
      <x:c r="C1339" s="28" t="n">
        <x:v>2</x:v>
      </x:c>
      <x:c r="D1339" s="47" t="n">
        <x:v>72.024</x:v>
      </x:c>
      <x:c r="E1339" s="47" t="n">
        <x:v>565.138</x:v>
      </x:c>
      <x:c r="F1339" s="47" t="n">
        <x:v>539.88</x:v>
      </x:c>
      <x:c r="G1339" s="47" t="n">
        <x:v>578.422</x:v>
      </x:c>
      <x:c r="H1339" s="50" t="n">
        <x:v>0.117686</x:v>
      </x:c>
      <x:c r="I1339" s="50" t="n">
        <x:v>0.713558</x:v>
      </x:c>
      <x:c r="J1339" s="50" t="n">
        <x:v>0.882157</x:v>
      </x:c>
      <x:c r="K1339" s="50" t="n">
        <x:v>0.730331</x:v>
      </x:c>
      <x:c r="L1339" s="47" t="n">
        <x:v>612</x:v>
      </x:c>
      <x:c r="M1339" s="47" t="n">
        <x:v>792</x:v>
      </x:c>
      <x:c r="N1339" s="28" t="str">
        <x:v>top-left</x:v>
      </x:c>
      <x:c r="O1339" s="28" t="str">
        <x:v>PDF points</x:v>
      </x:c>
    </x:row>
    <x:row r="1340" ht="22" customHeight="1">
      <x:c r="A1340" s="28" t="str">
        <x:v>ANC-JAM-029-ASP-R04</x:v>
      </x:c>
      <x:c r="B1340" s="28" t="str">
        <x:v>ANC-JAM-029-ASP</x:v>
      </x:c>
      <x:c r="C1340" s="28" t="n">
        <x:v>2</x:v>
      </x:c>
      <x:c r="D1340" s="47" t="n">
        <x:v>72.024</x:v>
      </x:c>
      <x:c r="E1340" s="47" t="n">
        <x:v>578.968</x:v>
      </x:c>
      <x:c r="F1340" s="47" t="n">
        <x:v>357.444</x:v>
      </x:c>
      <x:c r="G1340" s="47" t="n">
        <x:v>592.252</x:v>
      </x:c>
      <x:c r="H1340" s="50" t="n">
        <x:v>0.117686</x:v>
      </x:c>
      <x:c r="I1340" s="50" t="n">
        <x:v>0.73102</x:v>
      </x:c>
      <x:c r="J1340" s="50" t="n">
        <x:v>0.584059</x:v>
      </x:c>
      <x:c r="K1340" s="50" t="n">
        <x:v>0.747793</x:v>
      </x:c>
      <x:c r="L1340" s="47" t="n">
        <x:v>612</x:v>
      </x:c>
      <x:c r="M1340" s="47" t="n">
        <x:v>792</x:v>
      </x:c>
      <x:c r="N1340" s="28" t="str">
        <x:v>top-left</x:v>
      </x:c>
      <x:c r="O1340" s="28" t="str">
        <x:v>PDF points</x:v>
      </x:c>
    </x:row>
    <x:row r="1341" ht="22" customHeight="1">
      <x:c r="A1341" s="28" t="str">
        <x:v>ANC-JAM-030-ASP-R01</x:v>
      </x:c>
      <x:c r="B1341" s="28" t="str">
        <x:v>ANC-JAM-030-ASP</x:v>
      </x:c>
      <x:c r="C1341" s="28" t="n">
        <x:v>5</x:v>
      </x:c>
      <x:c r="D1341" s="47" t="n">
        <x:v>90.024</x:v>
      </x:c>
      <x:c r="E1341" s="47" t="n">
        <x:v>108.128</x:v>
      </x:c>
      <x:c r="F1341" s="47" t="n">
        <x:v>501.386</x:v>
      </x:c>
      <x:c r="G1341" s="47" t="n">
        <x:v>121.58</x:v>
      </x:c>
      <x:c r="H1341" s="50" t="n">
        <x:v>0.147098</x:v>
      </x:c>
      <x:c r="I1341" s="50" t="n">
        <x:v>0.136525</x:v>
      </x:c>
      <x:c r="J1341" s="50" t="n">
        <x:v>0.819258</x:v>
      </x:c>
      <x:c r="K1341" s="50" t="n">
        <x:v>0.15351</x:v>
      </x:c>
      <x:c r="L1341" s="47" t="n">
        <x:v>612</x:v>
      </x:c>
      <x:c r="M1341" s="47" t="n">
        <x:v>792</x:v>
      </x:c>
      <x:c r="N1341" s="28" t="str">
        <x:v>top-left</x:v>
      </x:c>
      <x:c r="O1341" s="28" t="str">
        <x:v>PDF points</x:v>
      </x:c>
    </x:row>
    <x:row r="1342" ht="22" customHeight="1">
      <x:c r="A1342" s="28" t="str">
        <x:v>ANC-JAM-030-ASP-R02</x:v>
      </x:c>
      <x:c r="B1342" s="28" t="str">
        <x:v>ANC-JAM-030-ASP</x:v>
      </x:c>
      <x:c r="C1342" s="28" t="n">
        <x:v>5</x:v>
      </x:c>
      <x:c r="D1342" s="47" t="n">
        <x:v>108.02</x:v>
      </x:c>
      <x:c r="E1342" s="47" t="n">
        <x:v>122.888</x:v>
      </x:c>
      <x:c r="F1342" s="47" t="n">
        <x:v>536.582</x:v>
      </x:c>
      <x:c r="G1342" s="47" t="n">
        <x:v>136.172</x:v>
      </x:c>
      <x:c r="H1342" s="50" t="n">
        <x:v>0.176503</x:v>
      </x:c>
      <x:c r="I1342" s="50" t="n">
        <x:v>0.155162</x:v>
      </x:c>
      <x:c r="J1342" s="50" t="n">
        <x:v>0.876768</x:v>
      </x:c>
      <x:c r="K1342" s="50" t="n">
        <x:v>0.171934</x:v>
      </x:c>
      <x:c r="L1342" s="47" t="n">
        <x:v>612</x:v>
      </x:c>
      <x:c r="M1342" s="47" t="n">
        <x:v>792</x:v>
      </x:c>
      <x:c r="N1342" s="28" t="str">
        <x:v>top-left</x:v>
      </x:c>
      <x:c r="O1342" s="28" t="str">
        <x:v>PDF points</x:v>
      </x:c>
    </x:row>
    <x:row r="1343" ht="22" customHeight="1">
      <x:c r="A1343" s="28" t="str">
        <x:v>ANC-JAM-030-ASP-R03</x:v>
      </x:c>
      <x:c r="B1343" s="28" t="str">
        <x:v>ANC-JAM-030-ASP</x:v>
      </x:c>
      <x:c r="C1343" s="28" t="n">
        <x:v>5</x:v>
      </x:c>
      <x:c r="D1343" s="47" t="n">
        <x:v>108.02</x:v>
      </x:c>
      <x:c r="E1343" s="47" t="n">
        <x:v>137.648</x:v>
      </x:c>
      <x:c r="F1343" s="47" t="n">
        <x:v>523.328</x:v>
      </x:c>
      <x:c r="G1343" s="47" t="n">
        <x:v>150.932</x:v>
      </x:c>
      <x:c r="H1343" s="50" t="n">
        <x:v>0.176503</x:v>
      </x:c>
      <x:c r="I1343" s="50" t="n">
        <x:v>0.173798</x:v>
      </x:c>
      <x:c r="J1343" s="50" t="n">
        <x:v>0.855111</x:v>
      </x:c>
      <x:c r="K1343" s="50" t="n">
        <x:v>0.190571</x:v>
      </x:c>
      <x:c r="L1343" s="47" t="n">
        <x:v>612</x:v>
      </x:c>
      <x:c r="M1343" s="47" t="n">
        <x:v>792</x:v>
      </x:c>
      <x:c r="N1343" s="28" t="str">
        <x:v>top-left</x:v>
      </x:c>
      <x:c r="O1343" s="28" t="str">
        <x:v>PDF points</x:v>
      </x:c>
    </x:row>
    <x:row r="1344" ht="22" customHeight="1">
      <x:c r="A1344" s="28" t="str">
        <x:v>ANC-JAM-031-ASP-R01</x:v>
      </x:c>
      <x:c r="B1344" s="28" t="str">
        <x:v>ANC-JAM-031-ASP</x:v>
      </x:c>
      <x:c r="C1344" s="28" t="n">
        <x:v>5</x:v>
      </x:c>
      <x:c r="D1344" s="47" t="n">
        <x:v>90.024</x:v>
      </x:c>
      <x:c r="E1344" s="47" t="n">
        <x:v>186.008</x:v>
      </x:c>
      <x:c r="F1344" s="47" t="n">
        <x:v>539.216</x:v>
      </x:c>
      <x:c r="G1344" s="47" t="n">
        <x:v>199.46</x:v>
      </x:c>
      <x:c r="H1344" s="50" t="n">
        <x:v>0.147098</x:v>
      </x:c>
      <x:c r="I1344" s="50" t="n">
        <x:v>0.234859</x:v>
      </x:c>
      <x:c r="J1344" s="50" t="n">
        <x:v>0.881072</x:v>
      </x:c>
      <x:c r="K1344" s="50" t="n">
        <x:v>0.251843</x:v>
      </x:c>
      <x:c r="L1344" s="47" t="n">
        <x:v>612</x:v>
      </x:c>
      <x:c r="M1344" s="47" t="n">
        <x:v>792</x:v>
      </x:c>
      <x:c r="N1344" s="28" t="str">
        <x:v>top-left</x:v>
      </x:c>
      <x:c r="O1344" s="28" t="str">
        <x:v>PDF points</x:v>
      </x:c>
    </x:row>
    <x:row r="1345" ht="22" customHeight="1">
      <x:c r="A1345" s="28" t="str">
        <x:v>ANC-JAM-031-ASP-R02</x:v>
      </x:c>
      <x:c r="B1345" s="28" t="str">
        <x:v>ANC-JAM-031-ASP</x:v>
      </x:c>
      <x:c r="C1345" s="28" t="n">
        <x:v>5</x:v>
      </x:c>
      <x:c r="D1345" s="47" t="n">
        <x:v>108.02</x:v>
      </x:c>
      <x:c r="E1345" s="47" t="n">
        <x:v>200.768</x:v>
      </x:c>
      <x:c r="F1345" s="47" t="n">
        <x:v>491.444</x:v>
      </x:c>
      <x:c r="G1345" s="47" t="n">
        <x:v>214.052</x:v>
      </x:c>
      <x:c r="H1345" s="50" t="n">
        <x:v>0.176503</x:v>
      </x:c>
      <x:c r="I1345" s="50" t="n">
        <x:v>0.253495</x:v>
      </x:c>
      <x:c r="J1345" s="50" t="n">
        <x:v>0.803013</x:v>
      </x:c>
      <x:c r="K1345" s="50" t="n">
        <x:v>0.270268</x:v>
      </x:c>
      <x:c r="L1345" s="47" t="n">
        <x:v>612</x:v>
      </x:c>
      <x:c r="M1345" s="47" t="n">
        <x:v>792</x:v>
      </x:c>
      <x:c r="N1345" s="28" t="str">
        <x:v>top-left</x:v>
      </x:c>
      <x:c r="O1345" s="28" t="str">
        <x:v>PDF points</x:v>
      </x:c>
    </x:row>
    <x:row r="1346" ht="22" customHeight="1">
      <x:c r="A1346" s="28" t="str">
        <x:v>ANC-JAM-031-ASP-R03</x:v>
      </x:c>
      <x:c r="B1346" s="28" t="str">
        <x:v>ANC-JAM-031-ASP</x:v>
      </x:c>
      <x:c r="C1346" s="28" t="n">
        <x:v>5</x:v>
      </x:c>
      <x:c r="D1346" s="47" t="n">
        <x:v>108.02</x:v>
      </x:c>
      <x:c r="E1346" s="47" t="n">
        <x:v>215.528</x:v>
      </x:c>
      <x:c r="F1346" s="47" t="n">
        <x:v>509.984</x:v>
      </x:c>
      <x:c r="G1346" s="47" t="n">
        <x:v>228.812</x:v>
      </x:c>
      <x:c r="H1346" s="50" t="n">
        <x:v>0.176503</x:v>
      </x:c>
      <x:c r="I1346" s="50" t="n">
        <x:v>0.272131</x:v>
      </x:c>
      <x:c r="J1346" s="50" t="n">
        <x:v>0.833307</x:v>
      </x:c>
      <x:c r="K1346" s="50" t="n">
        <x:v>0.288904</x:v>
      </x:c>
      <x:c r="L1346" s="47" t="n">
        <x:v>612</x:v>
      </x:c>
      <x:c r="M1346" s="47" t="n">
        <x:v>792</x:v>
      </x:c>
      <x:c r="N1346" s="28" t="str">
        <x:v>top-left</x:v>
      </x:c>
      <x:c r="O1346" s="28" t="str">
        <x:v>PDF points</x:v>
      </x:c>
    </x:row>
    <x:row r="1347" ht="22" customHeight="1">
      <x:c r="A1347" s="28" t="str">
        <x:v>ANC-JAM-032-ASP-R01</x:v>
      </x:c>
      <x:c r="B1347" s="28" t="str">
        <x:v>ANC-JAM-032-ASP</x:v>
      </x:c>
      <x:c r="C1347" s="28" t="n">
        <x:v>5</x:v>
      </x:c>
      <x:c r="D1347" s="47" t="n">
        <x:v>90.024</x:v>
      </x:c>
      <x:c r="E1347" s="47" t="n">
        <x:v>301.478</x:v>
      </x:c>
      <x:c r="F1347" s="47" t="n">
        <x:v>516.356</x:v>
      </x:c>
      <x:c r="G1347" s="47" t="n">
        <x:v>314.93</x:v>
      </x:c>
      <x:c r="H1347" s="50" t="n">
        <x:v>0.147098</x:v>
      </x:c>
      <x:c r="I1347" s="50" t="n">
        <x:v>0.380654</x:v>
      </x:c>
      <x:c r="J1347" s="50" t="n">
        <x:v>0.843719</x:v>
      </x:c>
      <x:c r="K1347" s="50" t="n">
        <x:v>0.397639</x:v>
      </x:c>
      <x:c r="L1347" s="47" t="n">
        <x:v>612</x:v>
      </x:c>
      <x:c r="M1347" s="47" t="n">
        <x:v>792</x:v>
      </x:c>
      <x:c r="N1347" s="28" t="str">
        <x:v>top-left</x:v>
      </x:c>
      <x:c r="O1347" s="28" t="str">
        <x:v>PDF points</x:v>
      </x:c>
    </x:row>
    <x:row r="1348" ht="22" customHeight="1">
      <x:c r="A1348" s="28" t="str">
        <x:v>ANC-JAM-039-ASP-R01</x:v>
      </x:c>
      <x:c r="B1348" s="28" t="str">
        <x:v>ANC-JAM-039-ASP</x:v>
      </x:c>
      <x:c r="C1348" s="28" t="n">
        <x:v>10</x:v>
      </x:c>
      <x:c r="D1348" s="47" t="n">
        <x:v>72.024</x:v>
      </x:c>
      <x:c r="E1348" s="47" t="n">
        <x:v>184.448</x:v>
      </x:c>
      <x:c r="F1348" s="47" t="n">
        <x:v>539.796</x:v>
      </x:c>
      <x:c r="G1348" s="47" t="n">
        <x:v>197.732</x:v>
      </x:c>
      <x:c r="H1348" s="50" t="n">
        <x:v>0.117686</x:v>
      </x:c>
      <x:c r="I1348" s="50" t="n">
        <x:v>0.232889</x:v>
      </x:c>
      <x:c r="J1348" s="50" t="n">
        <x:v>0.88202</x:v>
      </x:c>
      <x:c r="K1348" s="50" t="n">
        <x:v>0.249662</x:v>
      </x:c>
      <x:c r="L1348" s="47" t="n">
        <x:v>612</x:v>
      </x:c>
      <x:c r="M1348" s="47" t="n">
        <x:v>792</x:v>
      </x:c>
      <x:c r="N1348" s="28" t="str">
        <x:v>top-left</x:v>
      </x:c>
      <x:c r="O1348" s="28" t="str">
        <x:v>PDF points</x:v>
      </x:c>
    </x:row>
    <x:row r="1349" ht="22" customHeight="1">
      <x:c r="A1349" s="28" t="str">
        <x:v>ANC-JAM-039-ASP-R02</x:v>
      </x:c>
      <x:c r="B1349" s="28" t="str">
        <x:v>ANC-JAM-039-ASP</x:v>
      </x:c>
      <x:c r="C1349" s="28" t="n">
        <x:v>10</x:v>
      </x:c>
      <x:c r="D1349" s="47" t="n">
        <x:v>72.024</x:v>
      </x:c>
      <x:c r="E1349" s="47" t="n">
        <x:v>199.208</x:v>
      </x:c>
      <x:c r="F1349" s="47" t="n">
        <x:v>539.64</x:v>
      </x:c>
      <x:c r="G1349" s="47" t="n">
        <x:v>212.492</x:v>
      </x:c>
      <x:c r="H1349" s="50" t="n">
        <x:v>0.117686</x:v>
      </x:c>
      <x:c r="I1349" s="50" t="n">
        <x:v>0.251525</x:v>
      </x:c>
      <x:c r="J1349" s="50" t="n">
        <x:v>0.881765</x:v>
      </x:c>
      <x:c r="K1349" s="50" t="n">
        <x:v>0.268298</x:v>
      </x:c>
      <x:c r="L1349" s="47" t="n">
        <x:v>612</x:v>
      </x:c>
      <x:c r="M1349" s="47" t="n">
        <x:v>792</x:v>
      </x:c>
      <x:c r="N1349" s="28" t="str">
        <x:v>top-left</x:v>
      </x:c>
      <x:c r="O1349" s="28" t="str">
        <x:v>PDF points</x:v>
      </x:c>
    </x:row>
    <x:row r="1350" ht="22" customHeight="1">
      <x:c r="A1350" s="28" t="str">
        <x:v>ANC-SLE-002-ASP-R01</x:v>
      </x:c>
      <x:c r="B1350" s="28" t="str">
        <x:v>ANC-SLE-002-ASP</x:v>
      </x:c>
      <x:c r="C1350" s="28" t="n">
        <x:v>9</x:v>
      </x:c>
      <x:c r="D1350" s="47" t="n">
        <x:v>296.04</x:v>
      </x:c>
      <x:c r="E1350" s="47" t="n">
        <x:v>514.187</x:v>
      </x:c>
      <x:c r="F1350" s="47" t="n">
        <x:v>515.344</x:v>
      </x:c>
      <x:c r="G1350" s="47" t="n">
        <x:v>526.089</x:v>
      </x:c>
      <x:c r="H1350" s="50" t="n">
        <x:v>0.483726</x:v>
      </x:c>
      <x:c r="I1350" s="50" t="n">
        <x:v>0.649226</x:v>
      </x:c>
      <x:c r="J1350" s="50" t="n">
        <x:v>0.842065</x:v>
      </x:c>
      <x:c r="K1350" s="50" t="n">
        <x:v>0.664254</x:v>
      </x:c>
      <x:c r="L1350" s="47" t="n">
        <x:v>612</x:v>
      </x:c>
      <x:c r="M1350" s="47" t="n">
        <x:v>792</x:v>
      </x:c>
      <x:c r="N1350" s="28" t="str">
        <x:v>top-left</x:v>
      </x:c>
      <x:c r="O1350" s="28" t="str">
        <x:v>PDF points</x:v>
      </x:c>
    </x:row>
    <x:row r="1351" ht="22" customHeight="1">
      <x:c r="A1351" s="28" t="str">
        <x:v>ANC-SLE-002-ASP-R02</x:v>
      </x:c>
      <x:c r="B1351" s="28" t="str">
        <x:v>ANC-SLE-002-ASP</x:v>
      </x:c>
      <x:c r="C1351" s="28" t="n">
        <x:v>9</x:v>
      </x:c>
      <x:c r="D1351" s="47" t="n">
        <x:v>296.04</x:v>
      </x:c>
      <x:c r="E1351" s="47" t="n">
        <x:v>526.787</x:v>
      </x:c>
      <x:c r="F1351" s="47" t="n">
        <x:v>523.35</x:v>
      </x:c>
      <x:c r="G1351" s="47" t="n">
        <x:v>538.689</x:v>
      </x:c>
      <x:c r="H1351" s="50" t="n">
        <x:v>0.483726</x:v>
      </x:c>
      <x:c r="I1351" s="50" t="n">
        <x:v>0.665135</x:v>
      </x:c>
      <x:c r="J1351" s="50" t="n">
        <x:v>0.855147</x:v>
      </x:c>
      <x:c r="K1351" s="50" t="n">
        <x:v>0.680163</x:v>
      </x:c>
      <x:c r="L1351" s="47" t="n">
        <x:v>612</x:v>
      </x:c>
      <x:c r="M1351" s="47" t="n">
        <x:v>792</x:v>
      </x:c>
      <x:c r="N1351" s="28" t="str">
        <x:v>top-left</x:v>
      </x:c>
      <x:c r="O1351" s="28" t="str">
        <x:v>PDF points</x:v>
      </x:c>
    </x:row>
    <x:row r="1352" ht="22" customHeight="1">
      <x:c r="A1352" s="28" t="str">
        <x:v>ANC-SLE-002-MECH-01-R01</x:v>
      </x:c>
      <x:c r="B1352" s="28" t="str">
        <x:v>ANC-SLE-002-MECH-01</x:v>
      </x:c>
      <x:c r="C1352" s="28" t="n">
        <x:v>16</x:v>
      </x:c>
      <x:c r="D1352" s="47" t="n">
        <x:v>217.32</x:v>
      </x:c>
      <x:c r="E1352" s="47" t="n">
        <x:v>129.907</x:v>
      </x:c>
      <x:c r="F1352" s="47" t="n">
        <x:v>386.241</x:v>
      </x:c>
      <x:c r="G1352" s="47" t="n">
        <x:v>139.515</x:v>
      </x:c>
      <x:c r="H1352" s="50" t="n">
        <x:v>0.258088</x:v>
      </x:c>
      <x:c r="I1352" s="50" t="n">
        <x:v>0.218214</x:v>
      </x:c>
      <x:c r="J1352" s="50" t="n">
        <x:v>0.458697</x:v>
      </x:c>
      <x:c r="K1352" s="50" t="n">
        <x:v>0.234353</x:v>
      </x:c>
      <x:c r="L1352" s="47" t="n">
        <x:v>842.04</x:v>
      </x:c>
      <x:c r="M1352" s="47" t="n">
        <x:v>595.32</x:v>
      </x:c>
      <x:c r="N1352" s="28" t="str">
        <x:v>top-left</x:v>
      </x:c>
      <x:c r="O1352" s="28" t="str">
        <x:v>PDF points</x:v>
      </x:c>
    </x:row>
    <x:row r="1353" ht="22" customHeight="1">
      <x:c r="A1353" s="28" t="str">
        <x:v>ANC-SLE-008-ASP-R01</x:v>
      </x:c>
      <x:c r="B1353" s="28" t="str">
        <x:v>ANC-SLE-008-ASP</x:v>
      </x:c>
      <x:c r="C1353" s="28" t="n">
        <x:v>10</x:v>
      </x:c>
      <x:c r="D1353" s="47" t="n">
        <x:v>116.522</x:v>
      </x:c>
      <x:c r="E1353" s="47" t="n">
        <x:v>654.034</x:v>
      </x:c>
      <x:c r="F1353" s="47" t="n">
        <x:v>541.589</x:v>
      </x:c>
      <x:c r="G1353" s="47" t="n">
        <x:v>667.227</x:v>
      </x:c>
      <x:c r="H1353" s="50" t="n">
        <x:v>0.190395</x:v>
      </x:c>
      <x:c r="I1353" s="50" t="n">
        <x:v>0.825801</x:v>
      </x:c>
      <x:c r="J1353" s="50" t="n">
        <x:v>0.884949</x:v>
      </x:c>
      <x:c r="K1353" s="50" t="n">
        <x:v>0.842458</x:v>
      </x:c>
      <x:c r="L1353" s="47" t="n">
        <x:v>612</x:v>
      </x:c>
      <x:c r="M1353" s="47" t="n">
        <x:v>792</x:v>
      </x:c>
      <x:c r="N1353" s="28" t="str">
        <x:v>top-left</x:v>
      </x:c>
      <x:c r="O1353" s="28" t="str">
        <x:v>PDF points</x:v>
      </x:c>
    </x:row>
    <x:row r="1354" ht="22" customHeight="1">
      <x:c r="A1354" s="28" t="str">
        <x:v>ANC-SLE-008-ASP-R02</x:v>
      </x:c>
      <x:c r="B1354" s="28" t="str">
        <x:v>ANC-SLE-008-ASP</x:v>
      </x:c>
      <x:c r="C1354" s="28" t="n">
        <x:v>10</x:v>
      </x:c>
      <x:c r="D1354" s="47" t="n">
        <x:v>70.56</x:v>
      </x:c>
      <x:c r="E1354" s="47" t="n">
        <x:v>672.029</x:v>
      </x:c>
      <x:c r="F1354" s="47" t="n">
        <x:v>437.309</x:v>
      </x:c>
      <x:c r="G1354" s="47" t="n">
        <x:v>685.222</x:v>
      </x:c>
      <x:c r="H1354" s="50" t="n">
        <x:v>0.115294</x:v>
      </x:c>
      <x:c r="I1354" s="50" t="n">
        <x:v>0.848522</x:v>
      </x:c>
      <x:c r="J1354" s="50" t="n">
        <x:v>0.714557</x:v>
      </x:c>
      <x:c r="K1354" s="50" t="n">
        <x:v>0.865179</x:v>
      </x:c>
      <x:c r="L1354" s="47" t="n">
        <x:v>612</x:v>
      </x:c>
      <x:c r="M1354" s="47" t="n">
        <x:v>792</x:v>
      </x:c>
      <x:c r="N1354" s="28" t="str">
        <x:v>top-left</x:v>
      </x:c>
      <x:c r="O1354" s="28" t="str">
        <x:v>PDF points</x:v>
      </x:c>
    </x:row>
    <x:row r="1355" ht="22" customHeight="1">
      <x:c r="A1355" s="28" t="str">
        <x:v>ANC-SLE-008-MECH-01-R01</x:v>
      </x:c>
      <x:c r="B1355" s="28" t="str">
        <x:v>ANC-SLE-008-MECH-01</x:v>
      </x:c>
      <x:c r="C1355" s="28" t="n">
        <x:v>17</x:v>
      </x:c>
      <x:c r="D1355" s="47" t="n">
        <x:v>217.32</x:v>
      </x:c>
      <x:c r="E1355" s="47" t="n">
        <x:v>193.507</x:v>
      </x:c>
      <x:c r="F1355" s="47" t="n">
        <x:v>433.13</x:v>
      </x:c>
      <x:c r="G1355" s="47" t="n">
        <x:v>203.115</x:v>
      </x:c>
      <x:c r="H1355" s="50" t="n">
        <x:v>0.258088</x:v>
      </x:c>
      <x:c r="I1355" s="50" t="n">
        <x:v>0.325048</x:v>
      </x:c>
      <x:c r="J1355" s="50" t="n">
        <x:v>0.514381</x:v>
      </x:c>
      <x:c r="K1355" s="50" t="n">
        <x:v>0.341186</x:v>
      </x:c>
      <x:c r="L1355" s="47" t="n">
        <x:v>842.04</x:v>
      </x:c>
      <x:c r="M1355" s="47" t="n">
        <x:v>595.32</x:v>
      </x:c>
      <x:c r="N1355" s="28" t="str">
        <x:v>top-left</x:v>
      </x:c>
      <x:c r="O1355" s="28" t="str">
        <x:v>PDF points</x:v>
      </x:c>
    </x:row>
    <x:row r="1356" ht="22" customHeight="1">
      <x:c r="A1356" s="28" t="str">
        <x:v>ANC-SLE-008-MECH-01-R02</x:v>
      </x:c>
      <x:c r="B1356" s="28" t="str">
        <x:v>ANC-SLE-008-MECH-01</x:v>
      </x:c>
      <x:c r="C1356" s="28" t="n">
        <x:v>17</x:v>
      </x:c>
      <x:c r="D1356" s="47" t="n">
        <x:v>217.32</x:v>
      </x:c>
      <x:c r="E1356" s="47" t="n">
        <x:v>202.147</x:v>
      </x:c>
      <x:c r="F1356" s="47" t="n">
        <x:v>317.966</x:v>
      </x:c>
      <x:c r="G1356" s="47" t="n">
        <x:v>211.755</x:v>
      </x:c>
      <x:c r="H1356" s="50" t="n">
        <x:v>0.258088</x:v>
      </x:c>
      <x:c r="I1356" s="50" t="n">
        <x:v>0.339561</x:v>
      </x:c>
      <x:c r="J1356" s="50" t="n">
        <x:v>0.377614</x:v>
      </x:c>
      <x:c r="K1356" s="50" t="n">
        <x:v>0.3557</x:v>
      </x:c>
      <x:c r="L1356" s="47" t="n">
        <x:v>842.04</x:v>
      </x:c>
      <x:c r="M1356" s="47" t="n">
        <x:v>595.32</x:v>
      </x:c>
      <x:c r="N1356" s="28" t="str">
        <x:v>top-left</x:v>
      </x:c>
      <x:c r="O1356" s="28" t="str">
        <x:v>PDF points</x:v>
      </x:c>
    </x:row>
    <x:row r="1357" ht="22" customHeight="1">
      <x:c r="A1357" s="28" t="str">
        <x:v>ANC-SLE-008-MECH-02-R01</x:v>
      </x:c>
      <x:c r="B1357" s="28" t="str">
        <x:v>ANC-SLE-008-MECH-02</x:v>
      </x:c>
      <x:c r="C1357" s="28" t="n">
        <x:v>17</x:v>
      </x:c>
      <x:c r="D1357" s="47" t="n">
        <x:v>122.88</x:v>
      </x:c>
      <x:c r="E1357" s="47" t="n">
        <x:v>201.674</x:v>
      </x:c>
      <x:c r="F1357" s="47" t="n">
        <x:v>195.405</x:v>
      </x:c>
      <x:c r="G1357" s="47" t="n">
        <x:v>211.282</x:v>
      </x:c>
      <x:c r="H1357" s="50" t="n">
        <x:v>0.145931</x:v>
      </x:c>
      <x:c r="I1357" s="50" t="n">
        <x:v>0.338766</x:v>
      </x:c>
      <x:c r="J1357" s="50" t="n">
        <x:v>0.232061</x:v>
      </x:c>
      <x:c r="K1357" s="50" t="n">
        <x:v>0.354905</x:v>
      </x:c>
      <x:c r="L1357" s="47" t="n">
        <x:v>842.04</x:v>
      </x:c>
      <x:c r="M1357" s="47" t="n">
        <x:v>595.32</x:v>
      </x:c>
      <x:c r="N1357" s="28" t="str">
        <x:v>top-left</x:v>
      </x:c>
      <x:c r="O1357" s="28" t="str">
        <x:v>PDF points</x:v>
      </x:c>
    </x:row>
    <x:row r="1358" ht="22" customHeight="1">
      <x:c r="A1358" s="28" t="str">
        <x:v>ANC-SLE-008-MECH-02-R02</x:v>
      </x:c>
      <x:c r="B1358" s="28" t="str">
        <x:v>ANC-SLE-008-MECH-02</x:v>
      </x:c>
      <x:c r="C1358" s="28" t="n">
        <x:v>17</x:v>
      </x:c>
      <x:c r="D1358" s="47" t="n">
        <x:v>274.685</x:v>
      </x:c>
      <x:c r="E1358" s="47" t="n">
        <x:v>193.507</x:v>
      </x:c>
      <x:c r="F1358" s="47" t="n">
        <x:v>433.13</x:v>
      </x:c>
      <x:c r="G1358" s="47" t="n">
        <x:v>203.115</x:v>
      </x:c>
      <x:c r="H1358" s="50" t="n">
        <x:v>0.326213</x:v>
      </x:c>
      <x:c r="I1358" s="50" t="n">
        <x:v>0.325048</x:v>
      </x:c>
      <x:c r="J1358" s="50" t="n">
        <x:v>0.514381</x:v>
      </x:c>
      <x:c r="K1358" s="50" t="n">
        <x:v>0.341186</x:v>
      </x:c>
      <x:c r="L1358" s="47" t="n">
        <x:v>842.04</x:v>
      </x:c>
      <x:c r="M1358" s="47" t="n">
        <x:v>595.32</x:v>
      </x:c>
      <x:c r="N1358" s="28" t="str">
        <x:v>top-left</x:v>
      </x:c>
      <x:c r="O1358" s="28" t="str">
        <x:v>PDF points</x:v>
      </x:c>
    </x:row>
    <x:row r="1359" ht="22" customHeight="1">
      <x:c r="A1359" s="28" t="str">
        <x:v>ANC-SLE-008-MECH-02-R03</x:v>
      </x:c>
      <x:c r="B1359" s="28" t="str">
        <x:v>ANC-SLE-008-MECH-02</x:v>
      </x:c>
      <x:c r="C1359" s="28" t="n">
        <x:v>17</x:v>
      </x:c>
      <x:c r="D1359" s="47" t="n">
        <x:v>217.32</x:v>
      </x:c>
      <x:c r="E1359" s="47" t="n">
        <x:v>202.147</x:v>
      </x:c>
      <x:c r="F1359" s="47" t="n">
        <x:v>317.966</x:v>
      </x:c>
      <x:c r="G1359" s="47" t="n">
        <x:v>211.755</x:v>
      </x:c>
      <x:c r="H1359" s="50" t="n">
        <x:v>0.258088</x:v>
      </x:c>
      <x:c r="I1359" s="50" t="n">
        <x:v>0.339561</x:v>
      </x:c>
      <x:c r="J1359" s="50" t="n">
        <x:v>0.377614</x:v>
      </x:c>
      <x:c r="K1359" s="50" t="n">
        <x:v>0.3557</x:v>
      </x:c>
      <x:c r="L1359" s="47" t="n">
        <x:v>842.04</x:v>
      </x:c>
      <x:c r="M1359" s="47" t="n">
        <x:v>595.32</x:v>
      </x:c>
      <x:c r="N1359" s="28" t="str">
        <x:v>top-left</x:v>
      </x:c>
      <x:c r="O1359" s="28" t="str">
        <x:v>PDF points</x:v>
      </x:c>
    </x:row>
    <x:row r="1360" ht="22" customHeight="1">
      <x:c r="A1360" s="28" t="str">
        <x:v>ANC-SLE-008-MECH-02-R04</x:v>
      </x:c>
      <x:c r="B1360" s="28" t="str">
        <x:v>ANC-SLE-008-MECH-02</x:v>
      </x:c>
      <x:c r="C1360" s="28" t="n">
        <x:v>17</x:v>
      </x:c>
      <x:c r="D1360" s="47" t="n">
        <x:v>476.28</x:v>
      </x:c>
      <x:c r="E1360" s="47" t="n">
        <x:v>197.827</x:v>
      </x:c>
      <x:c r="F1360" s="47" t="n">
        <x:v>491.398</x:v>
      </x:c>
      <x:c r="G1360" s="47" t="n">
        <x:v>207.435</x:v>
      </x:c>
      <x:c r="H1360" s="50" t="n">
        <x:v>0.565626</x:v>
      </x:c>
      <x:c r="I1360" s="50" t="n">
        <x:v>0.332304</x:v>
      </x:c>
      <x:c r="J1360" s="50" t="n">
        <x:v>0.58358</x:v>
      </x:c>
      <x:c r="K1360" s="50" t="n">
        <x:v>0.348443</x:v>
      </x:c>
      <x:c r="L1360" s="47" t="n">
        <x:v>842.04</x:v>
      </x:c>
      <x:c r="M1360" s="47" t="n">
        <x:v>595.32</x:v>
      </x:c>
      <x:c r="N1360" s="28" t="str">
        <x:v>top-left</x:v>
      </x:c>
      <x:c r="O1360" s="28" t="str">
        <x:v>PDF points</x:v>
      </x:c>
    </x:row>
    <x:row r="1361" ht="22" customHeight="1">
      <x:c r="A1361" s="28" t="str">
        <x:v>ANC-SLE-008-MECH-02-R05</x:v>
      </x:c>
      <x:c r="B1361" s="28" t="str">
        <x:v>ANC-SLE-008-MECH-02</x:v>
      </x:c>
      <x:c r="C1361" s="28" t="n">
        <x:v>17</x:v>
      </x:c>
      <x:c r="D1361" s="47" t="n">
        <x:v>526.924</x:v>
      </x:c>
      <x:c r="E1361" s="47" t="n">
        <x:v>197.827</x:v>
      </x:c>
      <x:c r="F1361" s="47" t="n">
        <x:v>542.042</x:v>
      </x:c>
      <x:c r="G1361" s="47" t="n">
        <x:v>207.435</x:v>
      </x:c>
      <x:c r="H1361" s="50" t="n">
        <x:v>0.625771</x:v>
      </x:c>
      <x:c r="I1361" s="50" t="n">
        <x:v>0.332304</x:v>
      </x:c>
      <x:c r="J1361" s="50" t="n">
        <x:v>0.643724</x:v>
      </x:c>
      <x:c r="K1361" s="50" t="n">
        <x:v>0.348443</x:v>
      </x:c>
      <x:c r="L1361" s="47" t="n">
        <x:v>842.04</x:v>
      </x:c>
      <x:c r="M1361" s="47" t="n">
        <x:v>595.32</x:v>
      </x:c>
      <x:c r="N1361" s="28" t="str">
        <x:v>top-left</x:v>
      </x:c>
      <x:c r="O1361" s="28" t="str">
        <x:v>PDF points</x:v>
      </x:c>
    </x:row>
    <x:row r="1362" ht="22" customHeight="1">
      <x:c r="A1362" s="28" t="str">
        <x:v>ANC-SLE-008-MECH-02-R06</x:v>
      </x:c>
      <x:c r="B1362" s="28" t="str">
        <x:v>ANC-SLE-008-MECH-02</x:v>
      </x:c>
      <x:c r="C1362" s="28" t="n">
        <x:v>17</x:v>
      </x:c>
      <x:c r="D1362" s="47" t="n">
        <x:v>576.482</x:v>
      </x:c>
      <x:c r="E1362" s="47" t="n">
        <x:v>197.827</x:v>
      </x:c>
      <x:c r="F1362" s="47" t="n">
        <x:v>591.6</x:v>
      </x:c>
      <x:c r="G1362" s="47" t="n">
        <x:v>207.435</x:v>
      </x:c>
      <x:c r="H1362" s="50" t="n">
        <x:v>0.684626</x:v>
      </x:c>
      <x:c r="I1362" s="50" t="n">
        <x:v>0.332304</x:v>
      </x:c>
      <x:c r="J1362" s="50" t="n">
        <x:v>0.70258</x:v>
      </x:c>
      <x:c r="K1362" s="50" t="n">
        <x:v>0.348443</x:v>
      </x:c>
      <x:c r="L1362" s="47" t="n">
        <x:v>842.04</x:v>
      </x:c>
      <x:c r="M1362" s="47" t="n">
        <x:v>595.32</x:v>
      </x:c>
      <x:c r="N1362" s="28" t="str">
        <x:v>top-left</x:v>
      </x:c>
      <x:c r="O1362" s="28" t="str">
        <x:v>PDF points</x:v>
      </x:c>
    </x:row>
    <x:row r="1363" ht="22" customHeight="1">
      <x:c r="A1363" s="28" t="str">
        <x:v>ANC-SLE-008-MECH-02-R07</x:v>
      </x:c>
      <x:c r="B1363" s="28" t="str">
        <x:v>ANC-SLE-008-MECH-02</x:v>
      </x:c>
      <x:c r="C1363" s="28" t="n">
        <x:v>17</x:v>
      </x:c>
      <x:c r="D1363" s="47" t="n">
        <x:v>616.92</x:v>
      </x:c>
      <x:c r="E1363" s="47" t="n">
        <x:v>197.827</x:v>
      </x:c>
      <x:c r="F1363" s="47" t="n">
        <x:v>632.038</x:v>
      </x:c>
      <x:c r="G1363" s="47" t="n">
        <x:v>207.435</x:v>
      </x:c>
      <x:c r="H1363" s="50" t="n">
        <x:v>0.732649</x:v>
      </x:c>
      <x:c r="I1363" s="50" t="n">
        <x:v>0.332304</x:v>
      </x:c>
      <x:c r="J1363" s="50" t="n">
        <x:v>0.750603</x:v>
      </x:c>
      <x:c r="K1363" s="50" t="n">
        <x:v>0.348443</x:v>
      </x:c>
      <x:c r="L1363" s="47" t="n">
        <x:v>842.04</x:v>
      </x:c>
      <x:c r="M1363" s="47" t="n">
        <x:v>595.32</x:v>
      </x:c>
      <x:c r="N1363" s="28" t="str">
        <x:v>top-left</x:v>
      </x:c>
      <x:c r="O1363" s="28" t="str">
        <x:v>PDF points</x:v>
      </x:c>
    </x:row>
    <x:row r="1364" ht="22" customHeight="1">
      <x:c r="A1364" s="28" t="str">
        <x:v>ANC-SLE-008-MECH-02-R08</x:v>
      </x:c>
      <x:c r="B1364" s="28" t="str">
        <x:v>ANC-SLE-008-MECH-02</x:v>
      </x:c>
      <x:c r="C1364" s="28" t="n">
        <x:v>17</x:v>
      </x:c>
      <x:c r="D1364" s="47" t="n">
        <x:v>656.52</x:v>
      </x:c>
      <x:c r="E1364" s="47" t="n">
        <x:v>197.827</x:v>
      </x:c>
      <x:c r="F1364" s="47" t="n">
        <x:v>671.638</x:v>
      </x:c>
      <x:c r="G1364" s="47" t="n">
        <x:v>207.435</x:v>
      </x:c>
      <x:c r="H1364" s="50" t="n">
        <x:v>0.779678</x:v>
      </x:c>
      <x:c r="I1364" s="50" t="n">
        <x:v>0.332304</x:v>
      </x:c>
      <x:c r="J1364" s="50" t="n">
        <x:v>0.797632</x:v>
      </x:c>
      <x:c r="K1364" s="50" t="n">
        <x:v>0.348443</x:v>
      </x:c>
      <x:c r="L1364" s="47" t="n">
        <x:v>842.04</x:v>
      </x:c>
      <x:c r="M1364" s="47" t="n">
        <x:v>595.32</x:v>
      </x:c>
      <x:c r="N1364" s="28" t="str">
        <x:v>top-left</x:v>
      </x:c>
      <x:c r="O1364" s="28" t="str">
        <x:v>PDF points</x:v>
      </x:c>
    </x:row>
    <x:row r="1365" ht="22" customHeight="1">
      <x:c r="A1365" s="28" t="str">
        <x:v>ANC-SLE-008-MECH-02-R09</x:v>
      </x:c>
      <x:c r="B1365" s="28" t="str">
        <x:v>ANC-SLE-008-MECH-02</x:v>
      </x:c>
      <x:c r="C1365" s="28" t="n">
        <x:v>17</x:v>
      </x:c>
      <x:c r="D1365" s="47" t="n">
        <x:v>696.004</x:v>
      </x:c>
      <x:c r="E1365" s="47" t="n">
        <x:v>197.827</x:v>
      </x:c>
      <x:c r="F1365" s="47" t="n">
        <x:v>711.122</x:v>
      </x:c>
      <x:c r="G1365" s="47" t="n">
        <x:v>207.435</x:v>
      </x:c>
      <x:c r="H1365" s="50" t="n">
        <x:v>0.826569</x:v>
      </x:c>
      <x:c r="I1365" s="50" t="n">
        <x:v>0.332304</x:v>
      </x:c>
      <x:c r="J1365" s="50" t="n">
        <x:v>0.844523</x:v>
      </x:c>
      <x:c r="K1365" s="50" t="n">
        <x:v>0.348443</x:v>
      </x:c>
      <x:c r="L1365" s="47" t="n">
        <x:v>842.04</x:v>
      </x:c>
      <x:c r="M1365" s="47" t="n">
        <x:v>595.32</x:v>
      </x:c>
      <x:c r="N1365" s="28" t="str">
        <x:v>top-left</x:v>
      </x:c>
      <x:c r="O1365" s="28" t="str">
        <x:v>PDF points</x:v>
      </x:c>
    </x:row>
    <x:row r="1366" ht="22" customHeight="1">
      <x:c r="A1366" s="28" t="str">
        <x:v>ANC-SLE-008-MECH-02-R10</x:v>
      </x:c>
      <x:c r="B1366" s="28" t="str">
        <x:v>ANC-SLE-008-MECH-02</x:v>
      </x:c>
      <x:c r="C1366" s="28" t="n">
        <x:v>17</x:v>
      </x:c>
      <x:c r="D1366" s="47" t="n">
        <x:v>731.887</x:v>
      </x:c>
      <x:c r="E1366" s="47" t="n">
        <x:v>197.827</x:v>
      </x:c>
      <x:c r="F1366" s="47" t="n">
        <x:v>747.005</x:v>
      </x:c>
      <x:c r="G1366" s="47" t="n">
        <x:v>207.435</x:v>
      </x:c>
      <x:c r="H1366" s="50" t="n">
        <x:v>0.869183</x:v>
      </x:c>
      <x:c r="I1366" s="50" t="n">
        <x:v>0.332304</x:v>
      </x:c>
      <x:c r="J1366" s="50" t="n">
        <x:v>0.887137</x:v>
      </x:c>
      <x:c r="K1366" s="50" t="n">
        <x:v>0.348443</x:v>
      </x:c>
      <x:c r="L1366" s="47" t="n">
        <x:v>842.04</x:v>
      </x:c>
      <x:c r="M1366" s="47" t="n">
        <x:v>595.32</x:v>
      </x:c>
      <x:c r="N1366" s="28" t="str">
        <x:v>top-left</x:v>
      </x:c>
      <x:c r="O1366" s="28" t="str">
        <x:v>PDF points</x:v>
      </x:c>
    </x:row>
    <x:row r="1367" ht="22" customHeight="1">
      <x:c r="A1367" s="28" t="str">
        <x:v>ANC-SLE-008-MECH-02-R11</x:v>
      </x:c>
      <x:c r="B1367" s="28" t="str">
        <x:v>ANC-SLE-008-MECH-02</x:v>
      </x:c>
      <x:c r="C1367" s="28" t="n">
        <x:v>17</x:v>
      </x:c>
      <x:c r="D1367" s="47" t="n">
        <x:v>768.011</x:v>
      </x:c>
      <x:c r="E1367" s="47" t="n">
        <x:v>197.827</x:v>
      </x:c>
      <x:c r="F1367" s="47" t="n">
        <x:v>783.128</x:v>
      </x:c>
      <x:c r="G1367" s="47" t="n">
        <x:v>207.435</x:v>
      </x:c>
      <x:c r="H1367" s="50" t="n">
        <x:v>0.912083</x:v>
      </x:c>
      <x:c r="I1367" s="50" t="n">
        <x:v>0.332304</x:v>
      </x:c>
      <x:c r="J1367" s="50" t="n">
        <x:v>0.930037</x:v>
      </x:c>
      <x:c r="K1367" s="50" t="n">
        <x:v>0.348443</x:v>
      </x:c>
      <x:c r="L1367" s="47" t="n">
        <x:v>842.04</x:v>
      </x:c>
      <x:c r="M1367" s="47" t="n">
        <x:v>595.32</x:v>
      </x:c>
      <x:c r="N1367" s="28" t="str">
        <x:v>top-left</x:v>
      </x:c>
      <x:c r="O1367" s="28" t="str">
        <x:v>PDF points</x:v>
      </x:c>
    </x:row>
    <x:row r="1368" ht="22" customHeight="1">
      <x:c r="A1368" s="28" t="str">
        <x:v>ANC-SLE-008-MECH-02-R12</x:v>
      </x:c>
      <x:c r="B1368" s="28" t="str">
        <x:v>ANC-SLE-008-MECH-02</x:v>
      </x:c>
      <x:c r="C1368" s="28" t="n">
        <x:v>17</x:v>
      </x:c>
      <x:c r="D1368" s="47" t="n">
        <x:v>217.32</x:v>
      </x:c>
      <x:c r="E1368" s="47" t="n">
        <x:v>211.387</x:v>
      </x:c>
      <x:c r="F1368" s="47" t="n">
        <x:v>407.119</x:v>
      </x:c>
      <x:c r="G1368" s="47" t="n">
        <x:v>220.995</x:v>
      </x:c>
      <x:c r="H1368" s="50" t="n">
        <x:v>0.258088</x:v>
      </x:c>
      <x:c r="I1368" s="50" t="n">
        <x:v>0.355082</x:v>
      </x:c>
      <x:c r="J1368" s="50" t="n">
        <x:v>0.483492</x:v>
      </x:c>
      <x:c r="K1368" s="50" t="n">
        <x:v>0.371221</x:v>
      </x:c>
      <x:c r="L1368" s="47" t="n">
        <x:v>842.04</x:v>
      </x:c>
      <x:c r="M1368" s="47" t="n">
        <x:v>595.32</x:v>
      </x:c>
      <x:c r="N1368" s="28" t="str">
        <x:v>top-left</x:v>
      </x:c>
      <x:c r="O1368" s="28" t="str">
        <x:v>PDF points</x:v>
      </x:c>
    </x:row>
    <x:row r="1369" ht="22" customHeight="1">
      <x:c r="A1369" s="28" t="str">
        <x:v>ANC-SLE-008-MECH-02-R13</x:v>
      </x:c>
      <x:c r="B1369" s="28" t="str">
        <x:v>ANC-SLE-008-MECH-02</x:v>
      </x:c>
      <x:c r="C1369" s="28" t="n">
        <x:v>17</x:v>
      </x:c>
      <x:c r="D1369" s="47" t="n">
        <x:v>476.28</x:v>
      </x:c>
      <x:c r="E1369" s="47" t="n">
        <x:v>214.147</x:v>
      </x:c>
      <x:c r="F1369" s="47" t="n">
        <x:v>491.398</x:v>
      </x:c>
      <x:c r="G1369" s="47" t="n">
        <x:v>223.755</x:v>
      </x:c>
      <x:c r="H1369" s="50" t="n">
        <x:v>0.565626</x:v>
      </x:c>
      <x:c r="I1369" s="50" t="n">
        <x:v>0.359718</x:v>
      </x:c>
      <x:c r="J1369" s="50" t="n">
        <x:v>0.58358</x:v>
      </x:c>
      <x:c r="K1369" s="50" t="n">
        <x:v>0.375857</x:v>
      </x:c>
      <x:c r="L1369" s="47" t="n">
        <x:v>842.04</x:v>
      </x:c>
      <x:c r="M1369" s="47" t="n">
        <x:v>595.32</x:v>
      </x:c>
      <x:c r="N1369" s="28" t="str">
        <x:v>top-left</x:v>
      </x:c>
      <x:c r="O1369" s="28" t="str">
        <x:v>PDF points</x:v>
      </x:c>
    </x:row>
    <x:row r="1370" ht="22" customHeight="1">
      <x:c r="A1370" s="28" t="str">
        <x:v>ANC-SLE-008-MECH-02-R14</x:v>
      </x:c>
      <x:c r="B1370" s="28" t="str">
        <x:v>ANC-SLE-008-MECH-02</x:v>
      </x:c>
      <x:c r="C1370" s="28" t="n">
        <x:v>17</x:v>
      </x:c>
      <x:c r="D1370" s="47" t="n">
        <x:v>526.924</x:v>
      </x:c>
      <x:c r="E1370" s="47" t="n">
        <x:v>214.147</x:v>
      </x:c>
      <x:c r="F1370" s="47" t="n">
        <x:v>542.042</x:v>
      </x:c>
      <x:c r="G1370" s="47" t="n">
        <x:v>223.755</x:v>
      </x:c>
      <x:c r="H1370" s="50" t="n">
        <x:v>0.625771</x:v>
      </x:c>
      <x:c r="I1370" s="50" t="n">
        <x:v>0.359718</x:v>
      </x:c>
      <x:c r="J1370" s="50" t="n">
        <x:v>0.643724</x:v>
      </x:c>
      <x:c r="K1370" s="50" t="n">
        <x:v>0.375857</x:v>
      </x:c>
      <x:c r="L1370" s="47" t="n">
        <x:v>842.04</x:v>
      </x:c>
      <x:c r="M1370" s="47" t="n">
        <x:v>595.32</x:v>
      </x:c>
      <x:c r="N1370" s="28" t="str">
        <x:v>top-left</x:v>
      </x:c>
      <x:c r="O1370" s="28" t="str">
        <x:v>PDF points</x:v>
      </x:c>
    </x:row>
    <x:row r="1371" ht="22" customHeight="1">
      <x:c r="A1371" s="28" t="str">
        <x:v>ANC-SLE-008-MECH-02-R15</x:v>
      </x:c>
      <x:c r="B1371" s="28" t="str">
        <x:v>ANC-SLE-008-MECH-02</x:v>
      </x:c>
      <x:c r="C1371" s="28" t="n">
        <x:v>17</x:v>
      </x:c>
      <x:c r="D1371" s="47" t="n">
        <x:v>576.482</x:v>
      </x:c>
      <x:c r="E1371" s="47" t="n">
        <x:v>214.147</x:v>
      </x:c>
      <x:c r="F1371" s="47" t="n">
        <x:v>591.6</x:v>
      </x:c>
      <x:c r="G1371" s="47" t="n">
        <x:v>223.755</x:v>
      </x:c>
      <x:c r="H1371" s="50" t="n">
        <x:v>0.684626</x:v>
      </x:c>
      <x:c r="I1371" s="50" t="n">
        <x:v>0.359718</x:v>
      </x:c>
      <x:c r="J1371" s="50" t="n">
        <x:v>0.70258</x:v>
      </x:c>
      <x:c r="K1371" s="50" t="n">
        <x:v>0.375857</x:v>
      </x:c>
      <x:c r="L1371" s="47" t="n">
        <x:v>842.04</x:v>
      </x:c>
      <x:c r="M1371" s="47" t="n">
        <x:v>595.32</x:v>
      </x:c>
      <x:c r="N1371" s="28" t="str">
        <x:v>top-left</x:v>
      </x:c>
      <x:c r="O1371" s="28" t="str">
        <x:v>PDF points</x:v>
      </x:c>
    </x:row>
    <x:row r="1372" ht="22" customHeight="1">
      <x:c r="A1372" s="28" t="str">
        <x:v>ANC-SLE-008-MECH-02-R16</x:v>
      </x:c>
      <x:c r="B1372" s="28" t="str">
        <x:v>ANC-SLE-008-MECH-02</x:v>
      </x:c>
      <x:c r="C1372" s="28" t="n">
        <x:v>17</x:v>
      </x:c>
      <x:c r="D1372" s="47" t="n">
        <x:v>616.92</x:v>
      </x:c>
      <x:c r="E1372" s="47" t="n">
        <x:v>214.147</x:v>
      </x:c>
      <x:c r="F1372" s="47" t="n">
        <x:v>632.038</x:v>
      </x:c>
      <x:c r="G1372" s="47" t="n">
        <x:v>223.755</x:v>
      </x:c>
      <x:c r="H1372" s="50" t="n">
        <x:v>0.732649</x:v>
      </x:c>
      <x:c r="I1372" s="50" t="n">
        <x:v>0.359718</x:v>
      </x:c>
      <x:c r="J1372" s="50" t="n">
        <x:v>0.750603</x:v>
      </x:c>
      <x:c r="K1372" s="50" t="n">
        <x:v>0.375857</x:v>
      </x:c>
      <x:c r="L1372" s="47" t="n">
        <x:v>842.04</x:v>
      </x:c>
      <x:c r="M1372" s="47" t="n">
        <x:v>595.32</x:v>
      </x:c>
      <x:c r="N1372" s="28" t="str">
        <x:v>top-left</x:v>
      </x:c>
      <x:c r="O1372" s="28" t="str">
        <x:v>PDF points</x:v>
      </x:c>
    </x:row>
    <x:row r="1373" ht="22" customHeight="1">
      <x:c r="A1373" s="28" t="str">
        <x:v>ANC-SLE-008-MECH-02-R17</x:v>
      </x:c>
      <x:c r="B1373" s="28" t="str">
        <x:v>ANC-SLE-008-MECH-02</x:v>
      </x:c>
      <x:c r="C1373" s="28" t="n">
        <x:v>17</x:v>
      </x:c>
      <x:c r="D1373" s="47" t="n">
        <x:v>656.52</x:v>
      </x:c>
      <x:c r="E1373" s="47" t="n">
        <x:v>214.147</x:v>
      </x:c>
      <x:c r="F1373" s="47" t="n">
        <x:v>671.638</x:v>
      </x:c>
      <x:c r="G1373" s="47" t="n">
        <x:v>223.755</x:v>
      </x:c>
      <x:c r="H1373" s="50" t="n">
        <x:v>0.779678</x:v>
      </x:c>
      <x:c r="I1373" s="50" t="n">
        <x:v>0.359718</x:v>
      </x:c>
      <x:c r="J1373" s="50" t="n">
        <x:v>0.797632</x:v>
      </x:c>
      <x:c r="K1373" s="50" t="n">
        <x:v>0.375857</x:v>
      </x:c>
      <x:c r="L1373" s="47" t="n">
        <x:v>842.04</x:v>
      </x:c>
      <x:c r="M1373" s="47" t="n">
        <x:v>595.32</x:v>
      </x:c>
      <x:c r="N1373" s="28" t="str">
        <x:v>top-left</x:v>
      </x:c>
      <x:c r="O1373" s="28" t="str">
        <x:v>PDF points</x:v>
      </x:c>
    </x:row>
    <x:row r="1374" ht="22" customHeight="1">
      <x:c r="A1374" s="28" t="str">
        <x:v>ANC-SLE-008-MECH-02-R18</x:v>
      </x:c>
      <x:c r="B1374" s="28" t="str">
        <x:v>ANC-SLE-008-MECH-02</x:v>
      </x:c>
      <x:c r="C1374" s="28" t="n">
        <x:v>17</x:v>
      </x:c>
      <x:c r="D1374" s="47" t="n">
        <x:v>696.004</x:v>
      </x:c>
      <x:c r="E1374" s="47" t="n">
        <x:v>214.147</x:v>
      </x:c>
      <x:c r="F1374" s="47" t="n">
        <x:v>711.122</x:v>
      </x:c>
      <x:c r="G1374" s="47" t="n">
        <x:v>223.755</x:v>
      </x:c>
      <x:c r="H1374" s="50" t="n">
        <x:v>0.826569</x:v>
      </x:c>
      <x:c r="I1374" s="50" t="n">
        <x:v>0.359718</x:v>
      </x:c>
      <x:c r="J1374" s="50" t="n">
        <x:v>0.844523</x:v>
      </x:c>
      <x:c r="K1374" s="50" t="n">
        <x:v>0.375857</x:v>
      </x:c>
      <x:c r="L1374" s="47" t="n">
        <x:v>842.04</x:v>
      </x:c>
      <x:c r="M1374" s="47" t="n">
        <x:v>595.32</x:v>
      </x:c>
      <x:c r="N1374" s="28" t="str">
        <x:v>top-left</x:v>
      </x:c>
      <x:c r="O1374" s="28" t="str">
        <x:v>PDF points</x:v>
      </x:c>
    </x:row>
    <x:row r="1375" ht="22" customHeight="1">
      <x:c r="A1375" s="28" t="str">
        <x:v>ANC-SLE-008-MECH-02-R19</x:v>
      </x:c>
      <x:c r="B1375" s="28" t="str">
        <x:v>ANC-SLE-008-MECH-02</x:v>
      </x:c>
      <x:c r="C1375" s="28" t="n">
        <x:v>17</x:v>
      </x:c>
      <x:c r="D1375" s="47" t="n">
        <x:v>731.887</x:v>
      </x:c>
      <x:c r="E1375" s="47" t="n">
        <x:v>214.147</x:v>
      </x:c>
      <x:c r="F1375" s="47" t="n">
        <x:v>747.005</x:v>
      </x:c>
      <x:c r="G1375" s="47" t="n">
        <x:v>223.755</x:v>
      </x:c>
      <x:c r="H1375" s="50" t="n">
        <x:v>0.869183</x:v>
      </x:c>
      <x:c r="I1375" s="50" t="n">
        <x:v>0.359718</x:v>
      </x:c>
      <x:c r="J1375" s="50" t="n">
        <x:v>0.887137</x:v>
      </x:c>
      <x:c r="K1375" s="50" t="n">
        <x:v>0.375857</x:v>
      </x:c>
      <x:c r="L1375" s="47" t="n">
        <x:v>842.04</x:v>
      </x:c>
      <x:c r="M1375" s="47" t="n">
        <x:v>595.32</x:v>
      </x:c>
      <x:c r="N1375" s="28" t="str">
        <x:v>top-left</x:v>
      </x:c>
      <x:c r="O1375" s="28" t="str">
        <x:v>PDF points</x:v>
      </x:c>
    </x:row>
    <x:row r="1376" ht="22" customHeight="1">
      <x:c r="A1376" s="28" t="str">
        <x:v>ANC-SLE-008-MECH-02-R20</x:v>
      </x:c>
      <x:c r="B1376" s="28" t="str">
        <x:v>ANC-SLE-008-MECH-02</x:v>
      </x:c>
      <x:c r="C1376" s="28" t="n">
        <x:v>17</x:v>
      </x:c>
      <x:c r="D1376" s="47" t="n">
        <x:v>768.011</x:v>
      </x:c>
      <x:c r="E1376" s="47" t="n">
        <x:v>214.147</x:v>
      </x:c>
      <x:c r="F1376" s="47" t="n">
        <x:v>783.128</x:v>
      </x:c>
      <x:c r="G1376" s="47" t="n">
        <x:v>223.755</x:v>
      </x:c>
      <x:c r="H1376" s="50" t="n">
        <x:v>0.912083</x:v>
      </x:c>
      <x:c r="I1376" s="50" t="n">
        <x:v>0.359718</x:v>
      </x:c>
      <x:c r="J1376" s="50" t="n">
        <x:v>0.930037</x:v>
      </x:c>
      <x:c r="K1376" s="50" t="n">
        <x:v>0.375857</x:v>
      </x:c>
      <x:c r="L1376" s="47" t="n">
        <x:v>842.04</x:v>
      </x:c>
      <x:c r="M1376" s="47" t="n">
        <x:v>595.32</x:v>
      </x:c>
      <x:c r="N1376" s="28" t="str">
        <x:v>top-left</x:v>
      </x:c>
      <x:c r="O1376" s="28" t="str">
        <x:v>PDF points</x:v>
      </x:c>
    </x:row>
    <x:row r="1377" ht="22" customHeight="1">
      <x:c r="A1377" s="28" t="str">
        <x:v>ANC-SLE-008-MECH-02-R21</x:v>
      </x:c>
      <x:c r="B1377" s="28" t="str">
        <x:v>ANC-SLE-008-MECH-02</x:v>
      </x:c>
      <x:c r="C1377" s="28" t="n">
        <x:v>17</x:v>
      </x:c>
      <x:c r="D1377" s="47" t="n">
        <x:v>217.32</x:v>
      </x:c>
      <x:c r="E1377" s="47" t="n">
        <x:v>226.027</x:v>
      </x:c>
      <x:c r="F1377" s="47" t="n">
        <x:v>450.056</x:v>
      </x:c>
      <x:c r="G1377" s="47" t="n">
        <x:v>235.635</x:v>
      </x:c>
      <x:c r="H1377" s="50" t="n">
        <x:v>0.258088</x:v>
      </x:c>
      <x:c r="I1377" s="50" t="n">
        <x:v>0.379674</x:v>
      </x:c>
      <x:c r="J1377" s="50" t="n">
        <x:v>0.534483</x:v>
      </x:c>
      <x:c r="K1377" s="50" t="n">
        <x:v>0.395813</x:v>
      </x:c>
      <x:c r="L1377" s="47" t="n">
        <x:v>842.04</x:v>
      </x:c>
      <x:c r="M1377" s="47" t="n">
        <x:v>595.32</x:v>
      </x:c>
      <x:c r="N1377" s="28" t="str">
        <x:v>top-left</x:v>
      </x:c>
      <x:c r="O1377" s="28" t="str">
        <x:v>PDF points</x:v>
      </x:c>
    </x:row>
    <x:row r="1378" ht="22" customHeight="1">
      <x:c r="A1378" s="28" t="str">
        <x:v>ANC-SLE-008-MECH-02-R22</x:v>
      </x:c>
      <x:c r="B1378" s="28" t="str">
        <x:v>ANC-SLE-008-MECH-02</x:v>
      </x:c>
      <x:c r="C1378" s="28" t="n">
        <x:v>17</x:v>
      </x:c>
      <x:c r="D1378" s="47" t="n">
        <x:v>217.32</x:v>
      </x:c>
      <x:c r="E1378" s="47" t="n">
        <x:v>234.787</x:v>
      </x:c>
      <x:c r="F1378" s="47" t="n">
        <x:v>263.32</x:v>
      </x:c>
      <x:c r="G1378" s="47" t="n">
        <x:v>244.395</x:v>
      </x:c>
      <x:c r="H1378" s="50" t="n">
        <x:v>0.258088</x:v>
      </x:c>
      <x:c r="I1378" s="50" t="n">
        <x:v>0.394388</x:v>
      </x:c>
      <x:c r="J1378" s="50" t="n">
        <x:v>0.312717</x:v>
      </x:c>
      <x:c r="K1378" s="50" t="n">
        <x:v>0.410527</x:v>
      </x:c>
      <x:c r="L1378" s="47" t="n">
        <x:v>842.04</x:v>
      </x:c>
      <x:c r="M1378" s="47" t="n">
        <x:v>595.32</x:v>
      </x:c>
      <x:c r="N1378" s="28" t="str">
        <x:v>top-left</x:v>
      </x:c>
      <x:c r="O1378" s="28" t="str">
        <x:v>PDF points</x:v>
      </x:c>
    </x:row>
    <x:row r="1379" ht="22" customHeight="1">
      <x:c r="A1379" s="28" t="str">
        <x:v>ANC-SLE-008-MECH-02-R23</x:v>
      </x:c>
      <x:c r="B1379" s="28" t="str">
        <x:v>ANC-SLE-008-MECH-02</x:v>
      </x:c>
      <x:c r="C1379" s="28" t="n">
        <x:v>17</x:v>
      </x:c>
      <x:c r="D1379" s="47" t="n">
        <x:v>476.28</x:v>
      </x:c>
      <x:c r="E1379" s="47" t="n">
        <x:v>230.827</x:v>
      </x:c>
      <x:c r="F1379" s="47" t="n">
        <x:v>491.398</x:v>
      </x:c>
      <x:c r="G1379" s="47" t="n">
        <x:v>240.435</x:v>
      </x:c>
      <x:c r="H1379" s="50" t="n">
        <x:v>0.565626</x:v>
      </x:c>
      <x:c r="I1379" s="50" t="n">
        <x:v>0.387737</x:v>
      </x:c>
      <x:c r="J1379" s="50" t="n">
        <x:v>0.58358</x:v>
      </x:c>
      <x:c r="K1379" s="50" t="n">
        <x:v>0.403875</x:v>
      </x:c>
      <x:c r="L1379" s="47" t="n">
        <x:v>842.04</x:v>
      </x:c>
      <x:c r="M1379" s="47" t="n">
        <x:v>595.32</x:v>
      </x:c>
      <x:c r="N1379" s="28" t="str">
        <x:v>top-left</x:v>
      </x:c>
      <x:c r="O1379" s="28" t="str">
        <x:v>PDF points</x:v>
      </x:c>
    </x:row>
    <x:row r="1380" ht="22" customHeight="1">
      <x:c r="A1380" s="28" t="str">
        <x:v>ANC-SLE-008-MECH-02-R24</x:v>
      </x:c>
      <x:c r="B1380" s="28" t="str">
        <x:v>ANC-SLE-008-MECH-02</x:v>
      </x:c>
      <x:c r="C1380" s="28" t="n">
        <x:v>17</x:v>
      </x:c>
      <x:c r="D1380" s="47" t="n">
        <x:v>526.924</x:v>
      </x:c>
      <x:c r="E1380" s="47" t="n">
        <x:v>230.827</x:v>
      </x:c>
      <x:c r="F1380" s="47" t="n">
        <x:v>542.042</x:v>
      </x:c>
      <x:c r="G1380" s="47" t="n">
        <x:v>240.435</x:v>
      </x:c>
      <x:c r="H1380" s="50" t="n">
        <x:v>0.625771</x:v>
      </x:c>
      <x:c r="I1380" s="50" t="n">
        <x:v>0.387737</x:v>
      </x:c>
      <x:c r="J1380" s="50" t="n">
        <x:v>0.643724</x:v>
      </x:c>
      <x:c r="K1380" s="50" t="n">
        <x:v>0.403875</x:v>
      </x:c>
      <x:c r="L1380" s="47" t="n">
        <x:v>842.04</x:v>
      </x:c>
      <x:c r="M1380" s="47" t="n">
        <x:v>595.32</x:v>
      </x:c>
      <x:c r="N1380" s="28" t="str">
        <x:v>top-left</x:v>
      </x:c>
      <x:c r="O1380" s="28" t="str">
        <x:v>PDF points</x:v>
      </x:c>
    </x:row>
    <x:row r="1381" ht="22" customHeight="1">
      <x:c r="A1381" s="28" t="str">
        <x:v>ANC-SLE-008-MECH-02-R25</x:v>
      </x:c>
      <x:c r="B1381" s="28" t="str">
        <x:v>ANC-SLE-008-MECH-02</x:v>
      </x:c>
      <x:c r="C1381" s="28" t="n">
        <x:v>17</x:v>
      </x:c>
      <x:c r="D1381" s="47" t="n">
        <x:v>576.482</x:v>
      </x:c>
      <x:c r="E1381" s="47" t="n">
        <x:v>230.827</x:v>
      </x:c>
      <x:c r="F1381" s="47" t="n">
        <x:v>591.6</x:v>
      </x:c>
      <x:c r="G1381" s="47" t="n">
        <x:v>240.435</x:v>
      </x:c>
      <x:c r="H1381" s="50" t="n">
        <x:v>0.684626</x:v>
      </x:c>
      <x:c r="I1381" s="50" t="n">
        <x:v>0.387737</x:v>
      </x:c>
      <x:c r="J1381" s="50" t="n">
        <x:v>0.70258</x:v>
      </x:c>
      <x:c r="K1381" s="50" t="n">
        <x:v>0.403875</x:v>
      </x:c>
      <x:c r="L1381" s="47" t="n">
        <x:v>842.04</x:v>
      </x:c>
      <x:c r="M1381" s="47" t="n">
        <x:v>595.32</x:v>
      </x:c>
      <x:c r="N1381" s="28" t="str">
        <x:v>top-left</x:v>
      </x:c>
      <x:c r="O1381" s="28" t="str">
        <x:v>PDF points</x:v>
      </x:c>
    </x:row>
    <x:row r="1382" ht="22" customHeight="1">
      <x:c r="A1382" s="28" t="str">
        <x:v>ANC-SLE-008-MECH-02-R26</x:v>
      </x:c>
      <x:c r="B1382" s="28" t="str">
        <x:v>ANC-SLE-008-MECH-02</x:v>
      </x:c>
      <x:c r="C1382" s="28" t="n">
        <x:v>17</x:v>
      </x:c>
      <x:c r="D1382" s="47" t="n">
        <x:v>616.924</x:v>
      </x:c>
      <x:c r="E1382" s="47" t="n">
        <x:v>230.827</x:v>
      </x:c>
      <x:c r="F1382" s="47" t="n">
        <x:v>632.041</x:v>
      </x:c>
      <x:c r="G1382" s="47" t="n">
        <x:v>240.435</x:v>
      </x:c>
      <x:c r="H1382" s="50" t="n">
        <x:v>0.732654</x:v>
      </x:c>
      <x:c r="I1382" s="50" t="n">
        <x:v>0.387737</x:v>
      </x:c>
      <x:c r="J1382" s="50" t="n">
        <x:v>0.750607</x:v>
      </x:c>
      <x:c r="K1382" s="50" t="n">
        <x:v>0.403875</x:v>
      </x:c>
      <x:c r="L1382" s="47" t="n">
        <x:v>842.04</x:v>
      </x:c>
      <x:c r="M1382" s="47" t="n">
        <x:v>595.32</x:v>
      </x:c>
      <x:c r="N1382" s="28" t="str">
        <x:v>top-left</x:v>
      </x:c>
      <x:c r="O1382" s="28" t="str">
        <x:v>PDF points</x:v>
      </x:c>
    </x:row>
    <x:row r="1383" ht="22" customHeight="1">
      <x:c r="A1383" s="28" t="str">
        <x:v>ANC-SLE-008-MECH-02-R27</x:v>
      </x:c>
      <x:c r="B1383" s="28" t="str">
        <x:v>ANC-SLE-008-MECH-02</x:v>
      </x:c>
      <x:c r="C1383" s="28" t="n">
        <x:v>17</x:v>
      </x:c>
      <x:c r="D1383" s="47" t="n">
        <x:v>656.529</x:v>
      </x:c>
      <x:c r="E1383" s="47" t="n">
        <x:v>230.827</x:v>
      </x:c>
      <x:c r="F1383" s="47" t="n">
        <x:v>671.646</x:v>
      </x:c>
      <x:c r="G1383" s="47" t="n">
        <x:v>240.435</x:v>
      </x:c>
      <x:c r="H1383" s="50" t="n">
        <x:v>0.779688</x:v>
      </x:c>
      <x:c r="I1383" s="50" t="n">
        <x:v>0.387737</x:v>
      </x:c>
      <x:c r="J1383" s="50" t="n">
        <x:v>0.797642</x:v>
      </x:c>
      <x:c r="K1383" s="50" t="n">
        <x:v>0.403875</x:v>
      </x:c>
      <x:c r="L1383" s="47" t="n">
        <x:v>842.04</x:v>
      </x:c>
      <x:c r="M1383" s="47" t="n">
        <x:v>595.32</x:v>
      </x:c>
      <x:c r="N1383" s="28" t="str">
        <x:v>top-left</x:v>
      </x:c>
      <x:c r="O1383" s="28" t="str">
        <x:v>PDF points</x:v>
      </x:c>
    </x:row>
    <x:row r="1384" ht="22" customHeight="1">
      <x:c r="A1384" s="28" t="str">
        <x:v>ANC-SLE-008-MECH-02-R28</x:v>
      </x:c>
      <x:c r="B1384" s="28" t="str">
        <x:v>ANC-SLE-008-MECH-02</x:v>
      </x:c>
      <x:c r="C1384" s="28" t="n">
        <x:v>17</x:v>
      </x:c>
      <x:c r="D1384" s="47" t="n">
        <x:v>696.013</x:v>
      </x:c>
      <x:c r="E1384" s="47" t="n">
        <x:v>230.827</x:v>
      </x:c>
      <x:c r="F1384" s="47" t="n">
        <x:v>711.131</x:v>
      </x:c>
      <x:c r="G1384" s="47" t="n">
        <x:v>240.435</x:v>
      </x:c>
      <x:c r="H1384" s="50" t="n">
        <x:v>0.82658</x:v>
      </x:c>
      <x:c r="I1384" s="50" t="n">
        <x:v>0.387737</x:v>
      </x:c>
      <x:c r="J1384" s="50" t="n">
        <x:v>0.844533</x:v>
      </x:c>
      <x:c r="K1384" s="50" t="n">
        <x:v>0.403875</x:v>
      </x:c>
      <x:c r="L1384" s="47" t="n">
        <x:v>842.04</x:v>
      </x:c>
      <x:c r="M1384" s="47" t="n">
        <x:v>595.32</x:v>
      </x:c>
      <x:c r="N1384" s="28" t="str">
        <x:v>top-left</x:v>
      </x:c>
      <x:c r="O1384" s="28" t="str">
        <x:v>PDF points</x:v>
      </x:c>
    </x:row>
    <x:row r="1385" ht="22" customHeight="1">
      <x:c r="A1385" s="28" t="str">
        <x:v>ANC-SLE-008-MECH-02-R29</x:v>
      </x:c>
      <x:c r="B1385" s="28" t="str">
        <x:v>ANC-SLE-008-MECH-02</x:v>
      </x:c>
      <x:c r="C1385" s="28" t="n">
        <x:v>17</x:v>
      </x:c>
      <x:c r="D1385" s="47" t="n">
        <x:v>731.896</x:v>
      </x:c>
      <x:c r="E1385" s="47" t="n">
        <x:v>230.827</x:v>
      </x:c>
      <x:c r="F1385" s="47" t="n">
        <x:v>747.013</x:v>
      </x:c>
      <x:c r="G1385" s="47" t="n">
        <x:v>240.435</x:v>
      </x:c>
      <x:c r="H1385" s="50" t="n">
        <x:v>0.869193</x:v>
      </x:c>
      <x:c r="I1385" s="50" t="n">
        <x:v>0.387737</x:v>
      </x:c>
      <x:c r="J1385" s="50" t="n">
        <x:v>0.887147</x:v>
      </x:c>
      <x:c r="K1385" s="50" t="n">
        <x:v>0.403875</x:v>
      </x:c>
      <x:c r="L1385" s="47" t="n">
        <x:v>842.04</x:v>
      </x:c>
      <x:c r="M1385" s="47" t="n">
        <x:v>595.32</x:v>
      </x:c>
      <x:c r="N1385" s="28" t="str">
        <x:v>top-left</x:v>
      </x:c>
      <x:c r="O1385" s="28" t="str">
        <x:v>PDF points</x:v>
      </x:c>
    </x:row>
    <x:row r="1386" ht="22" customHeight="1">
      <x:c r="A1386" s="28" t="str">
        <x:v>ANC-SLE-008-MECH-02-R30</x:v>
      </x:c>
      <x:c r="B1386" s="28" t="str">
        <x:v>ANC-SLE-008-MECH-02</x:v>
      </x:c>
      <x:c r="C1386" s="28" t="n">
        <x:v>17</x:v>
      </x:c>
      <x:c r="D1386" s="47" t="n">
        <x:v>765.84</x:v>
      </x:c>
      <x:c r="E1386" s="47" t="n">
        <x:v>230.827</x:v>
      </x:c>
      <x:c r="F1386" s="47" t="n">
        <x:v>785.398</x:v>
      </x:c>
      <x:c r="G1386" s="47" t="n">
        <x:v>240.435</x:v>
      </x:c>
      <x:c r="H1386" s="50" t="n">
        <x:v>0.909506</x:v>
      </x:c>
      <x:c r="I1386" s="50" t="n">
        <x:v>0.387737</x:v>
      </x:c>
      <x:c r="J1386" s="50" t="n">
        <x:v>0.932733</x:v>
      </x:c>
      <x:c r="K1386" s="50" t="n">
        <x:v>0.403875</x:v>
      </x:c>
      <x:c r="L1386" s="47" t="n">
        <x:v>842.04</x:v>
      </x:c>
      <x:c r="M1386" s="47" t="n">
        <x:v>595.32</x:v>
      </x:c>
      <x:c r="N1386" s="28" t="str">
        <x:v>top-left</x:v>
      </x:c>
      <x:c r="O1386" s="28" t="str">
        <x:v>PDF points</x:v>
      </x:c>
    </x:row>
    <x:row r="1387" ht="22" customHeight="1">
      <x:c r="A1387" s="28" t="str">
        <x:v>ANC-SLE-008-MECH-02-R31</x:v>
      </x:c>
      <x:c r="B1387" s="28" t="str">
        <x:v>ANC-SLE-008-MECH-02</x:v>
      </x:c>
      <x:c r="C1387" s="28" t="n">
        <x:v>17</x:v>
      </x:c>
      <x:c r="D1387" s="47" t="n">
        <x:v>51.12</x:v>
      </x:c>
      <x:c r="E1387" s="47" t="n">
        <x:v>259.507</x:v>
      </x:c>
      <x:c r="F1387" s="47" t="n">
        <x:v>76.935</x:v>
      </x:c>
      <x:c r="G1387" s="47" t="n">
        <x:v>268.753</x:v>
      </x:c>
      <x:c r="H1387" s="50" t="n">
        <x:v>0.06071</x:v>
      </x:c>
      <x:c r="I1387" s="50" t="n">
        <x:v>0.435912</x:v>
      </x:c>
      <x:c r="J1387" s="50" t="n">
        <x:v>0.091367</x:v>
      </x:c>
      <x:c r="K1387" s="50" t="n">
        <x:v>0.451443</x:v>
      </x:c>
      <x:c r="L1387" s="47" t="n">
        <x:v>842.04</x:v>
      </x:c>
      <x:c r="M1387" s="47" t="n">
        <x:v>595.32</x:v>
      </x:c>
      <x:c r="N1387" s="28" t="str">
        <x:v>top-left</x:v>
      </x:c>
      <x:c r="O1387" s="28" t="str">
        <x:v>PDF points</x:v>
      </x:c>
    </x:row>
    <x:row r="1388" ht="22" customHeight="1">
      <x:c r="A1388" s="28" t="str">
        <x:v>ANC-SLE-008-MECH-02-R32</x:v>
      </x:c>
      <x:c r="B1388" s="28" t="str">
        <x:v>ANC-SLE-008-MECH-02</x:v>
      </x:c>
      <x:c r="C1388" s="28" t="n">
        <x:v>17</x:v>
      </x:c>
      <x:c r="D1388" s="47" t="n">
        <x:v>122.88</x:v>
      </x:c>
      <x:c r="E1388" s="47" t="n">
        <x:v>259.507</x:v>
      </x:c>
      <x:c r="F1388" s="47" t="n">
        <x:v>191.921</x:v>
      </x:c>
      <x:c r="G1388" s="47" t="n">
        <x:v>269.115</x:v>
      </x:c>
      <x:c r="H1388" s="50" t="n">
        <x:v>0.145931</x:v>
      </x:c>
      <x:c r="I1388" s="50" t="n">
        <x:v>0.435912</x:v>
      </x:c>
      <x:c r="J1388" s="50" t="n">
        <x:v>0.227924</x:v>
      </x:c>
      <x:c r="K1388" s="50" t="n">
        <x:v>0.452051</x:v>
      </x:c>
      <x:c r="L1388" s="47" t="n">
        <x:v>842.04</x:v>
      </x:c>
      <x:c r="M1388" s="47" t="n">
        <x:v>595.32</x:v>
      </x:c>
      <x:c r="N1388" s="28" t="str">
        <x:v>top-left</x:v>
      </x:c>
      <x:c r="O1388" s="28" t="str">
        <x:v>PDF points</x:v>
      </x:c>
    </x:row>
    <x:row r="1389" ht="22" customHeight="1">
      <x:c r="A1389" s="28" t="str">
        <x:v>ANC-SLE-008-MECH-02-R33</x:v>
      </x:c>
      <x:c r="B1389" s="28" t="str">
        <x:v>ANC-SLE-008-MECH-02</x:v>
      </x:c>
      <x:c r="C1389" s="28" t="n">
        <x:v>17</x:v>
      </x:c>
      <x:c r="D1389" s="47" t="n">
        <x:v>217.32</x:v>
      </x:c>
      <x:c r="E1389" s="47" t="n">
        <x:v>259.507</x:v>
      </x:c>
      <x:c r="F1389" s="47" t="n">
        <x:v>362.185</x:v>
      </x:c>
      <x:c r="G1389" s="47" t="n">
        <x:v>269.115</x:v>
      </x:c>
      <x:c r="H1389" s="50" t="n">
        <x:v>0.258088</x:v>
      </x:c>
      <x:c r="I1389" s="50" t="n">
        <x:v>0.435912</x:v>
      </x:c>
      <x:c r="J1389" s="50" t="n">
        <x:v>0.430129</x:v>
      </x:c>
      <x:c r="K1389" s="50" t="n">
        <x:v>0.452051</x:v>
      </x:c>
      <x:c r="L1389" s="47" t="n">
        <x:v>842.04</x:v>
      </x:c>
      <x:c r="M1389" s="47" t="n">
        <x:v>595.32</x:v>
      </x:c>
      <x:c r="N1389" s="28" t="str">
        <x:v>top-left</x:v>
      </x:c>
      <x:c r="O1389" s="28" t="str">
        <x:v>PDF points</x:v>
      </x:c>
    </x:row>
    <x:row r="1390" ht="22" customHeight="1">
      <x:c r="A1390" s="28" t="str">
        <x:v>ANC-SLE-008-MECH-03-R01</x:v>
      </x:c>
      <x:c r="B1390" s="28" t="str">
        <x:v>ANC-SLE-008-MECH-03</x:v>
      </x:c>
      <x:c r="C1390" s="28" t="n">
        <x:v>17</x:v>
      </x:c>
      <x:c r="D1390" s="47" t="n">
        <x:v>217.32</x:v>
      </x:c>
      <x:c r="E1390" s="47" t="n">
        <x:v>303.547</x:v>
      </x:c>
      <x:c r="F1390" s="47" t="n">
        <x:v>441.654</x:v>
      </x:c>
      <x:c r="G1390" s="47" t="n">
        <x:v>313.155</x:v>
      </x:c>
      <x:c r="H1390" s="50" t="n">
        <x:v>0.258088</x:v>
      </x:c>
      <x:c r="I1390" s="50" t="n">
        <x:v>0.509889</x:v>
      </x:c>
      <x:c r="J1390" s="50" t="n">
        <x:v>0.524505</x:v>
      </x:c>
      <x:c r="K1390" s="50" t="n">
        <x:v>0.526028</x:v>
      </x:c>
      <x:c r="L1390" s="47" t="n">
        <x:v>842.04</x:v>
      </x:c>
      <x:c r="M1390" s="47" t="n">
        <x:v>595.32</x:v>
      </x:c>
      <x:c r="N1390" s="28" t="str">
        <x:v>top-left</x:v>
      </x:c>
      <x:c r="O1390" s="28" t="str">
        <x:v>PDF points</x:v>
      </x:c>
    </x:row>
    <x:row r="1391" ht="22" customHeight="1">
      <x:c r="A1391" s="28" t="str">
        <x:v>ANC-SLE-008-MECH-03-R02</x:v>
      </x:c>
      <x:c r="B1391" s="28" t="str">
        <x:v>ANC-SLE-008-MECH-03</x:v>
      </x:c>
      <x:c r="C1391" s="28" t="n">
        <x:v>17</x:v>
      </x:c>
      <x:c r="D1391" s="47" t="n">
        <x:v>217.32</x:v>
      </x:c>
      <x:c r="E1391" s="47" t="n">
        <x:v>312.307</x:v>
      </x:c>
      <x:c r="F1391" s="47" t="n">
        <x:v>353.913</x:v>
      </x:c>
      <x:c r="G1391" s="47" t="n">
        <x:v>321.915</x:v>
      </x:c>
      <x:c r="H1391" s="50" t="n">
        <x:v>0.258088</x:v>
      </x:c>
      <x:c r="I1391" s="50" t="n">
        <x:v>0.524604</x:v>
      </x:c>
      <x:c r="J1391" s="50" t="n">
        <x:v>0.420304</x:v>
      </x:c>
      <x:c r="K1391" s="50" t="n">
        <x:v>0.540743</x:v>
      </x:c>
      <x:c r="L1391" s="47" t="n">
        <x:v>842.04</x:v>
      </x:c>
      <x:c r="M1391" s="47" t="n">
        <x:v>595.32</x:v>
      </x:c>
      <x:c r="N1391" s="28" t="str">
        <x:v>top-left</x:v>
      </x:c>
      <x:c r="O1391" s="28" t="str">
        <x:v>PDF points</x:v>
      </x:c>
    </x:row>
    <x:row r="1392" ht="22" customHeight="1">
      <x:c r="A1392" s="28" t="str">
        <x:v>ANC-SLE-008-MECH-04-R01</x:v>
      </x:c>
      <x:c r="B1392" s="28" t="str">
        <x:v>ANC-SLE-008-MECH-04</x:v>
      </x:c>
      <x:c r="C1392" s="28" t="n">
        <x:v>17</x:v>
      </x:c>
      <x:c r="D1392" s="47" t="n">
        <x:v>217.32</x:v>
      </x:c>
      <x:c r="E1392" s="47" t="n">
        <x:v>347.587</x:v>
      </x:c>
      <x:c r="F1392" s="47" t="n">
        <x:v>423.708</x:v>
      </x:c>
      <x:c r="G1392" s="47" t="n">
        <x:v>357.195</x:v>
      </x:c>
      <x:c r="H1392" s="50" t="n">
        <x:v>0.258088</x:v>
      </x:c>
      <x:c r="I1392" s="50" t="n">
        <x:v>0.583866</x:v>
      </x:c>
      <x:c r="J1392" s="50" t="n">
        <x:v>0.503192</x:v>
      </x:c>
      <x:c r="K1392" s="50" t="n">
        <x:v>0.600005</x:v>
      </x:c>
      <x:c r="L1392" s="47" t="n">
        <x:v>842.04</x:v>
      </x:c>
      <x:c r="M1392" s="47" t="n">
        <x:v>595.32</x:v>
      </x:c>
      <x:c r="N1392" s="28" t="str">
        <x:v>top-left</x:v>
      </x:c>
      <x:c r="O1392" s="28" t="str">
        <x:v>PDF points</x:v>
      </x:c>
    </x:row>
    <x:row r="1393" ht="22" customHeight="1">
      <x:c r="A1393" s="28" t="str">
        <x:v>ANC-SLE-008-MECH-04-R02</x:v>
      </x:c>
      <x:c r="B1393" s="28" t="str">
        <x:v>ANC-SLE-008-MECH-04</x:v>
      </x:c>
      <x:c r="C1393" s="28" t="n">
        <x:v>17</x:v>
      </x:c>
      <x:c r="D1393" s="47" t="n">
        <x:v>217.32</x:v>
      </x:c>
      <x:c r="E1393" s="47" t="n">
        <x:v>356.347</x:v>
      </x:c>
      <x:c r="F1393" s="47" t="n">
        <x:v>257.104</x:v>
      </x:c>
      <x:c r="G1393" s="47" t="n">
        <x:v>365.955</x:v>
      </x:c>
      <x:c r="H1393" s="50" t="n">
        <x:v>0.258088</x:v>
      </x:c>
      <x:c r="I1393" s="50" t="n">
        <x:v>0.598581</x:v>
      </x:c>
      <x:c r="J1393" s="50" t="n">
        <x:v>0.305335</x:v>
      </x:c>
      <x:c r="K1393" s="50" t="n">
        <x:v>0.61472</x:v>
      </x:c>
      <x:c r="L1393" s="47" t="n">
        <x:v>842.04</x:v>
      </x:c>
      <x:c r="M1393" s="47" t="n">
        <x:v>595.32</x:v>
      </x:c>
      <x:c r="N1393" s="28" t="str">
        <x:v>top-left</x:v>
      </x:c>
      <x:c r="O1393" s="28" t="str">
        <x:v>PDF points</x:v>
      </x:c>
    </x:row>
    <x:row r="1394" ht="22" customHeight="1">
      <x:c r="A1394" s="28" t="str">
        <x:v>ANC-SLE-009-ASP-R01</x:v>
      </x:c>
      <x:c r="B1394" s="28" t="str">
        <x:v>ANC-SLE-009-ASP</x:v>
      </x:c>
      <x:c r="C1394" s="28" t="n">
        <x:v>11</x:v>
      </x:c>
      <x:c r="D1394" s="47" t="n">
        <x:v>70.56</x:v>
      </x:c>
      <x:c r="E1394" s="47" t="n">
        <x:v>129.911</x:v>
      </x:c>
      <x:c r="F1394" s="47" t="n">
        <x:v>541.522</x:v>
      </x:c>
      <x:c r="G1394" s="47" t="n">
        <x:v>143.104</x:v>
      </x:c>
      <x:c r="H1394" s="50" t="n">
        <x:v>0.115294</x:v>
      </x:c>
      <x:c r="I1394" s="50" t="n">
        <x:v>0.16403</x:v>
      </x:c>
      <x:c r="J1394" s="50" t="n">
        <x:v>0.88484</x:v>
      </x:c>
      <x:c r="K1394" s="50" t="n">
        <x:v>0.180687</x:v>
      </x:c>
      <x:c r="L1394" s="47" t="n">
        <x:v>612</x:v>
      </x:c>
      <x:c r="M1394" s="47" t="n">
        <x:v>792</x:v>
      </x:c>
      <x:c r="N1394" s="28" t="str">
        <x:v>top-left</x:v>
      </x:c>
      <x:c r="O1394" s="28" t="str">
        <x:v>PDF points</x:v>
      </x:c>
    </x:row>
    <x:row r="1395" ht="22" customHeight="1">
      <x:c r="A1395" s="28" t="str">
        <x:v>ANC-SLE-010-ASP-R01</x:v>
      </x:c>
      <x:c r="B1395" s="28" t="str">
        <x:v>ANC-SLE-010-ASP</x:v>
      </x:c>
      <x:c r="C1395" s="28" t="n">
        <x:v>11</x:v>
      </x:c>
      <x:c r="D1395" s="47" t="n">
        <x:v>307.58</x:v>
      </x:c>
      <x:c r="E1395" s="47" t="n">
        <x:v>269.104</x:v>
      </x:c>
      <x:c r="F1395" s="47" t="n">
        <x:v>541.56</x:v>
      </x:c>
      <x:c r="G1395" s="47" t="n">
        <x:v>282.297</x:v>
      </x:c>
      <x:c r="H1395" s="50" t="n">
        <x:v>0.502582</x:v>
      </x:c>
      <x:c r="I1395" s="50" t="n">
        <x:v>0.339777</x:v>
      </x:c>
      <x:c r="J1395" s="50" t="n">
        <x:v>0.884901</x:v>
      </x:c>
      <x:c r="K1395" s="50" t="n">
        <x:v>0.356435</x:v>
      </x:c>
      <x:c r="L1395" s="47" t="n">
        <x:v>612</x:v>
      </x:c>
      <x:c r="M1395" s="47" t="n">
        <x:v>792</x:v>
      </x:c>
      <x:c r="N1395" s="28" t="str">
        <x:v>top-left</x:v>
      </x:c>
      <x:c r="O1395" s="28" t="str">
        <x:v>PDF points</x:v>
      </x:c>
    </x:row>
    <x:row r="1396" ht="22" customHeight="1">
      <x:c r="A1396" s="28" t="str">
        <x:v>ANC-SLE-010-ASP-R02</x:v>
      </x:c>
      <x:c r="B1396" s="28" t="str">
        <x:v>ANC-SLE-010-ASP</x:v>
      </x:c>
      <x:c r="C1396" s="28" t="n">
        <x:v>11</x:v>
      </x:c>
      <x:c r="D1396" s="47" t="n">
        <x:v>70.56</x:v>
      </x:c>
      <x:c r="E1396" s="47" t="n">
        <x:v>287.099</x:v>
      </x:c>
      <x:c r="F1396" s="47" t="n">
        <x:v>374.409</x:v>
      </x:c>
      <x:c r="G1396" s="47" t="n">
        <x:v>300.292</x:v>
      </x:c>
      <x:c r="H1396" s="50" t="n">
        <x:v>0.115294</x:v>
      </x:c>
      <x:c r="I1396" s="50" t="n">
        <x:v>0.362499</x:v>
      </x:c>
      <x:c r="J1396" s="50" t="n">
        <x:v>0.61178</x:v>
      </x:c>
      <x:c r="K1396" s="50" t="n">
        <x:v>0.379156</x:v>
      </x:c>
      <x:c r="L1396" s="47" t="n">
        <x:v>612</x:v>
      </x:c>
      <x:c r="M1396" s="47" t="n">
        <x:v>792</x:v>
      </x:c>
      <x:c r="N1396" s="28" t="str">
        <x:v>top-left</x:v>
      </x:c>
      <x:c r="O1396" s="28" t="str">
        <x:v>PDF points</x:v>
      </x:c>
    </x:row>
    <x:row r="1397" ht="22" customHeight="1">
      <x:c r="A1397" s="28" t="str">
        <x:v>ANC-SLE-010-MECH-01-R01</x:v>
      </x:c>
      <x:c r="B1397" s="28" t="str">
        <x:v>ANC-SLE-010-MECH-01</x:v>
      </x:c>
      <x:c r="C1397" s="28" t="n">
        <x:v>15</x:v>
      </x:c>
      <x:c r="D1397" s="47" t="n">
        <x:v>169.684</x:v>
      </x:c>
      <x:c r="E1397" s="47" t="n">
        <x:v>441.911</x:v>
      </x:c>
      <x:c r="F1397" s="47" t="n">
        <x:v>187.883</x:v>
      </x:c>
      <x:c r="G1397" s="47" t="n">
        <x:v>451.519</x:v>
      </x:c>
      <x:c r="H1397" s="50" t="n">
        <x:v>0.201515</x:v>
      </x:c>
      <x:c r="I1397" s="50" t="n">
        <x:v>0.742308</x:v>
      </x:c>
      <x:c r="J1397" s="50" t="n">
        <x:v>0.223128</x:v>
      </x:c>
      <x:c r="K1397" s="50" t="n">
        <x:v>0.758447</x:v>
      </x:c>
      <x:c r="L1397" s="47" t="n">
        <x:v>842.04</x:v>
      </x:c>
      <x:c r="M1397" s="47" t="n">
        <x:v>595.32</x:v>
      </x:c>
      <x:c r="N1397" s="28" t="str">
        <x:v>top-left</x:v>
      </x:c>
      <x:c r="O1397" s="28" t="str">
        <x:v>PDF points</x:v>
      </x:c>
    </x:row>
    <x:row r="1398" ht="22" customHeight="1">
      <x:c r="A1398" s="28" t="str">
        <x:v>ANC-SLE-010-MECH-01-R02</x:v>
      </x:c>
      <x:c r="B1398" s="28" t="str">
        <x:v>ANC-SLE-010-MECH-01</x:v>
      </x:c>
      <x:c r="C1398" s="28" t="n">
        <x:v>15</x:v>
      </x:c>
      <x:c r="D1398" s="47" t="n">
        <x:v>217.32</x:v>
      </x:c>
      <x:c r="E1398" s="47" t="n">
        <x:v>444.547</x:v>
      </x:c>
      <x:c r="F1398" s="47" t="n">
        <x:v>451.708</x:v>
      </x:c>
      <x:c r="G1398" s="47" t="n">
        <x:v>454.155</x:v>
      </x:c>
      <x:c r="H1398" s="50" t="n">
        <x:v>0.258088</x:v>
      </x:c>
      <x:c r="I1398" s="50" t="n">
        <x:v>0.746737</x:v>
      </x:c>
      <x:c r="J1398" s="50" t="n">
        <x:v>0.536444</x:v>
      </x:c>
      <x:c r="K1398" s="50" t="n">
        <x:v>0.762876</x:v>
      </x:c>
      <x:c r="L1398" s="47" t="n">
        <x:v>842.04</x:v>
      </x:c>
      <x:c r="M1398" s="47" t="n">
        <x:v>595.32</x:v>
      </x:c>
      <x:c r="N1398" s="28" t="str">
        <x:v>top-left</x:v>
      </x:c>
      <x:c r="O1398" s="28" t="str">
        <x:v>PDF points</x:v>
      </x:c>
    </x:row>
    <x:row r="1399" ht="22" customHeight="1">
      <x:c r="A1399" s="28" t="str">
        <x:v>ANC-SLE-010-MECH-01-R03</x:v>
      </x:c>
      <x:c r="B1399" s="28" t="str">
        <x:v>ANC-SLE-010-MECH-01</x:v>
      </x:c>
      <x:c r="C1399" s="28" t="n">
        <x:v>15</x:v>
      </x:c>
      <x:c r="D1399" s="47" t="n">
        <x:v>217.32</x:v>
      </x:c>
      <x:c r="E1399" s="47" t="n">
        <x:v>453.187</x:v>
      </x:c>
      <x:c r="F1399" s="47" t="n">
        <x:v>341.921</x:v>
      </x:c>
      <x:c r="G1399" s="47" t="n">
        <x:v>462.795</x:v>
      </x:c>
      <x:c r="H1399" s="50" t="n">
        <x:v>0.258088</x:v>
      </x:c>
      <x:c r="I1399" s="50" t="n">
        <x:v>0.76125</x:v>
      </x:c>
      <x:c r="J1399" s="50" t="n">
        <x:v>0.406063</x:v>
      </x:c>
      <x:c r="K1399" s="50" t="n">
        <x:v>0.777389</x:v>
      </x:c>
      <x:c r="L1399" s="47" t="n">
        <x:v>842.04</x:v>
      </x:c>
      <x:c r="M1399" s="47" t="n">
        <x:v>595.32</x:v>
      </x:c>
      <x:c r="N1399" s="28" t="str">
        <x:v>top-left</x:v>
      </x:c>
      <x:c r="O1399" s="28" t="str">
        <x:v>PDF points</x:v>
      </x:c>
    </x:row>
    <x:row r="1400" ht="22" customHeight="1">
      <x:c r="A1400" s="28" t="str">
        <x:v>ANC-SLE-010-MECH-01-R04</x:v>
      </x:c>
      <x:c r="B1400" s="28" t="str">
        <x:v>ANC-SLE-010-MECH-01</x:v>
      </x:c>
      <x:c r="C1400" s="28" t="n">
        <x:v>15</x:v>
      </x:c>
      <x:c r="D1400" s="47" t="n">
        <x:v>476.28</x:v>
      </x:c>
      <x:c r="E1400" s="47" t="n">
        <x:v>451.267</x:v>
      </x:c>
      <x:c r="F1400" s="47" t="n">
        <x:v>491.398</x:v>
      </x:c>
      <x:c r="G1400" s="47" t="n">
        <x:v>460.875</x:v>
      </x:c>
      <x:c r="H1400" s="50" t="n">
        <x:v>0.565626</x:v>
      </x:c>
      <x:c r="I1400" s="50" t="n">
        <x:v>0.758025</x:v>
      </x:c>
      <x:c r="J1400" s="50" t="n">
        <x:v>0.58358</x:v>
      </x:c>
      <x:c r="K1400" s="50" t="n">
        <x:v>0.774164</x:v>
      </x:c>
      <x:c r="L1400" s="47" t="n">
        <x:v>842.04</x:v>
      </x:c>
      <x:c r="M1400" s="47" t="n">
        <x:v>595.32</x:v>
      </x:c>
      <x:c r="N1400" s="28" t="str">
        <x:v>top-left</x:v>
      </x:c>
      <x:c r="O1400" s="28" t="str">
        <x:v>PDF points</x:v>
      </x:c>
    </x:row>
    <x:row r="1401" ht="22" customHeight="1">
      <x:c r="A1401" s="28" t="str">
        <x:v>ANC-SLE-010-MECH-01-R05</x:v>
      </x:c>
      <x:c r="B1401" s="28" t="str">
        <x:v>ANC-SLE-010-MECH-01</x:v>
      </x:c>
      <x:c r="C1401" s="28" t="n">
        <x:v>15</x:v>
      </x:c>
      <x:c r="D1401" s="47" t="n">
        <x:v>526.924</x:v>
      </x:c>
      <x:c r="E1401" s="47" t="n">
        <x:v>451.267</x:v>
      </x:c>
      <x:c r="F1401" s="47" t="n">
        <x:v>542.042</x:v>
      </x:c>
      <x:c r="G1401" s="47" t="n">
        <x:v>460.875</x:v>
      </x:c>
      <x:c r="H1401" s="50" t="n">
        <x:v>0.625771</x:v>
      </x:c>
      <x:c r="I1401" s="50" t="n">
        <x:v>0.758025</x:v>
      </x:c>
      <x:c r="J1401" s="50" t="n">
        <x:v>0.643724</x:v>
      </x:c>
      <x:c r="K1401" s="50" t="n">
        <x:v>0.774164</x:v>
      </x:c>
      <x:c r="L1401" s="47" t="n">
        <x:v>842.04</x:v>
      </x:c>
      <x:c r="M1401" s="47" t="n">
        <x:v>595.32</x:v>
      </x:c>
      <x:c r="N1401" s="28" t="str">
        <x:v>top-left</x:v>
      </x:c>
      <x:c r="O1401" s="28" t="str">
        <x:v>PDF points</x:v>
      </x:c>
    </x:row>
    <x:row r="1402" ht="22" customHeight="1">
      <x:c r="A1402" s="28" t="str">
        <x:v>ANC-SLE-010-MECH-01-R06</x:v>
      </x:c>
      <x:c r="B1402" s="28" t="str">
        <x:v>ANC-SLE-010-MECH-01</x:v>
      </x:c>
      <x:c r="C1402" s="28" t="n">
        <x:v>15</x:v>
      </x:c>
      <x:c r="D1402" s="47" t="n">
        <x:v>576.482</x:v>
      </x:c>
      <x:c r="E1402" s="47" t="n">
        <x:v>451.267</x:v>
      </x:c>
      <x:c r="F1402" s="47" t="n">
        <x:v>591.6</x:v>
      </x:c>
      <x:c r="G1402" s="47" t="n">
        <x:v>460.875</x:v>
      </x:c>
      <x:c r="H1402" s="50" t="n">
        <x:v>0.684626</x:v>
      </x:c>
      <x:c r="I1402" s="50" t="n">
        <x:v>0.758025</x:v>
      </x:c>
      <x:c r="J1402" s="50" t="n">
        <x:v>0.70258</x:v>
      </x:c>
      <x:c r="K1402" s="50" t="n">
        <x:v>0.774164</x:v>
      </x:c>
      <x:c r="L1402" s="47" t="n">
        <x:v>842.04</x:v>
      </x:c>
      <x:c r="M1402" s="47" t="n">
        <x:v>595.32</x:v>
      </x:c>
      <x:c r="N1402" s="28" t="str">
        <x:v>top-left</x:v>
      </x:c>
      <x:c r="O1402" s="28" t="str">
        <x:v>PDF points</x:v>
      </x:c>
    </x:row>
    <x:row r="1403" ht="22" customHeight="1">
      <x:c r="A1403" s="28" t="str">
        <x:v>ANC-SLE-010-MECH-01-R07</x:v>
      </x:c>
      <x:c r="B1403" s="28" t="str">
        <x:v>ANC-SLE-010-MECH-01</x:v>
      </x:c>
      <x:c r="C1403" s="28" t="n">
        <x:v>15</x:v>
      </x:c>
      <x:c r="D1403" s="47" t="n">
        <x:v>616.92</x:v>
      </x:c>
      <x:c r="E1403" s="47" t="n">
        <x:v>451.267</x:v>
      </x:c>
      <x:c r="F1403" s="47" t="n">
        <x:v>632.038</x:v>
      </x:c>
      <x:c r="G1403" s="47" t="n">
        <x:v>460.875</x:v>
      </x:c>
      <x:c r="H1403" s="50" t="n">
        <x:v>0.732649</x:v>
      </x:c>
      <x:c r="I1403" s="50" t="n">
        <x:v>0.758025</x:v>
      </x:c>
      <x:c r="J1403" s="50" t="n">
        <x:v>0.750603</x:v>
      </x:c>
      <x:c r="K1403" s="50" t="n">
        <x:v>0.774164</x:v>
      </x:c>
      <x:c r="L1403" s="47" t="n">
        <x:v>842.04</x:v>
      </x:c>
      <x:c r="M1403" s="47" t="n">
        <x:v>595.32</x:v>
      </x:c>
      <x:c r="N1403" s="28" t="str">
        <x:v>top-left</x:v>
      </x:c>
      <x:c r="O1403" s="28" t="str">
        <x:v>PDF points</x:v>
      </x:c>
    </x:row>
    <x:row r="1404" ht="22" customHeight="1">
      <x:c r="A1404" s="28" t="str">
        <x:v>ANC-SLE-010-MECH-01-R08</x:v>
      </x:c>
      <x:c r="B1404" s="28" t="str">
        <x:v>ANC-SLE-010-MECH-01</x:v>
      </x:c>
      <x:c r="C1404" s="28" t="n">
        <x:v>15</x:v>
      </x:c>
      <x:c r="D1404" s="47" t="n">
        <x:v>656.52</x:v>
      </x:c>
      <x:c r="E1404" s="47" t="n">
        <x:v>451.267</x:v>
      </x:c>
      <x:c r="F1404" s="47" t="n">
        <x:v>671.638</x:v>
      </x:c>
      <x:c r="G1404" s="47" t="n">
        <x:v>460.875</x:v>
      </x:c>
      <x:c r="H1404" s="50" t="n">
        <x:v>0.779678</x:v>
      </x:c>
      <x:c r="I1404" s="50" t="n">
        <x:v>0.758025</x:v>
      </x:c>
      <x:c r="J1404" s="50" t="n">
        <x:v>0.797632</x:v>
      </x:c>
      <x:c r="K1404" s="50" t="n">
        <x:v>0.774164</x:v>
      </x:c>
      <x:c r="L1404" s="47" t="n">
        <x:v>842.04</x:v>
      </x:c>
      <x:c r="M1404" s="47" t="n">
        <x:v>595.32</x:v>
      </x:c>
      <x:c r="N1404" s="28" t="str">
        <x:v>top-left</x:v>
      </x:c>
      <x:c r="O1404" s="28" t="str">
        <x:v>PDF points</x:v>
      </x:c>
    </x:row>
    <x:row r="1405" ht="22" customHeight="1">
      <x:c r="A1405" s="28" t="str">
        <x:v>ANC-SLE-010-MECH-01-R09</x:v>
      </x:c>
      <x:c r="B1405" s="28" t="str">
        <x:v>ANC-SLE-010-MECH-01</x:v>
      </x:c>
      <x:c r="C1405" s="28" t="n">
        <x:v>15</x:v>
      </x:c>
      <x:c r="D1405" s="47" t="n">
        <x:v>696.004</x:v>
      </x:c>
      <x:c r="E1405" s="47" t="n">
        <x:v>451.267</x:v>
      </x:c>
      <x:c r="F1405" s="47" t="n">
        <x:v>711.122</x:v>
      </x:c>
      <x:c r="G1405" s="47" t="n">
        <x:v>460.875</x:v>
      </x:c>
      <x:c r="H1405" s="50" t="n">
        <x:v>0.826569</x:v>
      </x:c>
      <x:c r="I1405" s="50" t="n">
        <x:v>0.758025</x:v>
      </x:c>
      <x:c r="J1405" s="50" t="n">
        <x:v>0.844523</x:v>
      </x:c>
      <x:c r="K1405" s="50" t="n">
        <x:v>0.774164</x:v>
      </x:c>
      <x:c r="L1405" s="47" t="n">
        <x:v>842.04</x:v>
      </x:c>
      <x:c r="M1405" s="47" t="n">
        <x:v>595.32</x:v>
      </x:c>
      <x:c r="N1405" s="28" t="str">
        <x:v>top-left</x:v>
      </x:c>
      <x:c r="O1405" s="28" t="str">
        <x:v>PDF points</x:v>
      </x:c>
    </x:row>
    <x:row r="1406" ht="22" customHeight="1">
      <x:c r="A1406" s="28" t="str">
        <x:v>ANC-SLE-010-MECH-01-R10</x:v>
      </x:c>
      <x:c r="B1406" s="28" t="str">
        <x:v>ANC-SLE-010-MECH-01</x:v>
      </x:c>
      <x:c r="C1406" s="28" t="n">
        <x:v>15</x:v>
      </x:c>
      <x:c r="D1406" s="47" t="n">
        <x:v>731.887</x:v>
      </x:c>
      <x:c r="E1406" s="47" t="n">
        <x:v>451.267</x:v>
      </x:c>
      <x:c r="F1406" s="47" t="n">
        <x:v>747.005</x:v>
      </x:c>
      <x:c r="G1406" s="47" t="n">
        <x:v>460.875</x:v>
      </x:c>
      <x:c r="H1406" s="50" t="n">
        <x:v>0.869183</x:v>
      </x:c>
      <x:c r="I1406" s="50" t="n">
        <x:v>0.758025</x:v>
      </x:c>
      <x:c r="J1406" s="50" t="n">
        <x:v>0.887137</x:v>
      </x:c>
      <x:c r="K1406" s="50" t="n">
        <x:v>0.774164</x:v>
      </x:c>
      <x:c r="L1406" s="47" t="n">
        <x:v>842.04</x:v>
      </x:c>
      <x:c r="M1406" s="47" t="n">
        <x:v>595.32</x:v>
      </x:c>
      <x:c r="N1406" s="28" t="str">
        <x:v>top-left</x:v>
      </x:c>
      <x:c r="O1406" s="28" t="str">
        <x:v>PDF points</x:v>
      </x:c>
    </x:row>
    <x:row r="1407" ht="22" customHeight="1">
      <x:c r="A1407" s="28" t="str">
        <x:v>ANC-SLE-010-MECH-01-R11</x:v>
      </x:c>
      <x:c r="B1407" s="28" t="str">
        <x:v>ANC-SLE-010-MECH-01</x:v>
      </x:c>
      <x:c r="C1407" s="28" t="n">
        <x:v>15</x:v>
      </x:c>
      <x:c r="D1407" s="47" t="n">
        <x:v>768.011</x:v>
      </x:c>
      <x:c r="E1407" s="47" t="n">
        <x:v>451.267</x:v>
      </x:c>
      <x:c r="F1407" s="47" t="n">
        <x:v>783.128</x:v>
      </x:c>
      <x:c r="G1407" s="47" t="n">
        <x:v>460.875</x:v>
      </x:c>
      <x:c r="H1407" s="50" t="n">
        <x:v>0.912083</x:v>
      </x:c>
      <x:c r="I1407" s="50" t="n">
        <x:v>0.758025</x:v>
      </x:c>
      <x:c r="J1407" s="50" t="n">
        <x:v>0.930037</x:v>
      </x:c>
      <x:c r="K1407" s="50" t="n">
        <x:v>0.774164</x:v>
      </x:c>
      <x:c r="L1407" s="47" t="n">
        <x:v>842.04</x:v>
      </x:c>
      <x:c r="M1407" s="47" t="n">
        <x:v>595.32</x:v>
      </x:c>
      <x:c r="N1407" s="28" t="str">
        <x:v>top-left</x:v>
      </x:c>
      <x:c r="O1407" s="28" t="str">
        <x:v>PDF points</x:v>
      </x:c>
    </x:row>
    <x:row r="1408" ht="22" customHeight="1">
      <x:c r="A1408" s="28" t="str">
        <x:v>ANC-SLE-010-MECH-01-R12</x:v>
      </x:c>
      <x:c r="B1408" s="28" t="str">
        <x:v>ANC-SLE-010-MECH-01</x:v>
      </x:c>
      <x:c r="C1408" s="28" t="n">
        <x:v>15</x:v>
      </x:c>
      <x:c r="D1408" s="47" t="n">
        <x:v>217.32</x:v>
      </x:c>
      <x:c r="E1408" s="47" t="n">
        <x:v>467.227</x:v>
      </x:c>
      <x:c r="F1408" s="47" t="n">
        <x:v>341.191</x:v>
      </x:c>
      <x:c r="G1408" s="47" t="n">
        <x:v>476.835</x:v>
      </x:c>
      <x:c r="H1408" s="50" t="n">
        <x:v>0.258088</x:v>
      </x:c>
      <x:c r="I1408" s="50" t="n">
        <x:v>0.784834</x:v>
      </x:c>
      <x:c r="J1408" s="50" t="n">
        <x:v>0.405195</x:v>
      </x:c>
      <x:c r="K1408" s="50" t="n">
        <x:v>0.800973</x:v>
      </x:c>
      <x:c r="L1408" s="47" t="n">
        <x:v>842.04</x:v>
      </x:c>
      <x:c r="M1408" s="47" t="n">
        <x:v>595.32</x:v>
      </x:c>
      <x:c r="N1408" s="28" t="str">
        <x:v>top-left</x:v>
      </x:c>
      <x:c r="O1408" s="28" t="str">
        <x:v>PDF points</x:v>
      </x:c>
    </x:row>
    <x:row r="1409" ht="22" customHeight="1">
      <x:c r="A1409" s="28" t="str">
        <x:v>ANC-SLE-010-MECH-01-R13</x:v>
      </x:c>
      <x:c r="B1409" s="28" t="str">
        <x:v>ANC-SLE-010-MECH-01</x:v>
      </x:c>
      <x:c r="C1409" s="28" t="n">
        <x:v>15</x:v>
      </x:c>
      <x:c r="D1409" s="47" t="n">
        <x:v>476.28</x:v>
      </x:c>
      <x:c r="E1409" s="47" t="n">
        <x:v>469.267</x:v>
      </x:c>
      <x:c r="F1409" s="47" t="n">
        <x:v>491.398</x:v>
      </x:c>
      <x:c r="G1409" s="47" t="n">
        <x:v>478.875</x:v>
      </x:c>
      <x:c r="H1409" s="50" t="n">
        <x:v>0.565626</x:v>
      </x:c>
      <x:c r="I1409" s="50" t="n">
        <x:v>0.788261</x:v>
      </x:c>
      <x:c r="J1409" s="50" t="n">
        <x:v>0.58358</x:v>
      </x:c>
      <x:c r="K1409" s="50" t="n">
        <x:v>0.8044</x:v>
      </x:c>
      <x:c r="L1409" s="47" t="n">
        <x:v>842.04</x:v>
      </x:c>
      <x:c r="M1409" s="47" t="n">
        <x:v>595.32</x:v>
      </x:c>
      <x:c r="N1409" s="28" t="str">
        <x:v>top-left</x:v>
      </x:c>
      <x:c r="O1409" s="28" t="str">
        <x:v>PDF points</x:v>
      </x:c>
    </x:row>
    <x:row r="1410" ht="22" customHeight="1">
      <x:c r="A1410" s="28" t="str">
        <x:v>ANC-SLE-010-MECH-01-R14</x:v>
      </x:c>
      <x:c r="B1410" s="28" t="str">
        <x:v>ANC-SLE-010-MECH-01</x:v>
      </x:c>
      <x:c r="C1410" s="28" t="n">
        <x:v>15</x:v>
      </x:c>
      <x:c r="D1410" s="47" t="n">
        <x:v>526.92</x:v>
      </x:c>
      <x:c r="E1410" s="47" t="n">
        <x:v>469.267</x:v>
      </x:c>
      <x:c r="F1410" s="47" t="n">
        <x:v>542.038</x:v>
      </x:c>
      <x:c r="G1410" s="47" t="n">
        <x:v>478.875</x:v>
      </x:c>
      <x:c r="H1410" s="50" t="n">
        <x:v>0.625766</x:v>
      </x:c>
      <x:c r="I1410" s="50" t="n">
        <x:v>0.788261</x:v>
      </x:c>
      <x:c r="J1410" s="50" t="n">
        <x:v>0.64372</x:v>
      </x:c>
      <x:c r="K1410" s="50" t="n">
        <x:v>0.8044</x:v>
      </x:c>
      <x:c r="L1410" s="47" t="n">
        <x:v>842.04</x:v>
      </x:c>
      <x:c r="M1410" s="47" t="n">
        <x:v>595.32</x:v>
      </x:c>
      <x:c r="N1410" s="28" t="str">
        <x:v>top-left</x:v>
      </x:c>
      <x:c r="O1410" s="28" t="str">
        <x:v>PDF points</x:v>
      </x:c>
    </x:row>
    <x:row r="1411" ht="22" customHeight="1">
      <x:c r="A1411" s="28" t="str">
        <x:v>ANC-SLE-010-MECH-01-R15</x:v>
      </x:c>
      <x:c r="B1411" s="28" t="str">
        <x:v>ANC-SLE-010-MECH-01</x:v>
      </x:c>
      <x:c r="C1411" s="28" t="n">
        <x:v>15</x:v>
      </x:c>
      <x:c r="D1411" s="47" t="n">
        <x:v>576.487</x:v>
      </x:c>
      <x:c r="E1411" s="47" t="n">
        <x:v>469.267</x:v>
      </x:c>
      <x:c r="F1411" s="47" t="n">
        <x:v>591.604</x:v>
      </x:c>
      <x:c r="G1411" s="47" t="n">
        <x:v>478.875</x:v>
      </x:c>
      <x:c r="H1411" s="50" t="n">
        <x:v>0.684631</x:v>
      </x:c>
      <x:c r="I1411" s="50" t="n">
        <x:v>0.788261</x:v>
      </x:c>
      <x:c r="J1411" s="50" t="n">
        <x:v>0.702585</x:v>
      </x:c>
      <x:c r="K1411" s="50" t="n">
        <x:v>0.8044</x:v>
      </x:c>
      <x:c r="L1411" s="47" t="n">
        <x:v>842.04</x:v>
      </x:c>
      <x:c r="M1411" s="47" t="n">
        <x:v>595.32</x:v>
      </x:c>
      <x:c r="N1411" s="28" t="str">
        <x:v>top-left</x:v>
      </x:c>
      <x:c r="O1411" s="28" t="str">
        <x:v>PDF points</x:v>
      </x:c>
    </x:row>
    <x:row r="1412" ht="22" customHeight="1">
      <x:c r="A1412" s="28" t="str">
        <x:v>ANC-SLE-010-MECH-01-R16</x:v>
      </x:c>
      <x:c r="B1412" s="28" t="str">
        <x:v>ANC-SLE-010-MECH-01</x:v>
      </x:c>
      <x:c r="C1412" s="28" t="n">
        <x:v>15</x:v>
      </x:c>
      <x:c r="D1412" s="47" t="n">
        <x:v>616.92</x:v>
      </x:c>
      <x:c r="E1412" s="47" t="n">
        <x:v>469.267</x:v>
      </x:c>
      <x:c r="F1412" s="47" t="n">
        <x:v>632.038</x:v>
      </x:c>
      <x:c r="G1412" s="47" t="n">
        <x:v>478.875</x:v>
      </x:c>
      <x:c r="H1412" s="50" t="n">
        <x:v>0.732649</x:v>
      </x:c>
      <x:c r="I1412" s="50" t="n">
        <x:v>0.788261</x:v>
      </x:c>
      <x:c r="J1412" s="50" t="n">
        <x:v>0.750603</x:v>
      </x:c>
      <x:c r="K1412" s="50" t="n">
        <x:v>0.8044</x:v>
      </x:c>
      <x:c r="L1412" s="47" t="n">
        <x:v>842.04</x:v>
      </x:c>
      <x:c r="M1412" s="47" t="n">
        <x:v>595.32</x:v>
      </x:c>
      <x:c r="N1412" s="28" t="str">
        <x:v>top-left</x:v>
      </x:c>
      <x:c r="O1412" s="28" t="str">
        <x:v>PDF points</x:v>
      </x:c>
    </x:row>
    <x:row r="1413" ht="22" customHeight="1">
      <x:c r="A1413" s="28" t="str">
        <x:v>ANC-SLE-010-MECH-01-R17</x:v>
      </x:c>
      <x:c r="B1413" s="28" t="str">
        <x:v>ANC-SLE-010-MECH-01</x:v>
      </x:c>
      <x:c r="C1413" s="28" t="n">
        <x:v>15</x:v>
      </x:c>
      <x:c r="D1413" s="47" t="n">
        <x:v>656.52</x:v>
      </x:c>
      <x:c r="E1413" s="47" t="n">
        <x:v>469.267</x:v>
      </x:c>
      <x:c r="F1413" s="47" t="n">
        <x:v>671.638</x:v>
      </x:c>
      <x:c r="G1413" s="47" t="n">
        <x:v>478.875</x:v>
      </x:c>
      <x:c r="H1413" s="50" t="n">
        <x:v>0.779678</x:v>
      </x:c>
      <x:c r="I1413" s="50" t="n">
        <x:v>0.788261</x:v>
      </x:c>
      <x:c r="J1413" s="50" t="n">
        <x:v>0.797632</x:v>
      </x:c>
      <x:c r="K1413" s="50" t="n">
        <x:v>0.8044</x:v>
      </x:c>
      <x:c r="L1413" s="47" t="n">
        <x:v>842.04</x:v>
      </x:c>
      <x:c r="M1413" s="47" t="n">
        <x:v>595.32</x:v>
      </x:c>
      <x:c r="N1413" s="28" t="str">
        <x:v>top-left</x:v>
      </x:c>
      <x:c r="O1413" s="28" t="str">
        <x:v>PDF points</x:v>
      </x:c>
    </x:row>
    <x:row r="1414" ht="22" customHeight="1">
      <x:c r="A1414" s="28" t="str">
        <x:v>ANC-SLE-010-MECH-01-R18</x:v>
      </x:c>
      <x:c r="B1414" s="28" t="str">
        <x:v>ANC-SLE-010-MECH-01</x:v>
      </x:c>
      <x:c r="C1414" s="28" t="n">
        <x:v>15</x:v>
      </x:c>
      <x:c r="D1414" s="47" t="n">
        <x:v>696.004</x:v>
      </x:c>
      <x:c r="E1414" s="47" t="n">
        <x:v>469.267</x:v>
      </x:c>
      <x:c r="F1414" s="47" t="n">
        <x:v>711.122</x:v>
      </x:c>
      <x:c r="G1414" s="47" t="n">
        <x:v>478.875</x:v>
      </x:c>
      <x:c r="H1414" s="50" t="n">
        <x:v>0.826569</x:v>
      </x:c>
      <x:c r="I1414" s="50" t="n">
        <x:v>0.788261</x:v>
      </x:c>
      <x:c r="J1414" s="50" t="n">
        <x:v>0.844523</x:v>
      </x:c>
      <x:c r="K1414" s="50" t="n">
        <x:v>0.8044</x:v>
      </x:c>
      <x:c r="L1414" s="47" t="n">
        <x:v>842.04</x:v>
      </x:c>
      <x:c r="M1414" s="47" t="n">
        <x:v>595.32</x:v>
      </x:c>
      <x:c r="N1414" s="28" t="str">
        <x:v>top-left</x:v>
      </x:c>
      <x:c r="O1414" s="28" t="str">
        <x:v>PDF points</x:v>
      </x:c>
    </x:row>
    <x:row r="1415" ht="22" customHeight="1">
      <x:c r="A1415" s="28" t="str">
        <x:v>ANC-SLE-010-MECH-01-R19</x:v>
      </x:c>
      <x:c r="B1415" s="28" t="str">
        <x:v>ANC-SLE-010-MECH-01</x:v>
      </x:c>
      <x:c r="C1415" s="28" t="n">
        <x:v>15</x:v>
      </x:c>
      <x:c r="D1415" s="47" t="n">
        <x:v>731.887</x:v>
      </x:c>
      <x:c r="E1415" s="47" t="n">
        <x:v>469.267</x:v>
      </x:c>
      <x:c r="F1415" s="47" t="n">
        <x:v>747.005</x:v>
      </x:c>
      <x:c r="G1415" s="47" t="n">
        <x:v>478.875</x:v>
      </x:c>
      <x:c r="H1415" s="50" t="n">
        <x:v>0.869183</x:v>
      </x:c>
      <x:c r="I1415" s="50" t="n">
        <x:v>0.788261</x:v>
      </x:c>
      <x:c r="J1415" s="50" t="n">
        <x:v>0.887137</x:v>
      </x:c>
      <x:c r="K1415" s="50" t="n">
        <x:v>0.8044</x:v>
      </x:c>
      <x:c r="L1415" s="47" t="n">
        <x:v>842.04</x:v>
      </x:c>
      <x:c r="M1415" s="47" t="n">
        <x:v>595.32</x:v>
      </x:c>
      <x:c r="N1415" s="28" t="str">
        <x:v>top-left</x:v>
      </x:c>
      <x:c r="O1415" s="28" t="str">
        <x:v>PDF points</x:v>
      </x:c>
    </x:row>
    <x:row r="1416" ht="22" customHeight="1">
      <x:c r="A1416" s="28" t="str">
        <x:v>ANC-SLE-010-MECH-01-R20</x:v>
      </x:c>
      <x:c r="B1416" s="28" t="str">
        <x:v>ANC-SLE-010-MECH-01</x:v>
      </x:c>
      <x:c r="C1416" s="28" t="n">
        <x:v>15</x:v>
      </x:c>
      <x:c r="D1416" s="47" t="n">
        <x:v>768.011</x:v>
      </x:c>
      <x:c r="E1416" s="47" t="n">
        <x:v>469.267</x:v>
      </x:c>
      <x:c r="F1416" s="47" t="n">
        <x:v>783.128</x:v>
      </x:c>
      <x:c r="G1416" s="47" t="n">
        <x:v>478.875</x:v>
      </x:c>
      <x:c r="H1416" s="50" t="n">
        <x:v>0.912083</x:v>
      </x:c>
      <x:c r="I1416" s="50" t="n">
        <x:v>0.788261</x:v>
      </x:c>
      <x:c r="J1416" s="50" t="n">
        <x:v>0.930037</x:v>
      </x:c>
      <x:c r="K1416" s="50" t="n">
        <x:v>0.8044</x:v>
      </x:c>
      <x:c r="L1416" s="47" t="n">
        <x:v>842.04</x:v>
      </x:c>
      <x:c r="M1416" s="47" t="n">
        <x:v>595.32</x:v>
      </x:c>
      <x:c r="N1416" s="28" t="str">
        <x:v>top-left</x:v>
      </x:c>
      <x:c r="O1416" s="28" t="str">
        <x:v>PDF points</x:v>
      </x:c>
    </x:row>
    <x:row r="1417" ht="22" customHeight="1">
      <x:c r="A1417" s="28" t="str">
        <x:v>ANC-SLE-010-MECH-01-R21</x:v>
      </x:c>
      <x:c r="B1417" s="28" t="str">
        <x:v>ANC-SLE-010-MECH-01</x:v>
      </x:c>
      <x:c r="C1417" s="28" t="n">
        <x:v>15</x:v>
      </x:c>
      <x:c r="D1417" s="47" t="n">
        <x:v>217.32</x:v>
      </x:c>
      <x:c r="E1417" s="47" t="n">
        <x:v>480.547</x:v>
      </x:c>
      <x:c r="F1417" s="47" t="n">
        <x:v>423.369</x:v>
      </x:c>
      <x:c r="G1417" s="47" t="n">
        <x:v>490.155</x:v>
      </x:c>
      <x:c r="H1417" s="50" t="n">
        <x:v>0.258088</x:v>
      </x:c>
      <x:c r="I1417" s="50" t="n">
        <x:v>0.807208</x:v>
      </x:c>
      <x:c r="J1417" s="50" t="n">
        <x:v>0.50279</x:v>
      </x:c>
      <x:c r="K1417" s="50" t="n">
        <x:v>0.823347</x:v>
      </x:c>
      <x:c r="L1417" s="47" t="n">
        <x:v>842.04</x:v>
      </x:c>
      <x:c r="M1417" s="47" t="n">
        <x:v>595.32</x:v>
      </x:c>
      <x:c r="N1417" s="28" t="str">
        <x:v>top-left</x:v>
      </x:c>
      <x:c r="O1417" s="28" t="str">
        <x:v>PDF points</x:v>
      </x:c>
    </x:row>
    <x:row r="1418" ht="22" customHeight="1">
      <x:c r="A1418" s="28" t="str">
        <x:v>ANC-SLE-010-MECH-01-R22</x:v>
      </x:c>
      <x:c r="B1418" s="28" t="str">
        <x:v>ANC-SLE-010-MECH-01</x:v>
      </x:c>
      <x:c r="C1418" s="28" t="n">
        <x:v>15</x:v>
      </x:c>
      <x:c r="D1418" s="47" t="n">
        <x:v>217.32</x:v>
      </x:c>
      <x:c r="E1418" s="47" t="n">
        <x:v>489.307</x:v>
      </x:c>
      <x:c r="F1418" s="47" t="n">
        <x:v>371.066</x:v>
      </x:c>
      <x:c r="G1418" s="47" t="n">
        <x:v>498.915</x:v>
      </x:c>
      <x:c r="H1418" s="50" t="n">
        <x:v>0.258088</x:v>
      </x:c>
      <x:c r="I1418" s="50" t="n">
        <x:v>0.821923</x:v>
      </x:c>
      <x:c r="J1418" s="50" t="n">
        <x:v>0.440675</x:v>
      </x:c>
      <x:c r="K1418" s="50" t="n">
        <x:v>0.838062</x:v>
      </x:c>
      <x:c r="L1418" s="47" t="n">
        <x:v>842.04</x:v>
      </x:c>
      <x:c r="M1418" s="47" t="n">
        <x:v>595.32</x:v>
      </x:c>
      <x:c r="N1418" s="28" t="str">
        <x:v>top-left</x:v>
      </x:c>
      <x:c r="O1418" s="28" t="str">
        <x:v>PDF points</x:v>
      </x:c>
    </x:row>
    <x:row r="1419" ht="22" customHeight="1">
      <x:c r="A1419" s="28" t="str">
        <x:v>ANC-SLE-010-MECH-01-R23</x:v>
      </x:c>
      <x:c r="B1419" s="28" t="str">
        <x:v>ANC-SLE-010-MECH-01</x:v>
      </x:c>
      <x:c r="C1419" s="28" t="n">
        <x:v>15</x:v>
      </x:c>
      <x:c r="D1419" s="47" t="n">
        <x:v>476.272</x:v>
      </x:c>
      <x:c r="E1419" s="47" t="n">
        <x:v>487.265</x:v>
      </x:c>
      <x:c r="F1419" s="47" t="n">
        <x:v>491.39</x:v>
      </x:c>
      <x:c r="G1419" s="47" t="n">
        <x:v>496.873</x:v>
      </x:c>
      <x:c r="H1419" s="50" t="n">
        <x:v>0.565617</x:v>
      </x:c>
      <x:c r="I1419" s="50" t="n">
        <x:v>0.818493</x:v>
      </x:c>
      <x:c r="J1419" s="50" t="n">
        <x:v>0.583571</x:v>
      </x:c>
      <x:c r="K1419" s="50" t="n">
        <x:v>0.834632</x:v>
      </x:c>
      <x:c r="L1419" s="47" t="n">
        <x:v>842.04</x:v>
      </x:c>
      <x:c r="M1419" s="47" t="n">
        <x:v>595.32</x:v>
      </x:c>
      <x:c r="N1419" s="28" t="str">
        <x:v>top-left</x:v>
      </x:c>
      <x:c r="O1419" s="28" t="str">
        <x:v>PDF points</x:v>
      </x:c>
    </x:row>
    <x:row r="1420" ht="22" customHeight="1">
      <x:c r="A1420" s="28" t="str">
        <x:v>ANC-SLE-010-MECH-01-R24</x:v>
      </x:c>
      <x:c r="B1420" s="28" t="str">
        <x:v>ANC-SLE-010-MECH-01</x:v>
      </x:c>
      <x:c r="C1420" s="28" t="n">
        <x:v>15</x:v>
      </x:c>
      <x:c r="D1420" s="47" t="n">
        <x:v>526.916</x:v>
      </x:c>
      <x:c r="E1420" s="47" t="n">
        <x:v>487.265</x:v>
      </x:c>
      <x:c r="F1420" s="47" t="n">
        <x:v>542.034</x:v>
      </x:c>
      <x:c r="G1420" s="47" t="n">
        <x:v>496.873</x:v>
      </x:c>
      <x:c r="H1420" s="50" t="n">
        <x:v>0.625762</x:v>
      </x:c>
      <x:c r="I1420" s="50" t="n">
        <x:v>0.818493</x:v>
      </x:c>
      <x:c r="J1420" s="50" t="n">
        <x:v>0.643715</x:v>
      </x:c>
      <x:c r="K1420" s="50" t="n">
        <x:v>0.834632</x:v>
      </x:c>
      <x:c r="L1420" s="47" t="n">
        <x:v>842.04</x:v>
      </x:c>
      <x:c r="M1420" s="47" t="n">
        <x:v>595.32</x:v>
      </x:c>
      <x:c r="N1420" s="28" t="str">
        <x:v>top-left</x:v>
      </x:c>
      <x:c r="O1420" s="28" t="str">
        <x:v>PDF points</x:v>
      </x:c>
    </x:row>
    <x:row r="1421" ht="22" customHeight="1">
      <x:c r="A1421" s="28" t="str">
        <x:v>ANC-SLE-010-MECH-01-R25</x:v>
      </x:c>
      <x:c r="B1421" s="28" t="str">
        <x:v>ANC-SLE-010-MECH-01</x:v>
      </x:c>
      <x:c r="C1421" s="28" t="n">
        <x:v>15</x:v>
      </x:c>
      <x:c r="D1421" s="47" t="n">
        <x:v>576.483</x:v>
      </x:c>
      <x:c r="E1421" s="47" t="n">
        <x:v>487.265</x:v>
      </x:c>
      <x:c r="F1421" s="47" t="n">
        <x:v>591.601</x:v>
      </x:c>
      <x:c r="G1421" s="47" t="n">
        <x:v>496.873</x:v>
      </x:c>
      <x:c r="H1421" s="50" t="n">
        <x:v>0.684627</x:v>
      </x:c>
      <x:c r="I1421" s="50" t="n">
        <x:v>0.818493</x:v>
      </x:c>
      <x:c r="J1421" s="50" t="n">
        <x:v>0.70258</x:v>
      </x:c>
      <x:c r="K1421" s="50" t="n">
        <x:v>0.834632</x:v>
      </x:c>
      <x:c r="L1421" s="47" t="n">
        <x:v>842.04</x:v>
      </x:c>
      <x:c r="M1421" s="47" t="n">
        <x:v>595.32</x:v>
      </x:c>
      <x:c r="N1421" s="28" t="str">
        <x:v>top-left</x:v>
      </x:c>
      <x:c r="O1421" s="28" t="str">
        <x:v>PDF points</x:v>
      </x:c>
    </x:row>
    <x:row r="1422" ht="22" customHeight="1">
      <x:c r="A1422" s="28" t="str">
        <x:v>ANC-SLE-010-MECH-01-R26</x:v>
      </x:c>
      <x:c r="B1422" s="28" t="str">
        <x:v>ANC-SLE-010-MECH-01</x:v>
      </x:c>
      <x:c r="C1422" s="28" t="n">
        <x:v>15</x:v>
      </x:c>
      <x:c r="D1422" s="47" t="n">
        <x:v>616.924</x:v>
      </x:c>
      <x:c r="E1422" s="47" t="n">
        <x:v>487.265</x:v>
      </x:c>
      <x:c r="F1422" s="47" t="n">
        <x:v>632.042</x:v>
      </x:c>
      <x:c r="G1422" s="47" t="n">
        <x:v>496.873</x:v>
      </x:c>
      <x:c r="H1422" s="50" t="n">
        <x:v>0.732654</x:v>
      </x:c>
      <x:c r="I1422" s="50" t="n">
        <x:v>0.818493</x:v>
      </x:c>
      <x:c r="J1422" s="50" t="n">
        <x:v>0.750608</x:v>
      </x:c>
      <x:c r="K1422" s="50" t="n">
        <x:v>0.834632</x:v>
      </x:c>
      <x:c r="L1422" s="47" t="n">
        <x:v>842.04</x:v>
      </x:c>
      <x:c r="M1422" s="47" t="n">
        <x:v>595.32</x:v>
      </x:c>
      <x:c r="N1422" s="28" t="str">
        <x:v>top-left</x:v>
      </x:c>
      <x:c r="O1422" s="28" t="str">
        <x:v>PDF points</x:v>
      </x:c>
    </x:row>
    <x:row r="1423" ht="22" customHeight="1">
      <x:c r="A1423" s="28" t="str">
        <x:v>ANC-SLE-010-MECH-01-R27</x:v>
      </x:c>
      <x:c r="B1423" s="28" t="str">
        <x:v>ANC-SLE-010-MECH-01</x:v>
      </x:c>
      <x:c r="C1423" s="28" t="n">
        <x:v>15</x:v>
      </x:c>
      <x:c r="D1423" s="47" t="n">
        <x:v>656.529</x:v>
      </x:c>
      <x:c r="E1423" s="47" t="n">
        <x:v>487.265</x:v>
      </x:c>
      <x:c r="F1423" s="47" t="n">
        <x:v>671.647</x:v>
      </x:c>
      <x:c r="G1423" s="47" t="n">
        <x:v>496.873</x:v>
      </x:c>
      <x:c r="H1423" s="50" t="n">
        <x:v>0.779689</x:v>
      </x:c>
      <x:c r="I1423" s="50" t="n">
        <x:v>0.818493</x:v>
      </x:c>
      <x:c r="J1423" s="50" t="n">
        <x:v>0.797642</x:v>
      </x:c>
      <x:c r="K1423" s="50" t="n">
        <x:v>0.834632</x:v>
      </x:c>
      <x:c r="L1423" s="47" t="n">
        <x:v>842.04</x:v>
      </x:c>
      <x:c r="M1423" s="47" t="n">
        <x:v>595.32</x:v>
      </x:c>
      <x:c r="N1423" s="28" t="str">
        <x:v>top-left</x:v>
      </x:c>
      <x:c r="O1423" s="28" t="str">
        <x:v>PDF points</x:v>
      </x:c>
    </x:row>
    <x:row r="1424" ht="22" customHeight="1">
      <x:c r="A1424" s="28" t="str">
        <x:v>ANC-SLE-010-MECH-01-R28</x:v>
      </x:c>
      <x:c r="B1424" s="28" t="str">
        <x:v>ANC-SLE-010-MECH-01</x:v>
      </x:c>
      <x:c r="C1424" s="28" t="n">
        <x:v>15</x:v>
      </x:c>
      <x:c r="D1424" s="47" t="n">
        <x:v>696</x:v>
      </x:c>
      <x:c r="E1424" s="47" t="n">
        <x:v>487.267</x:v>
      </x:c>
      <x:c r="F1424" s="47" t="n">
        <x:v>711.118</x:v>
      </x:c>
      <x:c r="G1424" s="47" t="n">
        <x:v>496.875</x:v>
      </x:c>
      <x:c r="H1424" s="50" t="n">
        <x:v>0.826564</x:v>
      </x:c>
      <x:c r="I1424" s="50" t="n">
        <x:v>0.818496</x:v>
      </x:c>
      <x:c r="J1424" s="50" t="n">
        <x:v>0.844518</x:v>
      </x:c>
      <x:c r="K1424" s="50" t="n">
        <x:v>0.834635</x:v>
      </x:c>
      <x:c r="L1424" s="47" t="n">
        <x:v>842.04</x:v>
      </x:c>
      <x:c r="M1424" s="47" t="n">
        <x:v>595.32</x:v>
      </x:c>
      <x:c r="N1424" s="28" t="str">
        <x:v>top-left</x:v>
      </x:c>
      <x:c r="O1424" s="28" t="str">
        <x:v>PDF points</x:v>
      </x:c>
    </x:row>
    <x:row r="1425" ht="22" customHeight="1">
      <x:c r="A1425" s="28" t="str">
        <x:v>ANC-SLE-010-MECH-01-R29</x:v>
      </x:c>
      <x:c r="B1425" s="28" t="str">
        <x:v>ANC-SLE-010-MECH-01</x:v>
      </x:c>
      <x:c r="C1425" s="28" t="n">
        <x:v>15</x:v>
      </x:c>
      <x:c r="D1425" s="47" t="n">
        <x:v>731.883</x:v>
      </x:c>
      <x:c r="E1425" s="47" t="n">
        <x:v>487.267</x:v>
      </x:c>
      <x:c r="F1425" s="47" t="n">
        <x:v>747</x:v>
      </x:c>
      <x:c r="G1425" s="47" t="n">
        <x:v>496.875</x:v>
      </x:c>
      <x:c r="H1425" s="50" t="n">
        <x:v>0.869178</x:v>
      </x:c>
      <x:c r="I1425" s="50" t="n">
        <x:v>0.818496</x:v>
      </x:c>
      <x:c r="J1425" s="50" t="n">
        <x:v>0.887131</x:v>
      </x:c>
      <x:c r="K1425" s="50" t="n">
        <x:v>0.834635</x:v>
      </x:c>
      <x:c r="L1425" s="47" t="n">
        <x:v>842.04</x:v>
      </x:c>
      <x:c r="M1425" s="47" t="n">
        <x:v>595.32</x:v>
      </x:c>
      <x:c r="N1425" s="28" t="str">
        <x:v>top-left</x:v>
      </x:c>
      <x:c r="O1425" s="28" t="str">
        <x:v>PDF points</x:v>
      </x:c>
    </x:row>
    <x:row r="1426" ht="22" customHeight="1">
      <x:c r="A1426" s="28" t="str">
        <x:v>ANC-SLE-010-MECH-01-R30</x:v>
      </x:c>
      <x:c r="B1426" s="28" t="str">
        <x:v>ANC-SLE-010-MECH-01</x:v>
      </x:c>
      <x:c r="C1426" s="28" t="n">
        <x:v>15</x:v>
      </x:c>
      <x:c r="D1426" s="47" t="n">
        <x:v>768.006</x:v>
      </x:c>
      <x:c r="E1426" s="47" t="n">
        <x:v>487.267</x:v>
      </x:c>
      <x:c r="F1426" s="47" t="n">
        <x:v>783.124</x:v>
      </x:c>
      <x:c r="G1426" s="47" t="n">
        <x:v>496.875</x:v>
      </x:c>
      <x:c r="H1426" s="50" t="n">
        <x:v>0.912078</x:v>
      </x:c>
      <x:c r="I1426" s="50" t="n">
        <x:v>0.818496</x:v>
      </x:c>
      <x:c r="J1426" s="50" t="n">
        <x:v>0.930032</x:v>
      </x:c>
      <x:c r="K1426" s="50" t="n">
        <x:v>0.834635</x:v>
      </x:c>
      <x:c r="L1426" s="47" t="n">
        <x:v>842.04</x:v>
      </x:c>
      <x:c r="M1426" s="47" t="n">
        <x:v>595.32</x:v>
      </x:c>
      <x:c r="N1426" s="28" t="str">
        <x:v>top-left</x:v>
      </x:c>
      <x:c r="O1426" s="28" t="str">
        <x:v>PDF points</x:v>
      </x:c>
    </x:row>
    <x:row r="1427" ht="22" customHeight="1">
      <x:c r="A1427" s="28" t="str">
        <x:v>ANC-SLE-010-MECH-01-R31</x:v>
      </x:c>
      <x:c r="B1427" s="28" t="str">
        <x:v>ANC-SLE-010-MECH-01</x:v>
      </x:c>
      <x:c r="C1427" s="28" t="n">
        <x:v>15</x:v>
      </x:c>
      <x:c r="D1427" s="47" t="n">
        <x:v>217.32</x:v>
      </x:c>
      <x:c r="E1427" s="47" t="n">
        <x:v>503.347</x:v>
      </x:c>
      <x:c r="F1427" s="47" t="n">
        <x:v>424.52</x:v>
      </x:c>
      <x:c r="G1427" s="47" t="n">
        <x:v>512.955</x:v>
      </x:c>
      <x:c r="H1427" s="50" t="n">
        <x:v>0.258088</x:v>
      </x:c>
      <x:c r="I1427" s="50" t="n">
        <x:v>0.845507</x:v>
      </x:c>
      <x:c r="J1427" s="50" t="n">
        <x:v>0.504157</x:v>
      </x:c>
      <x:c r="K1427" s="50" t="n">
        <x:v>0.861646</x:v>
      </x:c>
      <x:c r="L1427" s="47" t="n">
        <x:v>842.04</x:v>
      </x:c>
      <x:c r="M1427" s="47" t="n">
        <x:v>595.32</x:v>
      </x:c>
      <x:c r="N1427" s="28" t="str">
        <x:v>top-left</x:v>
      </x:c>
      <x:c r="O1427" s="28" t="str">
        <x:v>PDF points</x:v>
      </x:c>
    </x:row>
    <x:row r="1428" ht="22" customHeight="1">
      <x:c r="A1428" s="28" t="str">
        <x:v>ANC-SLE-020-ASP-R01</x:v>
      </x:c>
      <x:c r="B1428" s="28" t="str">
        <x:v>ANC-SLE-020-ASP</x:v>
      </x:c>
      <x:c r="C1428" s="28" t="n">
        <x:v>15</x:v>
      </x:c>
      <x:c r="D1428" s="47" t="n">
        <x:v>217.32</x:v>
      </x:c>
      <x:c r="E1428" s="47" t="n">
        <x:v>444.547</x:v>
      </x:c>
      <x:c r="F1428" s="47" t="n">
        <x:v>451.708</x:v>
      </x:c>
      <x:c r="G1428" s="47" t="n">
        <x:v>454.155</x:v>
      </x:c>
      <x:c r="H1428" s="50" t="n">
        <x:v>0.258088</x:v>
      </x:c>
      <x:c r="I1428" s="50" t="n">
        <x:v>0.746737</x:v>
      </x:c>
      <x:c r="J1428" s="50" t="n">
        <x:v>0.536444</x:v>
      </x:c>
      <x:c r="K1428" s="50" t="n">
        <x:v>0.762876</x:v>
      </x:c>
      <x:c r="L1428" s="47" t="n">
        <x:v>842.04</x:v>
      </x:c>
      <x:c r="M1428" s="47" t="n">
        <x:v>595.32</x:v>
      </x:c>
      <x:c r="N1428" s="28" t="str">
        <x:v>top-left</x:v>
      </x:c>
      <x:c r="O1428" s="28" t="str">
        <x:v>PDF points</x:v>
      </x:c>
    </x:row>
    <x:row r="1429" ht="22" customHeight="1">
      <x:c r="A1429" s="28" t="str">
        <x:v>ANC-SLE-020-ASP-R02</x:v>
      </x:c>
      <x:c r="B1429" s="28" t="str">
        <x:v>ANC-SLE-020-ASP</x:v>
      </x:c>
      <x:c r="C1429" s="28" t="n">
        <x:v>15</x:v>
      </x:c>
      <x:c r="D1429" s="47" t="n">
        <x:v>217.32</x:v>
      </x:c>
      <x:c r="E1429" s="47" t="n">
        <x:v>453.187</x:v>
      </x:c>
      <x:c r="F1429" s="47" t="n">
        <x:v>341.921</x:v>
      </x:c>
      <x:c r="G1429" s="47" t="n">
        <x:v>462.795</x:v>
      </x:c>
      <x:c r="H1429" s="50" t="n">
        <x:v>0.258088</x:v>
      </x:c>
      <x:c r="I1429" s="50" t="n">
        <x:v>0.76125</x:v>
      </x:c>
      <x:c r="J1429" s="50" t="n">
        <x:v>0.406063</x:v>
      </x:c>
      <x:c r="K1429" s="50" t="n">
        <x:v>0.777389</x:v>
      </x:c>
      <x:c r="L1429" s="47" t="n">
        <x:v>842.04</x:v>
      </x:c>
      <x:c r="M1429" s="47" t="n">
        <x:v>595.32</x:v>
      </x:c>
      <x:c r="N1429" s="28" t="str">
        <x:v>top-left</x:v>
      </x:c>
      <x:c r="O1429" s="28" t="str">
        <x:v>PDF points</x:v>
      </x:c>
    </x:row>
    <x:row r="1430" ht="22" customHeight="1">
      <x:c r="A1430" s="28" t="str">
        <x:v>ANC-SLE-020-MECH-01-R01</x:v>
      </x:c>
      <x:c r="B1430" s="28" t="str">
        <x:v>ANC-SLE-020-MECH-01</x:v>
      </x:c>
      <x:c r="C1430" s="28" t="n">
        <x:v>15</x:v>
      </x:c>
      <x:c r="D1430" s="47" t="n">
        <x:v>217.32</x:v>
      </x:c>
      <x:c r="E1430" s="47" t="n">
        <x:v>424.507</x:v>
      </x:c>
      <x:c r="F1430" s="47" t="n">
        <x:v>424.925</x:v>
      </x:c>
      <x:c r="G1430" s="47" t="n">
        <x:v>434.115</x:v>
      </x:c>
      <x:c r="H1430" s="50" t="n">
        <x:v>0.258088</x:v>
      </x:c>
      <x:c r="I1430" s="50" t="n">
        <x:v>0.713074</x:v>
      </x:c>
      <x:c r="J1430" s="50" t="n">
        <x:v>0.504638</x:v>
      </x:c>
      <x:c r="K1430" s="50" t="n">
        <x:v>0.729213</x:v>
      </x:c>
      <x:c r="L1430" s="47" t="n">
        <x:v>842.04</x:v>
      </x:c>
      <x:c r="M1430" s="47" t="n">
        <x:v>595.32</x:v>
      </x:c>
      <x:c r="N1430" s="28" t="str">
        <x:v>top-left</x:v>
      </x:c>
      <x:c r="O1430" s="28" t="str">
        <x:v>PDF points</x:v>
      </x:c>
    </x:row>
    <x:row r="1431" ht="22" customHeight="1">
      <x:c r="A1431" s="28" t="str">
        <x:v>ANC-SLE-020-MECH-01-R02</x:v>
      </x:c>
      <x:c r="B1431" s="28" t="str">
        <x:v>ANC-SLE-020-MECH-01</x:v>
      </x:c>
      <x:c r="C1431" s="28" t="n">
        <x:v>15</x:v>
      </x:c>
      <x:c r="D1431" s="47" t="n">
        <x:v>217.32</x:v>
      </x:c>
      <x:c r="E1431" s="47" t="n">
        <x:v>433.147</x:v>
      </x:c>
      <x:c r="F1431" s="47" t="n">
        <x:v>252.277</x:v>
      </x:c>
      <x:c r="G1431" s="47" t="n">
        <x:v>442.755</x:v>
      </x:c>
      <x:c r="H1431" s="50" t="n">
        <x:v>0.258088</x:v>
      </x:c>
      <x:c r="I1431" s="50" t="n">
        <x:v>0.727587</x:v>
      </x:c>
      <x:c r="J1431" s="50" t="n">
        <x:v>0.299602</x:v>
      </x:c>
      <x:c r="K1431" s="50" t="n">
        <x:v>0.743726</x:v>
      </x:c>
      <x:c r="L1431" s="47" t="n">
        <x:v>842.04</x:v>
      </x:c>
      <x:c r="M1431" s="47" t="n">
        <x:v>595.32</x:v>
      </x:c>
      <x:c r="N1431" s="28" t="str">
        <x:v>top-left</x:v>
      </x:c>
      <x:c r="O1431" s="28" t="str">
        <x:v>PDF points</x:v>
      </x:c>
    </x:row>
    <x:row r="1432" ht="22" customHeight="1">
      <x:c r="A1432" s="28" t="str">
        <x:v>ANC-SLE-037-ASP-R01</x:v>
      </x:c>
      <x:c r="B1432" s="28" t="str">
        <x:v>ANC-SLE-037-ASP</x:v>
      </x:c>
      <x:c r="C1432" s="28" t="n">
        <x:v>17</x:v>
      </x:c>
      <x:c r="D1432" s="47" t="n">
        <x:v>217.32</x:v>
      </x:c>
      <x:c r="E1432" s="47" t="n">
        <x:v>152.587</x:v>
      </x:c>
      <x:c r="F1432" s="47" t="n">
        <x:v>417.653</x:v>
      </x:c>
      <x:c r="G1432" s="47" t="n">
        <x:v>162.195</x:v>
      </x:c>
      <x:c r="H1432" s="50" t="n">
        <x:v>0.258088</x:v>
      </x:c>
      <x:c r="I1432" s="50" t="n">
        <x:v>0.256311</x:v>
      </x:c>
      <x:c r="J1432" s="50" t="n">
        <x:v>0.496001</x:v>
      </x:c>
      <x:c r="K1432" s="50" t="n">
        <x:v>0.27245</x:v>
      </x:c>
      <x:c r="L1432" s="47" t="n">
        <x:v>842.04</x:v>
      </x:c>
      <x:c r="M1432" s="47" t="n">
        <x:v>595.32</x:v>
      </x:c>
      <x:c r="N1432" s="28" t="str">
        <x:v>top-left</x:v>
      </x:c>
      <x:c r="O1432" s="28" t="str">
        <x:v>PDF points</x:v>
      </x:c>
    </x:row>
    <x:row r="1433" ht="22" customHeight="1">
      <x:c r="A1433" s="28" t="str">
        <x:v>ANC-SLE-041-ASP-R01</x:v>
      </x:c>
      <x:c r="B1433" s="28" t="str">
        <x:v>ANC-SLE-041-ASP</x:v>
      </x:c>
      <x:c r="C1433" s="28" t="n">
        <x:v>17</x:v>
      </x:c>
      <x:c r="D1433" s="47" t="n">
        <x:v>217.32</x:v>
      </x:c>
      <x:c r="E1433" s="47" t="n">
        <x:v>226.027</x:v>
      </x:c>
      <x:c r="F1433" s="47" t="n">
        <x:v>450.056</x:v>
      </x:c>
      <x:c r="G1433" s="47" t="n">
        <x:v>235.635</x:v>
      </x:c>
      <x:c r="H1433" s="50" t="n">
        <x:v>0.258088</x:v>
      </x:c>
      <x:c r="I1433" s="50" t="n">
        <x:v>0.379674</x:v>
      </x:c>
      <x:c r="J1433" s="50" t="n">
        <x:v>0.534483</x:v>
      </x:c>
      <x:c r="K1433" s="50" t="n">
        <x:v>0.395813</x:v>
      </x:c>
      <x:c r="L1433" s="47" t="n">
        <x:v>842.04</x:v>
      </x:c>
      <x:c r="M1433" s="47" t="n">
        <x:v>595.32</x:v>
      </x:c>
      <x:c r="N1433" s="28" t="str">
        <x:v>top-left</x:v>
      </x:c>
      <x:c r="O1433" s="28" t="str">
        <x:v>PDF points</x:v>
      </x:c>
    </x:row>
    <x:row r="1434" ht="22" customHeight="1">
      <x:c r="A1434" s="28" t="str">
        <x:v>ANC-SLE-041-ASP-R02</x:v>
      </x:c>
      <x:c r="B1434" s="28" t="str">
        <x:v>ANC-SLE-041-ASP</x:v>
      </x:c>
      <x:c r="C1434" s="28" t="n">
        <x:v>17</x:v>
      </x:c>
      <x:c r="D1434" s="47" t="n">
        <x:v>217.32</x:v>
      </x:c>
      <x:c r="E1434" s="47" t="n">
        <x:v>234.787</x:v>
      </x:c>
      <x:c r="F1434" s="47" t="n">
        <x:v>263.32</x:v>
      </x:c>
      <x:c r="G1434" s="47" t="n">
        <x:v>244.395</x:v>
      </x:c>
      <x:c r="H1434" s="50" t="n">
        <x:v>0.258088</x:v>
      </x:c>
      <x:c r="I1434" s="50" t="n">
        <x:v>0.394388</x:v>
      </x:c>
      <x:c r="J1434" s="50" t="n">
        <x:v>0.312717</x:v>
      </x:c>
      <x:c r="K1434" s="50" t="n">
        <x:v>0.410527</x:v>
      </x:c>
      <x:c r="L1434" s="47" t="n">
        <x:v>842.04</x:v>
      </x:c>
      <x:c r="M1434" s="47" t="n">
        <x:v>595.32</x:v>
      </x:c>
      <x:c r="N1434" s="28" t="str">
        <x:v>top-left</x:v>
      </x:c>
      <x:c r="O1434" s="28" t="str">
        <x:v>PDF points</x:v>
      </x:c>
    </x:row>
    <x:row r="1435" ht="22" customHeight="1">
      <x:c r="A1435" s="28" t="str">
        <x:v>ANC-SLE-052-ASP-R01</x:v>
      </x:c>
      <x:c r="B1435" s="28" t="str">
        <x:v>ANC-SLE-052-ASP</x:v>
      </x:c>
      <x:c r="C1435" s="28" t="n">
        <x:v>8</x:v>
      </x:c>
      <x:c r="D1435" s="47" t="n">
        <x:v>106.539</x:v>
      </x:c>
      <x:c r="E1435" s="47" t="n">
        <x:v>682.499</x:v>
      </x:c>
      <x:c r="F1435" s="47" t="n">
        <x:v>471.729</x:v>
      </x:c>
      <x:c r="G1435" s="47" t="n">
        <x:v>695.195</x:v>
      </x:c>
      <x:c r="H1435" s="50" t="n">
        <x:v>0.174084</x:v>
      </x:c>
      <x:c r="I1435" s="50" t="n">
        <x:v>0.861741</x:v>
      </x:c>
      <x:c r="J1435" s="50" t="n">
        <x:v>0.7708</x:v>
      </x:c>
      <x:c r="K1435" s="50" t="n">
        <x:v>0.877771</x:v>
      </x:c>
      <x:c r="L1435" s="47" t="n">
        <x:v>612</x:v>
      </x:c>
      <x:c r="M1435" s="47" t="n">
        <x:v>792</x:v>
      </x:c>
      <x:c r="N1435" s="28" t="str">
        <x:v>top-left</x:v>
      </x:c>
      <x:c r="O1435" s="28" t="str">
        <x:v>PDF points</x:v>
      </x:c>
    </x:row>
    <x:row r="1436" ht="22" customHeight="1">
      <x:c r="A1436" s="28" t="str">
        <x:v>ANC-SLE-052-MECH-01-R01</x:v>
      </x:c>
      <x:c r="B1436" s="28" t="str">
        <x:v>ANC-SLE-052-MECH-01</x:v>
      </x:c>
      <x:c r="C1436" s="28" t="n">
        <x:v>16</x:v>
      </x:c>
      <x:c r="D1436" s="47" t="n">
        <x:v>217.32</x:v>
      </x:c>
      <x:c r="E1436" s="47" t="n">
        <x:v>491.107</x:v>
      </x:c>
      <x:c r="F1436" s="47" t="n">
        <x:v>437.584</x:v>
      </x:c>
      <x:c r="G1436" s="47" t="n">
        <x:v>500.715</x:v>
      </x:c>
      <x:c r="H1436" s="50" t="n">
        <x:v>0.258088</x:v>
      </x:c>
      <x:c r="I1436" s="50" t="n">
        <x:v>0.824947</x:v>
      </x:c>
      <x:c r="J1436" s="50" t="n">
        <x:v>0.519671</x:v>
      </x:c>
      <x:c r="K1436" s="50" t="n">
        <x:v>0.841086</x:v>
      </x:c>
      <x:c r="L1436" s="47" t="n">
        <x:v>842.04</x:v>
      </x:c>
      <x:c r="M1436" s="47" t="n">
        <x:v>595.32</x:v>
      </x:c>
      <x:c r="N1436" s="28" t="str">
        <x:v>top-left</x:v>
      </x:c>
      <x:c r="O1436" s="28" t="str">
        <x:v>PDF points</x:v>
      </x:c>
    </x:row>
    <x:row r="1437" ht="22" customHeight="1">
      <x:c r="A1437" s="28" t="str">
        <x:v>ANC-SLE-052-MECH-01-R02</x:v>
      </x:c>
      <x:c r="B1437" s="28" t="str">
        <x:v>ANC-SLE-052-MECH-01</x:v>
      </x:c>
      <x:c r="C1437" s="28" t="n">
        <x:v>16</x:v>
      </x:c>
      <x:c r="D1437" s="47" t="n">
        <x:v>217.32</x:v>
      </x:c>
      <x:c r="E1437" s="47" t="n">
        <x:v>499.747</x:v>
      </x:c>
      <x:c r="F1437" s="47" t="n">
        <x:v>277.036</x:v>
      </x:c>
      <x:c r="G1437" s="47" t="n">
        <x:v>509.355</x:v>
      </x:c>
      <x:c r="H1437" s="50" t="n">
        <x:v>0.258088</x:v>
      </x:c>
      <x:c r="I1437" s="50" t="n">
        <x:v>0.83946</x:v>
      </x:c>
      <x:c r="J1437" s="50" t="n">
        <x:v>0.329006</x:v>
      </x:c>
      <x:c r="K1437" s="50" t="n">
        <x:v>0.855599</x:v>
      </x:c>
      <x:c r="L1437" s="47" t="n">
        <x:v>842.04</x:v>
      </x:c>
      <x:c r="M1437" s="47" t="n">
        <x:v>595.32</x:v>
      </x:c>
      <x:c r="N1437" s="28" t="str">
        <x:v>top-left</x:v>
      </x:c>
      <x:c r="O1437" s="28" t="str">
        <x:v>PDF points</x:v>
      </x:c>
    </x:row>
    <x:row r="1438" ht="22" customHeight="1">
      <x:c r="A1438" s="28" t="str">
        <x:v>ANC-SLE-052-MECH-02-R01</x:v>
      </x:c>
      <x:c r="B1438" s="28" t="str">
        <x:v>ANC-SLE-052-MECH-02</x:v>
      </x:c>
      <x:c r="C1438" s="28" t="n">
        <x:v>17</x:v>
      </x:c>
      <x:c r="D1438" s="47" t="n">
        <x:v>476.28</x:v>
      </x:c>
      <x:c r="E1438" s="47" t="n">
        <x:v>103.507</x:v>
      </x:c>
      <x:c r="F1438" s="47" t="n">
        <x:v>491.398</x:v>
      </x:c>
      <x:c r="G1438" s="47" t="n">
        <x:v>113.115</x:v>
      </x:c>
      <x:c r="H1438" s="50" t="n">
        <x:v>0.565626</x:v>
      </x:c>
      <x:c r="I1438" s="50" t="n">
        <x:v>0.173868</x:v>
      </x:c>
      <x:c r="J1438" s="50" t="n">
        <x:v>0.58358</x:v>
      </x:c>
      <x:c r="K1438" s="50" t="n">
        <x:v>0.190007</x:v>
      </x:c>
      <x:c r="L1438" s="47" t="n">
        <x:v>842.04</x:v>
      </x:c>
      <x:c r="M1438" s="47" t="n">
        <x:v>595.32</x:v>
      </x:c>
      <x:c r="N1438" s="28" t="str">
        <x:v>top-left</x:v>
      </x:c>
      <x:c r="O1438" s="28" t="str">
        <x:v>PDF points</x:v>
      </x:c>
    </x:row>
    <x:row r="1439" ht="22" customHeight="1">
      <x:c r="A1439" s="28" t="str">
        <x:v>ANC-SLE-052-MECH-02-R02</x:v>
      </x:c>
      <x:c r="B1439" s="28" t="str">
        <x:v>ANC-SLE-052-MECH-02</x:v>
      </x:c>
      <x:c r="C1439" s="28" t="n">
        <x:v>17</x:v>
      </x:c>
      <x:c r="D1439" s="47" t="n">
        <x:v>526.924</x:v>
      </x:c>
      <x:c r="E1439" s="47" t="n">
        <x:v>103.507</x:v>
      </x:c>
      <x:c r="F1439" s="47" t="n">
        <x:v>542.042</x:v>
      </x:c>
      <x:c r="G1439" s="47" t="n">
        <x:v>113.115</x:v>
      </x:c>
      <x:c r="H1439" s="50" t="n">
        <x:v>0.625771</x:v>
      </x:c>
      <x:c r="I1439" s="50" t="n">
        <x:v>0.173868</x:v>
      </x:c>
      <x:c r="J1439" s="50" t="n">
        <x:v>0.643724</x:v>
      </x:c>
      <x:c r="K1439" s="50" t="n">
        <x:v>0.190007</x:v>
      </x:c>
      <x:c r="L1439" s="47" t="n">
        <x:v>842.04</x:v>
      </x:c>
      <x:c r="M1439" s="47" t="n">
        <x:v>595.32</x:v>
      </x:c>
      <x:c r="N1439" s="28" t="str">
        <x:v>top-left</x:v>
      </x:c>
      <x:c r="O1439" s="28" t="str">
        <x:v>PDF points</x:v>
      </x:c>
    </x:row>
    <x:row r="1440" ht="22" customHeight="1">
      <x:c r="A1440" s="28" t="str">
        <x:v>ANC-SLE-052-MECH-02-R03</x:v>
      </x:c>
      <x:c r="B1440" s="28" t="str">
        <x:v>ANC-SLE-052-MECH-02</x:v>
      </x:c>
      <x:c r="C1440" s="28" t="n">
        <x:v>17</x:v>
      </x:c>
      <x:c r="D1440" s="47" t="n">
        <x:v>576.482</x:v>
      </x:c>
      <x:c r="E1440" s="47" t="n">
        <x:v>103.507</x:v>
      </x:c>
      <x:c r="F1440" s="47" t="n">
        <x:v>591.6</x:v>
      </x:c>
      <x:c r="G1440" s="47" t="n">
        <x:v>113.115</x:v>
      </x:c>
      <x:c r="H1440" s="50" t="n">
        <x:v>0.684626</x:v>
      </x:c>
      <x:c r="I1440" s="50" t="n">
        <x:v>0.173868</x:v>
      </x:c>
      <x:c r="J1440" s="50" t="n">
        <x:v>0.70258</x:v>
      </x:c>
      <x:c r="K1440" s="50" t="n">
        <x:v>0.190007</x:v>
      </x:c>
      <x:c r="L1440" s="47" t="n">
        <x:v>842.04</x:v>
      </x:c>
      <x:c r="M1440" s="47" t="n">
        <x:v>595.32</x:v>
      </x:c>
      <x:c r="N1440" s="28" t="str">
        <x:v>top-left</x:v>
      </x:c>
      <x:c r="O1440" s="28" t="str">
        <x:v>PDF points</x:v>
      </x:c>
    </x:row>
    <x:row r="1441" ht="22" customHeight="1">
      <x:c r="A1441" s="28" t="str">
        <x:v>ANC-SLE-052-MECH-02-R04</x:v>
      </x:c>
      <x:c r="B1441" s="28" t="str">
        <x:v>ANC-SLE-052-MECH-02</x:v>
      </x:c>
      <x:c r="C1441" s="28" t="n">
        <x:v>17</x:v>
      </x:c>
      <x:c r="D1441" s="47" t="n">
        <x:v>616.92</x:v>
      </x:c>
      <x:c r="E1441" s="47" t="n">
        <x:v>103.507</x:v>
      </x:c>
      <x:c r="F1441" s="47" t="n">
        <x:v>632.038</x:v>
      </x:c>
      <x:c r="G1441" s="47" t="n">
        <x:v>113.115</x:v>
      </x:c>
      <x:c r="H1441" s="50" t="n">
        <x:v>0.732649</x:v>
      </x:c>
      <x:c r="I1441" s="50" t="n">
        <x:v>0.173868</x:v>
      </x:c>
      <x:c r="J1441" s="50" t="n">
        <x:v>0.750603</x:v>
      </x:c>
      <x:c r="K1441" s="50" t="n">
        <x:v>0.190007</x:v>
      </x:c>
      <x:c r="L1441" s="47" t="n">
        <x:v>842.04</x:v>
      </x:c>
      <x:c r="M1441" s="47" t="n">
        <x:v>595.32</x:v>
      </x:c>
      <x:c r="N1441" s="28" t="str">
        <x:v>top-left</x:v>
      </x:c>
      <x:c r="O1441" s="28" t="str">
        <x:v>PDF points</x:v>
      </x:c>
    </x:row>
    <x:row r="1442" ht="22" customHeight="1">
      <x:c r="A1442" s="28" t="str">
        <x:v>ANC-SLE-052-MECH-02-R05</x:v>
      </x:c>
      <x:c r="B1442" s="28" t="str">
        <x:v>ANC-SLE-052-MECH-02</x:v>
      </x:c>
      <x:c r="C1442" s="28" t="n">
        <x:v>17</x:v>
      </x:c>
      <x:c r="D1442" s="47" t="n">
        <x:v>656.52</x:v>
      </x:c>
      <x:c r="E1442" s="47" t="n">
        <x:v>103.507</x:v>
      </x:c>
      <x:c r="F1442" s="47" t="n">
        <x:v>671.638</x:v>
      </x:c>
      <x:c r="G1442" s="47" t="n">
        <x:v>113.115</x:v>
      </x:c>
      <x:c r="H1442" s="50" t="n">
        <x:v>0.779678</x:v>
      </x:c>
      <x:c r="I1442" s="50" t="n">
        <x:v>0.173868</x:v>
      </x:c>
      <x:c r="J1442" s="50" t="n">
        <x:v>0.797632</x:v>
      </x:c>
      <x:c r="K1442" s="50" t="n">
        <x:v>0.190007</x:v>
      </x:c>
      <x:c r="L1442" s="47" t="n">
        <x:v>842.04</x:v>
      </x:c>
      <x:c r="M1442" s="47" t="n">
        <x:v>595.32</x:v>
      </x:c>
      <x:c r="N1442" s="28" t="str">
        <x:v>top-left</x:v>
      </x:c>
      <x:c r="O1442" s="28" t="str">
        <x:v>PDF points</x:v>
      </x:c>
    </x:row>
    <x:row r="1443" ht="22" customHeight="1">
      <x:c r="A1443" s="28" t="str">
        <x:v>ANC-SLE-052-MECH-02-R06</x:v>
      </x:c>
      <x:c r="B1443" s="28" t="str">
        <x:v>ANC-SLE-052-MECH-02</x:v>
      </x:c>
      <x:c r="C1443" s="28" t="n">
        <x:v>17</x:v>
      </x:c>
      <x:c r="D1443" s="47" t="n">
        <x:v>696.004</x:v>
      </x:c>
      <x:c r="E1443" s="47" t="n">
        <x:v>103.507</x:v>
      </x:c>
      <x:c r="F1443" s="47" t="n">
        <x:v>711.122</x:v>
      </x:c>
      <x:c r="G1443" s="47" t="n">
        <x:v>113.115</x:v>
      </x:c>
      <x:c r="H1443" s="50" t="n">
        <x:v>0.826569</x:v>
      </x:c>
      <x:c r="I1443" s="50" t="n">
        <x:v>0.173868</x:v>
      </x:c>
      <x:c r="J1443" s="50" t="n">
        <x:v>0.844523</x:v>
      </x:c>
      <x:c r="K1443" s="50" t="n">
        <x:v>0.190007</x:v>
      </x:c>
      <x:c r="L1443" s="47" t="n">
        <x:v>842.04</x:v>
      </x:c>
      <x:c r="M1443" s="47" t="n">
        <x:v>595.32</x:v>
      </x:c>
      <x:c r="N1443" s="28" t="str">
        <x:v>top-left</x:v>
      </x:c>
      <x:c r="O1443" s="28" t="str">
        <x:v>PDF points</x:v>
      </x:c>
    </x:row>
    <x:row r="1444" ht="22" customHeight="1">
      <x:c r="A1444" s="28" t="str">
        <x:v>ANC-SLE-052-MECH-02-R07</x:v>
      </x:c>
      <x:c r="B1444" s="28" t="str">
        <x:v>ANC-SLE-052-MECH-02</x:v>
      </x:c>
      <x:c r="C1444" s="28" t="n">
        <x:v>17</x:v>
      </x:c>
      <x:c r="D1444" s="47" t="n">
        <x:v>731.887</x:v>
      </x:c>
      <x:c r="E1444" s="47" t="n">
        <x:v>103.507</x:v>
      </x:c>
      <x:c r="F1444" s="47" t="n">
        <x:v>747.005</x:v>
      </x:c>
      <x:c r="G1444" s="47" t="n">
        <x:v>113.115</x:v>
      </x:c>
      <x:c r="H1444" s="50" t="n">
        <x:v>0.869183</x:v>
      </x:c>
      <x:c r="I1444" s="50" t="n">
        <x:v>0.173868</x:v>
      </x:c>
      <x:c r="J1444" s="50" t="n">
        <x:v>0.887137</x:v>
      </x:c>
      <x:c r="K1444" s="50" t="n">
        <x:v>0.190007</x:v>
      </x:c>
      <x:c r="L1444" s="47" t="n">
        <x:v>842.04</x:v>
      </x:c>
      <x:c r="M1444" s="47" t="n">
        <x:v>595.32</x:v>
      </x:c>
      <x:c r="N1444" s="28" t="str">
        <x:v>top-left</x:v>
      </x:c>
      <x:c r="O1444" s="28" t="str">
        <x:v>PDF points</x:v>
      </x:c>
    </x:row>
    <x:row r="1445" ht="22" customHeight="1">
      <x:c r="A1445" s="28" t="str">
        <x:v>ANC-SLE-052-MECH-02-R08</x:v>
      </x:c>
      <x:c r="B1445" s="28" t="str">
        <x:v>ANC-SLE-052-MECH-02</x:v>
      </x:c>
      <x:c r="C1445" s="28" t="n">
        <x:v>17</x:v>
      </x:c>
      <x:c r="D1445" s="47" t="n">
        <x:v>768.011</x:v>
      </x:c>
      <x:c r="E1445" s="47" t="n">
        <x:v>103.507</x:v>
      </x:c>
      <x:c r="F1445" s="47" t="n">
        <x:v>783.128</x:v>
      </x:c>
      <x:c r="G1445" s="47" t="n">
        <x:v>113.115</x:v>
      </x:c>
      <x:c r="H1445" s="50" t="n">
        <x:v>0.912083</x:v>
      </x:c>
      <x:c r="I1445" s="50" t="n">
        <x:v>0.173868</x:v>
      </x:c>
      <x:c r="J1445" s="50" t="n">
        <x:v>0.930037</x:v>
      </x:c>
      <x:c r="K1445" s="50" t="n">
        <x:v>0.190007</x:v>
      </x:c>
      <x:c r="L1445" s="47" t="n">
        <x:v>842.04</x:v>
      </x:c>
      <x:c r="M1445" s="47" t="n">
        <x:v>595.32</x:v>
      </x:c>
      <x:c r="N1445" s="28" t="str">
        <x:v>top-left</x:v>
      </x:c>
      <x:c r="O1445" s="28" t="str">
        <x:v>PDF points</x:v>
      </x:c>
    </x:row>
    <x:row r="1446" ht="22" customHeight="1">
      <x:c r="A1446" s="28" t="str">
        <x:v>ANC-SLE-052-MECH-02-R09</x:v>
      </x:c>
      <x:c r="B1446" s="28" t="str">
        <x:v>ANC-SLE-052-MECH-02</x:v>
      </x:c>
      <x:c r="C1446" s="28" t="n">
        <x:v>17</x:v>
      </x:c>
      <x:c r="D1446" s="47" t="n">
        <x:v>217.32</x:v>
      </x:c>
      <x:c r="E1446" s="47" t="n">
        <x:v>119.107</x:v>
      </x:c>
      <x:c r="F1446" s="47" t="n">
        <x:v>425.312</x:v>
      </x:c>
      <x:c r="G1446" s="47" t="n">
        <x:v>128.715</x:v>
      </x:c>
      <x:c r="H1446" s="50" t="n">
        <x:v>0.258088</x:v>
      </x:c>
      <x:c r="I1446" s="50" t="n">
        <x:v>0.200073</x:v>
      </x:c>
      <x:c r="J1446" s="50" t="n">
        <x:v>0.505097</x:v>
      </x:c>
      <x:c r="K1446" s="50" t="n">
        <x:v>0.216212</x:v>
      </x:c>
      <x:c r="L1446" s="47" t="n">
        <x:v>842.04</x:v>
      </x:c>
      <x:c r="M1446" s="47" t="n">
        <x:v>595.32</x:v>
      </x:c>
      <x:c r="N1446" s="28" t="str">
        <x:v>top-left</x:v>
      </x:c>
      <x:c r="O1446" s="28" t="str">
        <x:v>PDF points</x:v>
      </x:c>
    </x:row>
    <x:row r="1447" ht="22" customHeight="1">
      <x:c r="A1447" s="28" t="str">
        <x:v>ANC-SLE-052-MECH-02-R10</x:v>
      </x:c>
      <x:c r="B1447" s="28" t="str">
        <x:v>ANC-SLE-052-MECH-02</x:v>
      </x:c>
      <x:c r="C1447" s="28" t="n">
        <x:v>17</x:v>
      </x:c>
      <x:c r="D1447" s="47" t="n">
        <x:v>217.32</x:v>
      </x:c>
      <x:c r="E1447" s="47" t="n">
        <x:v>127.747</x:v>
      </x:c>
      <x:c r="F1447" s="47" t="n">
        <x:v>304.281</x:v>
      </x:c>
      <x:c r="G1447" s="47" t="n">
        <x:v>137.355</x:v>
      </x:c>
      <x:c r="H1447" s="50" t="n">
        <x:v>0.258088</x:v>
      </x:c>
      <x:c r="I1447" s="50" t="n">
        <x:v>0.214586</x:v>
      </x:c>
      <x:c r="J1447" s="50" t="n">
        <x:v>0.361362</x:v>
      </x:c>
      <x:c r="K1447" s="50" t="n">
        <x:v>0.230725</x:v>
      </x:c>
      <x:c r="L1447" s="47" t="n">
        <x:v>842.04</x:v>
      </x:c>
      <x:c r="M1447" s="47" t="n">
        <x:v>595.32</x:v>
      </x:c>
      <x:c r="N1447" s="28" t="str">
        <x:v>top-left</x:v>
      </x:c>
      <x:c r="O1447" s="28" t="str">
        <x:v>PDF points</x:v>
      </x:c>
    </x:row>
    <x:row r="1448" ht="22" customHeight="1">
      <x:c r="A1448" s="28" t="str">
        <x:v>ANC-SLE-052-MECH-02-R11</x:v>
      </x:c>
      <x:c r="B1448" s="28" t="str">
        <x:v>ANC-SLE-052-MECH-02</x:v>
      </x:c>
      <x:c r="C1448" s="28" t="n">
        <x:v>17</x:v>
      </x:c>
      <x:c r="D1448" s="47" t="n">
        <x:v>476.28</x:v>
      </x:c>
      <x:c r="E1448" s="47" t="n">
        <x:v>123.427</x:v>
      </x:c>
      <x:c r="F1448" s="47" t="n">
        <x:v>491.398</x:v>
      </x:c>
      <x:c r="G1448" s="47" t="n">
        <x:v>133.035</x:v>
      </x:c>
      <x:c r="H1448" s="50" t="n">
        <x:v>0.565626</x:v>
      </x:c>
      <x:c r="I1448" s="50" t="n">
        <x:v>0.207329</x:v>
      </x:c>
      <x:c r="J1448" s="50" t="n">
        <x:v>0.58358</x:v>
      </x:c>
      <x:c r="K1448" s="50" t="n">
        <x:v>0.223468</x:v>
      </x:c>
      <x:c r="L1448" s="47" t="n">
        <x:v>842.04</x:v>
      </x:c>
      <x:c r="M1448" s="47" t="n">
        <x:v>595.32</x:v>
      </x:c>
      <x:c r="N1448" s="28" t="str">
        <x:v>top-left</x:v>
      </x:c>
      <x:c r="O1448" s="28" t="str">
        <x:v>PDF points</x:v>
      </x:c>
    </x:row>
    <x:row r="1449" ht="22" customHeight="1">
      <x:c r="A1449" s="28" t="str">
        <x:v>ANC-SLE-052-MECH-02-R12</x:v>
      </x:c>
      <x:c r="B1449" s="28" t="str">
        <x:v>ANC-SLE-052-MECH-02</x:v>
      </x:c>
      <x:c r="C1449" s="28" t="n">
        <x:v>17</x:v>
      </x:c>
      <x:c r="D1449" s="47" t="n">
        <x:v>526.924</x:v>
      </x:c>
      <x:c r="E1449" s="47" t="n">
        <x:v>123.427</x:v>
      </x:c>
      <x:c r="F1449" s="47" t="n">
        <x:v>542.042</x:v>
      </x:c>
      <x:c r="G1449" s="47" t="n">
        <x:v>133.035</x:v>
      </x:c>
      <x:c r="H1449" s="50" t="n">
        <x:v>0.625771</x:v>
      </x:c>
      <x:c r="I1449" s="50" t="n">
        <x:v>0.207329</x:v>
      </x:c>
      <x:c r="J1449" s="50" t="n">
        <x:v>0.643724</x:v>
      </x:c>
      <x:c r="K1449" s="50" t="n">
        <x:v>0.223468</x:v>
      </x:c>
      <x:c r="L1449" s="47" t="n">
        <x:v>842.04</x:v>
      </x:c>
      <x:c r="M1449" s="47" t="n">
        <x:v>595.32</x:v>
      </x:c>
      <x:c r="N1449" s="28" t="str">
        <x:v>top-left</x:v>
      </x:c>
      <x:c r="O1449" s="28" t="str">
        <x:v>PDF points</x:v>
      </x:c>
    </x:row>
    <x:row r="1450" ht="22" customHeight="1">
      <x:c r="A1450" s="28" t="str">
        <x:v>ANC-SLE-052-MECH-02-R13</x:v>
      </x:c>
      <x:c r="B1450" s="28" t="str">
        <x:v>ANC-SLE-052-MECH-02</x:v>
      </x:c>
      <x:c r="C1450" s="28" t="n">
        <x:v>17</x:v>
      </x:c>
      <x:c r="D1450" s="47" t="n">
        <x:v>576.482</x:v>
      </x:c>
      <x:c r="E1450" s="47" t="n">
        <x:v>123.427</x:v>
      </x:c>
      <x:c r="F1450" s="47" t="n">
        <x:v>591.6</x:v>
      </x:c>
      <x:c r="G1450" s="47" t="n">
        <x:v>133.035</x:v>
      </x:c>
      <x:c r="H1450" s="50" t="n">
        <x:v>0.684626</x:v>
      </x:c>
      <x:c r="I1450" s="50" t="n">
        <x:v>0.207329</x:v>
      </x:c>
      <x:c r="J1450" s="50" t="n">
        <x:v>0.70258</x:v>
      </x:c>
      <x:c r="K1450" s="50" t="n">
        <x:v>0.223468</x:v>
      </x:c>
      <x:c r="L1450" s="47" t="n">
        <x:v>842.04</x:v>
      </x:c>
      <x:c r="M1450" s="47" t="n">
        <x:v>595.32</x:v>
      </x:c>
      <x:c r="N1450" s="28" t="str">
        <x:v>top-left</x:v>
      </x:c>
      <x:c r="O1450" s="28" t="str">
        <x:v>PDF points</x:v>
      </x:c>
    </x:row>
    <x:row r="1451" ht="22" customHeight="1">
      <x:c r="A1451" s="28" t="str">
        <x:v>ANC-SLE-052-MECH-02-R14</x:v>
      </x:c>
      <x:c r="B1451" s="28" t="str">
        <x:v>ANC-SLE-052-MECH-02</x:v>
      </x:c>
      <x:c r="C1451" s="28" t="n">
        <x:v>17</x:v>
      </x:c>
      <x:c r="D1451" s="47" t="n">
        <x:v>614.76</x:v>
      </x:c>
      <x:c r="E1451" s="47" t="n">
        <x:v>123.427</x:v>
      </x:c>
      <x:c r="F1451" s="47" t="n">
        <x:v>634.318</x:v>
      </x:c>
      <x:c r="G1451" s="47" t="n">
        <x:v>133.035</x:v>
      </x:c>
      <x:c r="H1451" s="50" t="n">
        <x:v>0.730084</x:v>
      </x:c>
      <x:c r="I1451" s="50" t="n">
        <x:v>0.207329</x:v>
      </x:c>
      <x:c r="J1451" s="50" t="n">
        <x:v>0.753311</x:v>
      </x:c>
      <x:c r="K1451" s="50" t="n">
        <x:v>0.223468</x:v>
      </x:c>
      <x:c r="L1451" s="47" t="n">
        <x:v>842.04</x:v>
      </x:c>
      <x:c r="M1451" s="47" t="n">
        <x:v>595.32</x:v>
      </x:c>
      <x:c r="N1451" s="28" t="str">
        <x:v>top-left</x:v>
      </x:c>
      <x:c r="O1451" s="28" t="str">
        <x:v>PDF points</x:v>
      </x:c>
    </x:row>
    <x:row r="1452" ht="22" customHeight="1">
      <x:c r="A1452" s="28" t="str">
        <x:v>ANC-SLE-052-MECH-02-R15</x:v>
      </x:c>
      <x:c r="B1452" s="28" t="str">
        <x:v>ANC-SLE-052-MECH-02</x:v>
      </x:c>
      <x:c r="C1452" s="28" t="n">
        <x:v>17</x:v>
      </x:c>
      <x:c r="D1452" s="47" t="n">
        <x:v>654.24</x:v>
      </x:c>
      <x:c r="E1452" s="47" t="n">
        <x:v>123.427</x:v>
      </x:c>
      <x:c r="F1452" s="47" t="n">
        <x:v>673.798</x:v>
      </x:c>
      <x:c r="G1452" s="47" t="n">
        <x:v>133.035</x:v>
      </x:c>
      <x:c r="H1452" s="50" t="n">
        <x:v>0.77697</x:v>
      </x:c>
      <x:c r="I1452" s="50" t="n">
        <x:v>0.207329</x:v>
      </x:c>
      <x:c r="J1452" s="50" t="n">
        <x:v>0.800197</x:v>
      </x:c>
      <x:c r="K1452" s="50" t="n">
        <x:v>0.223468</x:v>
      </x:c>
      <x:c r="L1452" s="47" t="n">
        <x:v>842.04</x:v>
      </x:c>
      <x:c r="M1452" s="47" t="n">
        <x:v>595.32</x:v>
      </x:c>
      <x:c r="N1452" s="28" t="str">
        <x:v>top-left</x:v>
      </x:c>
      <x:c r="O1452" s="28" t="str">
        <x:v>PDF points</x:v>
      </x:c>
    </x:row>
    <x:row r="1453" ht="22" customHeight="1">
      <x:c r="A1453" s="28" t="str">
        <x:v>ANC-SLE-052-MECH-02-R16</x:v>
      </x:c>
      <x:c r="B1453" s="28" t="str">
        <x:v>ANC-SLE-052-MECH-02</x:v>
      </x:c>
      <x:c r="C1453" s="28" t="n">
        <x:v>17</x:v>
      </x:c>
      <x:c r="D1453" s="47" t="n">
        <x:v>693.84</x:v>
      </x:c>
      <x:c r="E1453" s="47" t="n">
        <x:v>123.427</x:v>
      </x:c>
      <x:c r="F1453" s="47" t="n">
        <x:v>713.398</x:v>
      </x:c>
      <x:c r="G1453" s="47" t="n">
        <x:v>133.035</x:v>
      </x:c>
      <x:c r="H1453" s="50" t="n">
        <x:v>0.823999</x:v>
      </x:c>
      <x:c r="I1453" s="50" t="n">
        <x:v>0.207329</x:v>
      </x:c>
      <x:c r="J1453" s="50" t="n">
        <x:v>0.847226</x:v>
      </x:c>
      <x:c r="K1453" s="50" t="n">
        <x:v>0.223468</x:v>
      </x:c>
      <x:c r="L1453" s="47" t="n">
        <x:v>842.04</x:v>
      </x:c>
      <x:c r="M1453" s="47" t="n">
        <x:v>595.32</x:v>
      </x:c>
      <x:c r="N1453" s="28" t="str">
        <x:v>top-left</x:v>
      </x:c>
      <x:c r="O1453" s="28" t="str">
        <x:v>PDF points</x:v>
      </x:c>
    </x:row>
    <x:row r="1454" ht="22" customHeight="1">
      <x:c r="A1454" s="28" t="str">
        <x:v>ANC-SLE-052-MECH-02-R17</x:v>
      </x:c>
      <x:c r="B1454" s="28" t="str">
        <x:v>ANC-SLE-052-MECH-02</x:v>
      </x:c>
      <x:c r="C1454" s="28" t="n">
        <x:v>17</x:v>
      </x:c>
      <x:c r="D1454" s="47" t="n">
        <x:v>729.72</x:v>
      </x:c>
      <x:c r="E1454" s="47" t="n">
        <x:v>123.427</x:v>
      </x:c>
      <x:c r="F1454" s="47" t="n">
        <x:v>749.278</x:v>
      </x:c>
      <x:c r="G1454" s="47" t="n">
        <x:v>133.035</x:v>
      </x:c>
      <x:c r="H1454" s="50" t="n">
        <x:v>0.86661</x:v>
      </x:c>
      <x:c r="I1454" s="50" t="n">
        <x:v>0.207329</x:v>
      </x:c>
      <x:c r="J1454" s="50" t="n">
        <x:v>0.889837</x:v>
      </x:c>
      <x:c r="K1454" s="50" t="n">
        <x:v>0.223468</x:v>
      </x:c>
      <x:c r="L1454" s="47" t="n">
        <x:v>842.04</x:v>
      </x:c>
      <x:c r="M1454" s="47" t="n">
        <x:v>595.32</x:v>
      </x:c>
      <x:c r="N1454" s="28" t="str">
        <x:v>top-left</x:v>
      </x:c>
      <x:c r="O1454" s="28" t="str">
        <x:v>PDF points</x:v>
      </x:c>
    </x:row>
    <x:row r="1455" ht="22" customHeight="1">
      <x:c r="A1455" s="28" t="str">
        <x:v>ANC-SLE-052-MECH-02-R18</x:v>
      </x:c>
      <x:c r="B1455" s="28" t="str">
        <x:v>ANC-SLE-052-MECH-02</x:v>
      </x:c>
      <x:c r="C1455" s="28" t="n">
        <x:v>17</x:v>
      </x:c>
      <x:c r="D1455" s="47" t="n">
        <x:v>765.84</x:v>
      </x:c>
      <x:c r="E1455" s="47" t="n">
        <x:v>123.427</x:v>
      </x:c>
      <x:c r="F1455" s="47" t="n">
        <x:v>785.398</x:v>
      </x:c>
      <x:c r="G1455" s="47" t="n">
        <x:v>133.035</x:v>
      </x:c>
      <x:c r="H1455" s="50" t="n">
        <x:v>0.909506</x:v>
      </x:c>
      <x:c r="I1455" s="50" t="n">
        <x:v>0.207329</x:v>
      </x:c>
      <x:c r="J1455" s="50" t="n">
        <x:v>0.932733</x:v>
      </x:c>
      <x:c r="K1455" s="50" t="n">
        <x:v>0.223468</x:v>
      </x:c>
      <x:c r="L1455" s="47" t="n">
        <x:v>842.04</x:v>
      </x:c>
      <x:c r="M1455" s="47" t="n">
        <x:v>595.32</x:v>
      </x:c>
      <x:c r="N1455" s="28" t="str">
        <x:v>top-left</x:v>
      </x:c>
      <x:c r="O1455" s="28" t="str">
        <x:v>PDF points</x:v>
      </x:c>
    </x:row>
    <x:row r="1456" ht="22" customHeight="1">
      <x:c r="A1456" s="28" t="str">
        <x:v>ANC-SLE-052-MECH-03-R01</x:v>
      </x:c>
      <x:c r="B1456" s="28" t="str">
        <x:v>ANC-SLE-052-MECH-03</x:v>
      </x:c>
      <x:c r="C1456" s="28" t="n">
        <x:v>18</x:v>
      </x:c>
      <x:c r="D1456" s="47" t="n">
        <x:v>476.28</x:v>
      </x:c>
      <x:c r="E1456" s="47" t="n">
        <x:v>102.907</x:v>
      </x:c>
      <x:c r="F1456" s="47" t="n">
        <x:v>491.398</x:v>
      </x:c>
      <x:c r="G1456" s="47" t="n">
        <x:v>112.515</x:v>
      </x:c>
      <x:c r="H1456" s="50" t="n">
        <x:v>0.565626</x:v>
      </x:c>
      <x:c r="I1456" s="50" t="n">
        <x:v>0.172861</x:v>
      </x:c>
      <x:c r="J1456" s="50" t="n">
        <x:v>0.58358</x:v>
      </x:c>
      <x:c r="K1456" s="50" t="n">
        <x:v>0.188999</x:v>
      </x:c>
      <x:c r="L1456" s="47" t="n">
        <x:v>842.04</x:v>
      </x:c>
      <x:c r="M1456" s="47" t="n">
        <x:v>595.32</x:v>
      </x:c>
      <x:c r="N1456" s="28" t="str">
        <x:v>top-left</x:v>
      </x:c>
      <x:c r="O1456" s="28" t="str">
        <x:v>PDF points</x:v>
      </x:c>
    </x:row>
    <x:row r="1457" ht="22" customHeight="1">
      <x:c r="A1457" s="28" t="str">
        <x:v>ANC-SLE-052-MECH-03-R02</x:v>
      </x:c>
      <x:c r="B1457" s="28" t="str">
        <x:v>ANC-SLE-052-MECH-03</x:v>
      </x:c>
      <x:c r="C1457" s="28" t="n">
        <x:v>18</x:v>
      </x:c>
      <x:c r="D1457" s="47" t="n">
        <x:v>526.924</x:v>
      </x:c>
      <x:c r="E1457" s="47" t="n">
        <x:v>102.907</x:v>
      </x:c>
      <x:c r="F1457" s="47" t="n">
        <x:v>542.042</x:v>
      </x:c>
      <x:c r="G1457" s="47" t="n">
        <x:v>112.515</x:v>
      </x:c>
      <x:c r="H1457" s="50" t="n">
        <x:v>0.625771</x:v>
      </x:c>
      <x:c r="I1457" s="50" t="n">
        <x:v>0.172861</x:v>
      </x:c>
      <x:c r="J1457" s="50" t="n">
        <x:v>0.643724</x:v>
      </x:c>
      <x:c r="K1457" s="50" t="n">
        <x:v>0.188999</x:v>
      </x:c>
      <x:c r="L1457" s="47" t="n">
        <x:v>842.04</x:v>
      </x:c>
      <x:c r="M1457" s="47" t="n">
        <x:v>595.32</x:v>
      </x:c>
      <x:c r="N1457" s="28" t="str">
        <x:v>top-left</x:v>
      </x:c>
      <x:c r="O1457" s="28" t="str">
        <x:v>PDF points</x:v>
      </x:c>
    </x:row>
    <x:row r="1458" ht="22" customHeight="1">
      <x:c r="A1458" s="28" t="str">
        <x:v>ANC-SLE-052-MECH-03-R03</x:v>
      </x:c>
      <x:c r="B1458" s="28" t="str">
        <x:v>ANC-SLE-052-MECH-03</x:v>
      </x:c>
      <x:c r="C1458" s="28" t="n">
        <x:v>18</x:v>
      </x:c>
      <x:c r="D1458" s="47" t="n">
        <x:v>576.482</x:v>
      </x:c>
      <x:c r="E1458" s="47" t="n">
        <x:v>102.907</x:v>
      </x:c>
      <x:c r="F1458" s="47" t="n">
        <x:v>591.6</x:v>
      </x:c>
      <x:c r="G1458" s="47" t="n">
        <x:v>112.515</x:v>
      </x:c>
      <x:c r="H1458" s="50" t="n">
        <x:v>0.684626</x:v>
      </x:c>
      <x:c r="I1458" s="50" t="n">
        <x:v>0.172861</x:v>
      </x:c>
      <x:c r="J1458" s="50" t="n">
        <x:v>0.70258</x:v>
      </x:c>
      <x:c r="K1458" s="50" t="n">
        <x:v>0.188999</x:v>
      </x:c>
      <x:c r="L1458" s="47" t="n">
        <x:v>842.04</x:v>
      </x:c>
      <x:c r="M1458" s="47" t="n">
        <x:v>595.32</x:v>
      </x:c>
      <x:c r="N1458" s="28" t="str">
        <x:v>top-left</x:v>
      </x:c>
      <x:c r="O1458" s="28" t="str">
        <x:v>PDF points</x:v>
      </x:c>
    </x:row>
    <x:row r="1459" ht="22" customHeight="1">
      <x:c r="A1459" s="28" t="str">
        <x:v>ANC-SLE-052-MECH-03-R04</x:v>
      </x:c>
      <x:c r="B1459" s="28" t="str">
        <x:v>ANC-SLE-052-MECH-03</x:v>
      </x:c>
      <x:c r="C1459" s="28" t="n">
        <x:v>18</x:v>
      </x:c>
      <x:c r="D1459" s="47" t="n">
        <x:v>616.92</x:v>
      </x:c>
      <x:c r="E1459" s="47" t="n">
        <x:v>102.907</x:v>
      </x:c>
      <x:c r="F1459" s="47" t="n">
        <x:v>632.038</x:v>
      </x:c>
      <x:c r="G1459" s="47" t="n">
        <x:v>112.515</x:v>
      </x:c>
      <x:c r="H1459" s="50" t="n">
        <x:v>0.732649</x:v>
      </x:c>
      <x:c r="I1459" s="50" t="n">
        <x:v>0.172861</x:v>
      </x:c>
      <x:c r="J1459" s="50" t="n">
        <x:v>0.750603</x:v>
      </x:c>
      <x:c r="K1459" s="50" t="n">
        <x:v>0.188999</x:v>
      </x:c>
      <x:c r="L1459" s="47" t="n">
        <x:v>842.04</x:v>
      </x:c>
      <x:c r="M1459" s="47" t="n">
        <x:v>595.32</x:v>
      </x:c>
      <x:c r="N1459" s="28" t="str">
        <x:v>top-left</x:v>
      </x:c>
      <x:c r="O1459" s="28" t="str">
        <x:v>PDF points</x:v>
      </x:c>
    </x:row>
    <x:row r="1460" ht="22" customHeight="1">
      <x:c r="A1460" s="28" t="str">
        <x:v>ANC-SLE-052-MECH-03-R05</x:v>
      </x:c>
      <x:c r="B1460" s="28" t="str">
        <x:v>ANC-SLE-052-MECH-03</x:v>
      </x:c>
      <x:c r="C1460" s="28" t="n">
        <x:v>18</x:v>
      </x:c>
      <x:c r="D1460" s="47" t="n">
        <x:v>656.52</x:v>
      </x:c>
      <x:c r="E1460" s="47" t="n">
        <x:v>102.907</x:v>
      </x:c>
      <x:c r="F1460" s="47" t="n">
        <x:v>671.638</x:v>
      </x:c>
      <x:c r="G1460" s="47" t="n">
        <x:v>112.515</x:v>
      </x:c>
      <x:c r="H1460" s="50" t="n">
        <x:v>0.779678</x:v>
      </x:c>
      <x:c r="I1460" s="50" t="n">
        <x:v>0.172861</x:v>
      </x:c>
      <x:c r="J1460" s="50" t="n">
        <x:v>0.797632</x:v>
      </x:c>
      <x:c r="K1460" s="50" t="n">
        <x:v>0.188999</x:v>
      </x:c>
      <x:c r="L1460" s="47" t="n">
        <x:v>842.04</x:v>
      </x:c>
      <x:c r="M1460" s="47" t="n">
        <x:v>595.32</x:v>
      </x:c>
      <x:c r="N1460" s="28" t="str">
        <x:v>top-left</x:v>
      </x:c>
      <x:c r="O1460" s="28" t="str">
        <x:v>PDF points</x:v>
      </x:c>
    </x:row>
    <x:row r="1461" ht="22" customHeight="1">
      <x:c r="A1461" s="28" t="str">
        <x:v>ANC-SLE-052-MECH-03-R06</x:v>
      </x:c>
      <x:c r="B1461" s="28" t="str">
        <x:v>ANC-SLE-052-MECH-03</x:v>
      </x:c>
      <x:c r="C1461" s="28" t="n">
        <x:v>18</x:v>
      </x:c>
      <x:c r="D1461" s="47" t="n">
        <x:v>696</x:v>
      </x:c>
      <x:c r="E1461" s="47" t="n">
        <x:v>102.907</x:v>
      </x:c>
      <x:c r="F1461" s="47" t="n">
        <x:v>711.118</x:v>
      </x:c>
      <x:c r="G1461" s="47" t="n">
        <x:v>112.515</x:v>
      </x:c>
      <x:c r="H1461" s="50" t="n">
        <x:v>0.826564</x:v>
      </x:c>
      <x:c r="I1461" s="50" t="n">
        <x:v>0.172861</x:v>
      </x:c>
      <x:c r="J1461" s="50" t="n">
        <x:v>0.844518</x:v>
      </x:c>
      <x:c r="K1461" s="50" t="n">
        <x:v>0.188999</x:v>
      </x:c>
      <x:c r="L1461" s="47" t="n">
        <x:v>842.04</x:v>
      </x:c>
      <x:c r="M1461" s="47" t="n">
        <x:v>595.32</x:v>
      </x:c>
      <x:c r="N1461" s="28" t="str">
        <x:v>top-left</x:v>
      </x:c>
      <x:c r="O1461" s="28" t="str">
        <x:v>PDF points</x:v>
      </x:c>
    </x:row>
    <x:row r="1462" ht="22" customHeight="1">
      <x:c r="A1462" s="28" t="str">
        <x:v>ANC-SLE-052-MECH-03-R07</x:v>
      </x:c>
      <x:c r="B1462" s="28" t="str">
        <x:v>ANC-SLE-052-MECH-03</x:v>
      </x:c>
      <x:c r="C1462" s="28" t="n">
        <x:v>18</x:v>
      </x:c>
      <x:c r="D1462" s="47" t="n">
        <x:v>731.883</x:v>
      </x:c>
      <x:c r="E1462" s="47" t="n">
        <x:v>102.907</x:v>
      </x:c>
      <x:c r="F1462" s="47" t="n">
        <x:v>747</x:v>
      </x:c>
      <x:c r="G1462" s="47" t="n">
        <x:v>112.515</x:v>
      </x:c>
      <x:c r="H1462" s="50" t="n">
        <x:v>0.869178</x:v>
      </x:c>
      <x:c r="I1462" s="50" t="n">
        <x:v>0.172861</x:v>
      </x:c>
      <x:c r="J1462" s="50" t="n">
        <x:v>0.887131</x:v>
      </x:c>
      <x:c r="K1462" s="50" t="n">
        <x:v>0.188999</x:v>
      </x:c>
      <x:c r="L1462" s="47" t="n">
        <x:v>842.04</x:v>
      </x:c>
      <x:c r="M1462" s="47" t="n">
        <x:v>595.32</x:v>
      </x:c>
      <x:c r="N1462" s="28" t="str">
        <x:v>top-left</x:v>
      </x:c>
      <x:c r="O1462" s="28" t="str">
        <x:v>PDF points</x:v>
      </x:c>
    </x:row>
    <x:row r="1463" ht="22" customHeight="1">
      <x:c r="A1463" s="28" t="str">
        <x:v>ANC-SLE-052-MECH-03-R08</x:v>
      </x:c>
      <x:c r="B1463" s="28" t="str">
        <x:v>ANC-SLE-052-MECH-03</x:v>
      </x:c>
      <x:c r="C1463" s="28" t="n">
        <x:v>18</x:v>
      </x:c>
      <x:c r="D1463" s="47" t="n">
        <x:v>768.006</x:v>
      </x:c>
      <x:c r="E1463" s="47" t="n">
        <x:v>102.907</x:v>
      </x:c>
      <x:c r="F1463" s="47" t="n">
        <x:v>783.124</x:v>
      </x:c>
      <x:c r="G1463" s="47" t="n">
        <x:v>112.515</x:v>
      </x:c>
      <x:c r="H1463" s="50" t="n">
        <x:v>0.912078</x:v>
      </x:c>
      <x:c r="I1463" s="50" t="n">
        <x:v>0.172861</x:v>
      </x:c>
      <x:c r="J1463" s="50" t="n">
        <x:v>0.930032</x:v>
      </x:c>
      <x:c r="K1463" s="50" t="n">
        <x:v>0.188999</x:v>
      </x:c>
      <x:c r="L1463" s="47" t="n">
        <x:v>842.04</x:v>
      </x:c>
      <x:c r="M1463" s="47" t="n">
        <x:v>595.32</x:v>
      </x:c>
      <x:c r="N1463" s="28" t="str">
        <x:v>top-left</x:v>
      </x:c>
      <x:c r="O1463" s="28" t="str">
        <x:v>PDF points</x:v>
      </x:c>
    </x:row>
    <x:row r="1464" ht="22" customHeight="1">
      <x:c r="A1464" s="28" t="str">
        <x:v>ANC-SLE-052-MECH-03-R09</x:v>
      </x:c>
      <x:c r="B1464" s="28" t="str">
        <x:v>ANC-SLE-052-MECH-03</x:v>
      </x:c>
      <x:c r="C1464" s="28" t="n">
        <x:v>18</x:v>
      </x:c>
      <x:c r="D1464" s="47" t="n">
        <x:v>217.32</x:v>
      </x:c>
      <x:c r="E1464" s="47" t="n">
        <x:v>117.667</x:v>
      </x:c>
      <x:c r="F1464" s="47" t="n">
        <x:v>412.529</x:v>
      </x:c>
      <x:c r="G1464" s="47" t="n">
        <x:v>127.275</x:v>
      </x:c>
      <x:c r="H1464" s="50" t="n">
        <x:v>0.258088</x:v>
      </x:c>
      <x:c r="I1464" s="50" t="n">
        <x:v>0.197654</x:v>
      </x:c>
      <x:c r="J1464" s="50" t="n">
        <x:v>0.489916</x:v>
      </x:c>
      <x:c r="K1464" s="50" t="n">
        <x:v>0.213793</x:v>
      </x:c>
      <x:c r="L1464" s="47" t="n">
        <x:v>842.04</x:v>
      </x:c>
      <x:c r="M1464" s="47" t="n">
        <x:v>595.32</x:v>
      </x:c>
      <x:c r="N1464" s="28" t="str">
        <x:v>top-left</x:v>
      </x:c>
      <x:c r="O1464" s="28" t="str">
        <x:v>PDF points</x:v>
      </x:c>
    </x:row>
    <x:row r="1465" ht="22" customHeight="1">
      <x:c r="A1465" s="28" t="str">
        <x:v>ANC-SLE-052-MECH-03-R10</x:v>
      </x:c>
      <x:c r="B1465" s="28" t="str">
        <x:v>ANC-SLE-052-MECH-03</x:v>
      </x:c>
      <x:c r="C1465" s="28" t="n">
        <x:v>18</x:v>
      </x:c>
      <x:c r="D1465" s="47" t="n">
        <x:v>217.32</x:v>
      </x:c>
      <x:c r="E1465" s="47" t="n">
        <x:v>126.427</x:v>
      </x:c>
      <x:c r="F1465" s="47" t="n">
        <x:v>308.947</x:v>
      </x:c>
      <x:c r="G1465" s="47" t="n">
        <x:v>136.035</x:v>
      </x:c>
      <x:c r="H1465" s="50" t="n">
        <x:v>0.258088</x:v>
      </x:c>
      <x:c r="I1465" s="50" t="n">
        <x:v>0.212369</x:v>
      </x:c>
      <x:c r="J1465" s="50" t="n">
        <x:v>0.366903</x:v>
      </x:c>
      <x:c r="K1465" s="50" t="n">
        <x:v>0.228508</x:v>
      </x:c>
      <x:c r="L1465" s="47" t="n">
        <x:v>842.04</x:v>
      </x:c>
      <x:c r="M1465" s="47" t="n">
        <x:v>595.32</x:v>
      </x:c>
      <x:c r="N1465" s="28" t="str">
        <x:v>top-left</x:v>
      </x:c>
      <x:c r="O1465" s="28" t="str">
        <x:v>PDF points</x:v>
      </x:c>
    </x:row>
    <x:row r="1466" ht="22" customHeight="1">
      <x:c r="A1466" s="28" t="str">
        <x:v>ANC-SLE-052-MECH-03-R11</x:v>
      </x:c>
      <x:c r="B1466" s="28" t="str">
        <x:v>ANC-SLE-052-MECH-03</x:v>
      </x:c>
      <x:c r="C1466" s="28" t="n">
        <x:v>18</x:v>
      </x:c>
      <x:c r="D1466" s="47" t="n">
        <x:v>476.28</x:v>
      </x:c>
      <x:c r="E1466" s="47" t="n">
        <x:v>124.627</x:v>
      </x:c>
      <x:c r="F1466" s="47" t="n">
        <x:v>491.398</x:v>
      </x:c>
      <x:c r="G1466" s="47" t="n">
        <x:v>134.235</x:v>
      </x:c>
      <x:c r="H1466" s="50" t="n">
        <x:v>0.565626</x:v>
      </x:c>
      <x:c r="I1466" s="50" t="n">
        <x:v>0.209345</x:v>
      </x:c>
      <x:c r="J1466" s="50" t="n">
        <x:v>0.58358</x:v>
      </x:c>
      <x:c r="K1466" s="50" t="n">
        <x:v>0.225484</x:v>
      </x:c>
      <x:c r="L1466" s="47" t="n">
        <x:v>842.04</x:v>
      </x:c>
      <x:c r="M1466" s="47" t="n">
        <x:v>595.32</x:v>
      </x:c>
      <x:c r="N1466" s="28" t="str">
        <x:v>top-left</x:v>
      </x:c>
      <x:c r="O1466" s="28" t="str">
        <x:v>PDF points</x:v>
      </x:c>
    </x:row>
    <x:row r="1467" ht="22" customHeight="1">
      <x:c r="A1467" s="28" t="str">
        <x:v>ANC-SLE-052-MECH-03-R12</x:v>
      </x:c>
      <x:c r="B1467" s="28" t="str">
        <x:v>ANC-SLE-052-MECH-03</x:v>
      </x:c>
      <x:c r="C1467" s="28" t="n">
        <x:v>18</x:v>
      </x:c>
      <x:c r="D1467" s="47" t="n">
        <x:v>526.924</x:v>
      </x:c>
      <x:c r="E1467" s="47" t="n">
        <x:v>124.627</x:v>
      </x:c>
      <x:c r="F1467" s="47" t="n">
        <x:v>542.042</x:v>
      </x:c>
      <x:c r="G1467" s="47" t="n">
        <x:v>134.235</x:v>
      </x:c>
      <x:c r="H1467" s="50" t="n">
        <x:v>0.625771</x:v>
      </x:c>
      <x:c r="I1467" s="50" t="n">
        <x:v>0.209345</x:v>
      </x:c>
      <x:c r="J1467" s="50" t="n">
        <x:v>0.643724</x:v>
      </x:c>
      <x:c r="K1467" s="50" t="n">
        <x:v>0.225484</x:v>
      </x:c>
      <x:c r="L1467" s="47" t="n">
        <x:v>842.04</x:v>
      </x:c>
      <x:c r="M1467" s="47" t="n">
        <x:v>595.32</x:v>
      </x:c>
      <x:c r="N1467" s="28" t="str">
        <x:v>top-left</x:v>
      </x:c>
      <x:c r="O1467" s="28" t="str">
        <x:v>PDF points</x:v>
      </x:c>
    </x:row>
    <x:row r="1468" ht="22" customHeight="1">
      <x:c r="A1468" s="28" t="str">
        <x:v>ANC-SLE-052-MECH-03-R13</x:v>
      </x:c>
      <x:c r="B1468" s="28" t="str">
        <x:v>ANC-SLE-052-MECH-03</x:v>
      </x:c>
      <x:c r="C1468" s="28" t="n">
        <x:v>18</x:v>
      </x:c>
      <x:c r="D1468" s="47" t="n">
        <x:v>576.482</x:v>
      </x:c>
      <x:c r="E1468" s="47" t="n">
        <x:v>124.627</x:v>
      </x:c>
      <x:c r="F1468" s="47" t="n">
        <x:v>591.6</x:v>
      </x:c>
      <x:c r="G1468" s="47" t="n">
        <x:v>134.235</x:v>
      </x:c>
      <x:c r="H1468" s="50" t="n">
        <x:v>0.684626</x:v>
      </x:c>
      <x:c r="I1468" s="50" t="n">
        <x:v>0.209345</x:v>
      </x:c>
      <x:c r="J1468" s="50" t="n">
        <x:v>0.70258</x:v>
      </x:c>
      <x:c r="K1468" s="50" t="n">
        <x:v>0.225484</x:v>
      </x:c>
      <x:c r="L1468" s="47" t="n">
        <x:v>842.04</x:v>
      </x:c>
      <x:c r="M1468" s="47" t="n">
        <x:v>595.32</x:v>
      </x:c>
      <x:c r="N1468" s="28" t="str">
        <x:v>top-left</x:v>
      </x:c>
      <x:c r="O1468" s="28" t="str">
        <x:v>PDF points</x:v>
      </x:c>
    </x:row>
    <x:row r="1469" ht="22" customHeight="1">
      <x:c r="A1469" s="28" t="str">
        <x:v>ANC-SLE-052-MECH-03-R14</x:v>
      </x:c>
      <x:c r="B1469" s="28" t="str">
        <x:v>ANC-SLE-052-MECH-03</x:v>
      </x:c>
      <x:c r="C1469" s="28" t="n">
        <x:v>18</x:v>
      </x:c>
      <x:c r="D1469" s="47" t="n">
        <x:v>616.92</x:v>
      </x:c>
      <x:c r="E1469" s="47" t="n">
        <x:v>124.627</x:v>
      </x:c>
      <x:c r="F1469" s="47" t="n">
        <x:v>632.038</x:v>
      </x:c>
      <x:c r="G1469" s="47" t="n">
        <x:v>134.235</x:v>
      </x:c>
      <x:c r="H1469" s="50" t="n">
        <x:v>0.732649</x:v>
      </x:c>
      <x:c r="I1469" s="50" t="n">
        <x:v>0.209345</x:v>
      </x:c>
      <x:c r="J1469" s="50" t="n">
        <x:v>0.750603</x:v>
      </x:c>
      <x:c r="K1469" s="50" t="n">
        <x:v>0.225484</x:v>
      </x:c>
      <x:c r="L1469" s="47" t="n">
        <x:v>842.04</x:v>
      </x:c>
      <x:c r="M1469" s="47" t="n">
        <x:v>595.32</x:v>
      </x:c>
      <x:c r="N1469" s="28" t="str">
        <x:v>top-left</x:v>
      </x:c>
      <x:c r="O1469" s="28" t="str">
        <x:v>PDF points</x:v>
      </x:c>
    </x:row>
    <x:row r="1470" ht="22" customHeight="1">
      <x:c r="A1470" s="28" t="str">
        <x:v>ANC-SLE-052-MECH-03-R15</x:v>
      </x:c>
      <x:c r="B1470" s="28" t="str">
        <x:v>ANC-SLE-052-MECH-03</x:v>
      </x:c>
      <x:c r="C1470" s="28" t="n">
        <x:v>18</x:v>
      </x:c>
      <x:c r="D1470" s="47" t="n">
        <x:v>656.52</x:v>
      </x:c>
      <x:c r="E1470" s="47" t="n">
        <x:v>124.627</x:v>
      </x:c>
      <x:c r="F1470" s="47" t="n">
        <x:v>671.638</x:v>
      </x:c>
      <x:c r="G1470" s="47" t="n">
        <x:v>134.235</x:v>
      </x:c>
      <x:c r="H1470" s="50" t="n">
        <x:v>0.779678</x:v>
      </x:c>
      <x:c r="I1470" s="50" t="n">
        <x:v>0.209345</x:v>
      </x:c>
      <x:c r="J1470" s="50" t="n">
        <x:v>0.797632</x:v>
      </x:c>
      <x:c r="K1470" s="50" t="n">
        <x:v>0.225484</x:v>
      </x:c>
      <x:c r="L1470" s="47" t="n">
        <x:v>842.04</x:v>
      </x:c>
      <x:c r="M1470" s="47" t="n">
        <x:v>595.32</x:v>
      </x:c>
      <x:c r="N1470" s="28" t="str">
        <x:v>top-left</x:v>
      </x:c>
      <x:c r="O1470" s="28" t="str">
        <x:v>PDF points</x:v>
      </x:c>
    </x:row>
    <x:row r="1471" ht="22" customHeight="1">
      <x:c r="A1471" s="28" t="str">
        <x:v>ANC-SLE-052-MECH-03-R16</x:v>
      </x:c>
      <x:c r="B1471" s="28" t="str">
        <x:v>ANC-SLE-052-MECH-03</x:v>
      </x:c>
      <x:c r="C1471" s="28" t="n">
        <x:v>18</x:v>
      </x:c>
      <x:c r="D1471" s="47" t="n">
        <x:v>696</x:v>
      </x:c>
      <x:c r="E1471" s="47" t="n">
        <x:v>124.627</x:v>
      </x:c>
      <x:c r="F1471" s="47" t="n">
        <x:v>711.118</x:v>
      </x:c>
      <x:c r="G1471" s="47" t="n">
        <x:v>134.235</x:v>
      </x:c>
      <x:c r="H1471" s="50" t="n">
        <x:v>0.826564</x:v>
      </x:c>
      <x:c r="I1471" s="50" t="n">
        <x:v>0.209345</x:v>
      </x:c>
      <x:c r="J1471" s="50" t="n">
        <x:v>0.844518</x:v>
      </x:c>
      <x:c r="K1471" s="50" t="n">
        <x:v>0.225484</x:v>
      </x:c>
      <x:c r="L1471" s="47" t="n">
        <x:v>842.04</x:v>
      </x:c>
      <x:c r="M1471" s="47" t="n">
        <x:v>595.32</x:v>
      </x:c>
      <x:c r="N1471" s="28" t="str">
        <x:v>top-left</x:v>
      </x:c>
      <x:c r="O1471" s="28" t="str">
        <x:v>PDF points</x:v>
      </x:c>
    </x:row>
    <x:row r="1472" ht="22" customHeight="1">
      <x:c r="A1472" s="28" t="str">
        <x:v>ANC-SLE-052-MECH-03-R17</x:v>
      </x:c>
      <x:c r="B1472" s="28" t="str">
        <x:v>ANC-SLE-052-MECH-03</x:v>
      </x:c>
      <x:c r="C1472" s="28" t="n">
        <x:v>18</x:v>
      </x:c>
      <x:c r="D1472" s="47" t="n">
        <x:v>731.88</x:v>
      </x:c>
      <x:c r="E1472" s="47" t="n">
        <x:v>124.627</x:v>
      </x:c>
      <x:c r="F1472" s="47" t="n">
        <x:v>746.998</x:v>
      </x:c>
      <x:c r="G1472" s="47" t="n">
        <x:v>134.235</x:v>
      </x:c>
      <x:c r="H1472" s="50" t="n">
        <x:v>0.869175</x:v>
      </x:c>
      <x:c r="I1472" s="50" t="n">
        <x:v>0.209345</x:v>
      </x:c>
      <x:c r="J1472" s="50" t="n">
        <x:v>0.887129</x:v>
      </x:c>
      <x:c r="K1472" s="50" t="n">
        <x:v>0.225484</x:v>
      </x:c>
      <x:c r="L1472" s="47" t="n">
        <x:v>842.04</x:v>
      </x:c>
      <x:c r="M1472" s="47" t="n">
        <x:v>595.32</x:v>
      </x:c>
      <x:c r="N1472" s="28" t="str">
        <x:v>top-left</x:v>
      </x:c>
      <x:c r="O1472" s="28" t="str">
        <x:v>PDF points</x:v>
      </x:c>
    </x:row>
    <x:row r="1473" ht="22" customHeight="1">
      <x:c r="A1473" s="28" t="str">
        <x:v>ANC-SLE-052-MECH-03-R18</x:v>
      </x:c>
      <x:c r="B1473" s="28" t="str">
        <x:v>ANC-SLE-052-MECH-03</x:v>
      </x:c>
      <x:c r="C1473" s="28" t="n">
        <x:v>18</x:v>
      </x:c>
      <x:c r="D1473" s="47" t="n">
        <x:v>768</x:v>
      </x:c>
      <x:c r="E1473" s="47" t="n">
        <x:v>124.627</x:v>
      </x:c>
      <x:c r="F1473" s="47" t="n">
        <x:v>783.118</x:v>
      </x:c>
      <x:c r="G1473" s="47" t="n">
        <x:v>134.235</x:v>
      </x:c>
      <x:c r="H1473" s="50" t="n">
        <x:v>0.912071</x:v>
      </x:c>
      <x:c r="I1473" s="50" t="n">
        <x:v>0.209345</x:v>
      </x:c>
      <x:c r="J1473" s="50" t="n">
        <x:v>0.930024</x:v>
      </x:c>
      <x:c r="K1473" s="50" t="n">
        <x:v>0.225484</x:v>
      </x:c>
      <x:c r="L1473" s="47" t="n">
        <x:v>842.04</x:v>
      </x:c>
      <x:c r="M1473" s="47" t="n">
        <x:v>595.32</x:v>
      </x:c>
      <x:c r="N1473" s="28" t="str">
        <x:v>top-left</x:v>
      </x:c>
      <x:c r="O1473" s="28" t="str">
        <x:v>PDF points</x:v>
      </x:c>
    </x:row>
    <x:row r="1474" ht="22" customHeight="1">
      <x:c r="A1474" s="28" t="str">
        <x:v>ANC-SLE-052-MECH-03-R19</x:v>
      </x:c>
      <x:c r="B1474" s="28" t="str">
        <x:v>ANC-SLE-052-MECH-03</x:v>
      </x:c>
      <x:c r="C1474" s="28" t="n">
        <x:v>18</x:v>
      </x:c>
      <x:c r="D1474" s="47" t="n">
        <x:v>217.32</x:v>
      </x:c>
      <x:c r="E1474" s="47" t="n">
        <x:v>140.707</x:v>
      </x:c>
      <x:c r="F1474" s="47" t="n">
        <x:v>427.967</x:v>
      </x:c>
      <x:c r="G1474" s="47" t="n">
        <x:v>150.315</x:v>
      </x:c>
      <x:c r="H1474" s="50" t="n">
        <x:v>0.258088</x:v>
      </x:c>
      <x:c r="I1474" s="50" t="n">
        <x:v>0.236356</x:v>
      </x:c>
      <x:c r="J1474" s="50" t="n">
        <x:v>0.50825</x:v>
      </x:c>
      <x:c r="K1474" s="50" t="n">
        <x:v>0.252495</x:v>
      </x:c>
      <x:c r="L1474" s="47" t="n">
        <x:v>842.04</x:v>
      </x:c>
      <x:c r="M1474" s="47" t="n">
        <x:v>595.32</x:v>
      </x:c>
      <x:c r="N1474" s="28" t="str">
        <x:v>top-left</x:v>
      </x:c>
      <x:c r="O1474" s="28" t="str">
        <x:v>PDF points</x:v>
      </x:c>
    </x:row>
    <x:row r="1475" ht="22" customHeight="1">
      <x:c r="A1475" s="28" t="str">
        <x:v>ANC-SLE-052-MECH-03-R20</x:v>
      </x:c>
      <x:c r="B1475" s="28" t="str">
        <x:v>ANC-SLE-052-MECH-03</x:v>
      </x:c>
      <x:c r="C1475" s="28" t="n">
        <x:v>18</x:v>
      </x:c>
      <x:c r="D1475" s="47" t="n">
        <x:v>217.32</x:v>
      </x:c>
      <x:c r="E1475" s="47" t="n">
        <x:v>149.467</x:v>
      </x:c>
      <x:c r="F1475" s="47" t="n">
        <x:v>302.109</x:v>
      </x:c>
      <x:c r="G1475" s="47" t="n">
        <x:v>159.075</x:v>
      </x:c>
      <x:c r="H1475" s="50" t="n">
        <x:v>0.258088</x:v>
      </x:c>
      <x:c r="I1475" s="50" t="n">
        <x:v>0.251071</x:v>
      </x:c>
      <x:c r="J1475" s="50" t="n">
        <x:v>0.358782</x:v>
      </x:c>
      <x:c r="K1475" s="50" t="n">
        <x:v>0.267209</x:v>
      </x:c>
      <x:c r="L1475" s="47" t="n">
        <x:v>842.04</x:v>
      </x:c>
      <x:c r="M1475" s="47" t="n">
        <x:v>595.32</x:v>
      </x:c>
      <x:c r="N1475" s="28" t="str">
        <x:v>top-left</x:v>
      </x:c>
      <x:c r="O1475" s="28" t="str">
        <x:v>PDF points</x:v>
      </x:c>
    </x:row>
    <x:row r="1476" ht="22" customHeight="1">
      <x:c r="A1476" s="28" t="str">
        <x:v>ANC-SLE-052-MECH-03-R21</x:v>
      </x:c>
      <x:c r="B1476" s="28" t="str">
        <x:v>ANC-SLE-052-MECH-03</x:v>
      </x:c>
      <x:c r="C1476" s="28" t="n">
        <x:v>18</x:v>
      </x:c>
      <x:c r="D1476" s="47" t="n">
        <x:v>476.28</x:v>
      </x:c>
      <x:c r="E1476" s="47" t="n">
        <x:v>147.667</x:v>
      </x:c>
      <x:c r="F1476" s="47" t="n">
        <x:v>491.398</x:v>
      </x:c>
      <x:c r="G1476" s="47" t="n">
        <x:v>157.275</x:v>
      </x:c>
      <x:c r="H1476" s="50" t="n">
        <x:v>0.565626</x:v>
      </x:c>
      <x:c r="I1476" s="50" t="n">
        <x:v>0.248047</x:v>
      </x:c>
      <x:c r="J1476" s="50" t="n">
        <x:v>0.58358</x:v>
      </x:c>
      <x:c r="K1476" s="50" t="n">
        <x:v>0.264186</x:v>
      </x:c>
      <x:c r="L1476" s="47" t="n">
        <x:v>842.04</x:v>
      </x:c>
      <x:c r="M1476" s="47" t="n">
        <x:v>595.32</x:v>
      </x:c>
      <x:c r="N1476" s="28" t="str">
        <x:v>top-left</x:v>
      </x:c>
      <x:c r="O1476" s="28" t="str">
        <x:v>PDF points</x:v>
      </x:c>
    </x:row>
    <x:row r="1477" ht="22" customHeight="1">
      <x:c r="A1477" s="28" t="str">
        <x:v>ANC-SLE-052-MECH-03-R22</x:v>
      </x:c>
      <x:c r="B1477" s="28" t="str">
        <x:v>ANC-SLE-052-MECH-03</x:v>
      </x:c>
      <x:c r="C1477" s="28" t="n">
        <x:v>18</x:v>
      </x:c>
      <x:c r="D1477" s="47" t="n">
        <x:v>526.924</x:v>
      </x:c>
      <x:c r="E1477" s="47" t="n">
        <x:v>147.667</x:v>
      </x:c>
      <x:c r="F1477" s="47" t="n">
        <x:v>542.042</x:v>
      </x:c>
      <x:c r="G1477" s="47" t="n">
        <x:v>157.275</x:v>
      </x:c>
      <x:c r="H1477" s="50" t="n">
        <x:v>0.625771</x:v>
      </x:c>
      <x:c r="I1477" s="50" t="n">
        <x:v>0.248047</x:v>
      </x:c>
      <x:c r="J1477" s="50" t="n">
        <x:v>0.643724</x:v>
      </x:c>
      <x:c r="K1477" s="50" t="n">
        <x:v>0.264186</x:v>
      </x:c>
      <x:c r="L1477" s="47" t="n">
        <x:v>842.04</x:v>
      </x:c>
      <x:c r="M1477" s="47" t="n">
        <x:v>595.32</x:v>
      </x:c>
      <x:c r="N1477" s="28" t="str">
        <x:v>top-left</x:v>
      </x:c>
      <x:c r="O1477" s="28" t="str">
        <x:v>PDF points</x:v>
      </x:c>
    </x:row>
    <x:row r="1478" ht="22" customHeight="1">
      <x:c r="A1478" s="28" t="str">
        <x:v>ANC-SLE-052-MECH-03-R23</x:v>
      </x:c>
      <x:c r="B1478" s="28" t="str">
        <x:v>ANC-SLE-052-MECH-03</x:v>
      </x:c>
      <x:c r="C1478" s="28" t="n">
        <x:v>18</x:v>
      </x:c>
      <x:c r="D1478" s="47" t="n">
        <x:v>576.482</x:v>
      </x:c>
      <x:c r="E1478" s="47" t="n">
        <x:v>147.667</x:v>
      </x:c>
      <x:c r="F1478" s="47" t="n">
        <x:v>591.6</x:v>
      </x:c>
      <x:c r="G1478" s="47" t="n">
        <x:v>157.275</x:v>
      </x:c>
      <x:c r="H1478" s="50" t="n">
        <x:v>0.684626</x:v>
      </x:c>
      <x:c r="I1478" s="50" t="n">
        <x:v>0.248047</x:v>
      </x:c>
      <x:c r="J1478" s="50" t="n">
        <x:v>0.70258</x:v>
      </x:c>
      <x:c r="K1478" s="50" t="n">
        <x:v>0.264186</x:v>
      </x:c>
      <x:c r="L1478" s="47" t="n">
        <x:v>842.04</x:v>
      </x:c>
      <x:c r="M1478" s="47" t="n">
        <x:v>595.32</x:v>
      </x:c>
      <x:c r="N1478" s="28" t="str">
        <x:v>top-left</x:v>
      </x:c>
      <x:c r="O1478" s="28" t="str">
        <x:v>PDF points</x:v>
      </x:c>
    </x:row>
    <x:row r="1479" ht="22" customHeight="1">
      <x:c r="A1479" s="28" t="str">
        <x:v>ANC-SLE-052-MECH-03-R24</x:v>
      </x:c>
      <x:c r="B1479" s="28" t="str">
        <x:v>ANC-SLE-052-MECH-03</x:v>
      </x:c>
      <x:c r="C1479" s="28" t="n">
        <x:v>18</x:v>
      </x:c>
      <x:c r="D1479" s="47" t="n">
        <x:v>616.92</x:v>
      </x:c>
      <x:c r="E1479" s="47" t="n">
        <x:v>147.667</x:v>
      </x:c>
      <x:c r="F1479" s="47" t="n">
        <x:v>632.038</x:v>
      </x:c>
      <x:c r="G1479" s="47" t="n">
        <x:v>157.275</x:v>
      </x:c>
      <x:c r="H1479" s="50" t="n">
        <x:v>0.732649</x:v>
      </x:c>
      <x:c r="I1479" s="50" t="n">
        <x:v>0.248047</x:v>
      </x:c>
      <x:c r="J1479" s="50" t="n">
        <x:v>0.750603</x:v>
      </x:c>
      <x:c r="K1479" s="50" t="n">
        <x:v>0.264186</x:v>
      </x:c>
      <x:c r="L1479" s="47" t="n">
        <x:v>842.04</x:v>
      </x:c>
      <x:c r="M1479" s="47" t="n">
        <x:v>595.32</x:v>
      </x:c>
      <x:c r="N1479" s="28" t="str">
        <x:v>top-left</x:v>
      </x:c>
      <x:c r="O1479" s="28" t="str">
        <x:v>PDF points</x:v>
      </x:c>
    </x:row>
    <x:row r="1480" ht="22" customHeight="1">
      <x:c r="A1480" s="28" t="str">
        <x:v>ANC-SLE-052-MECH-03-R25</x:v>
      </x:c>
      <x:c r="B1480" s="28" t="str">
        <x:v>ANC-SLE-052-MECH-03</x:v>
      </x:c>
      <x:c r="C1480" s="28" t="n">
        <x:v>18</x:v>
      </x:c>
      <x:c r="D1480" s="47" t="n">
        <x:v>656.52</x:v>
      </x:c>
      <x:c r="E1480" s="47" t="n">
        <x:v>147.667</x:v>
      </x:c>
      <x:c r="F1480" s="47" t="n">
        <x:v>671.638</x:v>
      </x:c>
      <x:c r="G1480" s="47" t="n">
        <x:v>157.275</x:v>
      </x:c>
      <x:c r="H1480" s="50" t="n">
        <x:v>0.779678</x:v>
      </x:c>
      <x:c r="I1480" s="50" t="n">
        <x:v>0.248047</x:v>
      </x:c>
      <x:c r="J1480" s="50" t="n">
        <x:v>0.797632</x:v>
      </x:c>
      <x:c r="K1480" s="50" t="n">
        <x:v>0.264186</x:v>
      </x:c>
      <x:c r="L1480" s="47" t="n">
        <x:v>842.04</x:v>
      </x:c>
      <x:c r="M1480" s="47" t="n">
        <x:v>595.32</x:v>
      </x:c>
      <x:c r="N1480" s="28" t="str">
        <x:v>top-left</x:v>
      </x:c>
      <x:c r="O1480" s="28" t="str">
        <x:v>PDF points</x:v>
      </x:c>
    </x:row>
    <x:row r="1481" ht="22" customHeight="1">
      <x:c r="A1481" s="28" t="str">
        <x:v>ANC-SLE-052-MECH-03-R26</x:v>
      </x:c>
      <x:c r="B1481" s="28" t="str">
        <x:v>ANC-SLE-052-MECH-03</x:v>
      </x:c>
      <x:c r="C1481" s="28" t="n">
        <x:v>18</x:v>
      </x:c>
      <x:c r="D1481" s="47" t="n">
        <x:v>696</x:v>
      </x:c>
      <x:c r="E1481" s="47" t="n">
        <x:v>147.667</x:v>
      </x:c>
      <x:c r="F1481" s="47" t="n">
        <x:v>711.118</x:v>
      </x:c>
      <x:c r="G1481" s="47" t="n">
        <x:v>157.275</x:v>
      </x:c>
      <x:c r="H1481" s="50" t="n">
        <x:v>0.826564</x:v>
      </x:c>
      <x:c r="I1481" s="50" t="n">
        <x:v>0.248047</x:v>
      </x:c>
      <x:c r="J1481" s="50" t="n">
        <x:v>0.844518</x:v>
      </x:c>
      <x:c r="K1481" s="50" t="n">
        <x:v>0.264186</x:v>
      </x:c>
      <x:c r="L1481" s="47" t="n">
        <x:v>842.04</x:v>
      </x:c>
      <x:c r="M1481" s="47" t="n">
        <x:v>595.32</x:v>
      </x:c>
      <x:c r="N1481" s="28" t="str">
        <x:v>top-left</x:v>
      </x:c>
      <x:c r="O1481" s="28" t="str">
        <x:v>PDF points</x:v>
      </x:c>
    </x:row>
    <x:row r="1482" ht="22" customHeight="1">
      <x:c r="A1482" s="28" t="str">
        <x:v>ANC-SLE-052-MECH-03-R27</x:v>
      </x:c>
      <x:c r="B1482" s="28" t="str">
        <x:v>ANC-SLE-052-MECH-03</x:v>
      </x:c>
      <x:c r="C1482" s="28" t="n">
        <x:v>18</x:v>
      </x:c>
      <x:c r="D1482" s="47" t="n">
        <x:v>731.88</x:v>
      </x:c>
      <x:c r="E1482" s="47" t="n">
        <x:v>147.667</x:v>
      </x:c>
      <x:c r="F1482" s="47" t="n">
        <x:v>746.998</x:v>
      </x:c>
      <x:c r="G1482" s="47" t="n">
        <x:v>157.275</x:v>
      </x:c>
      <x:c r="H1482" s="50" t="n">
        <x:v>0.869175</x:v>
      </x:c>
      <x:c r="I1482" s="50" t="n">
        <x:v>0.248047</x:v>
      </x:c>
      <x:c r="J1482" s="50" t="n">
        <x:v>0.887129</x:v>
      </x:c>
      <x:c r="K1482" s="50" t="n">
        <x:v>0.264186</x:v>
      </x:c>
      <x:c r="L1482" s="47" t="n">
        <x:v>842.04</x:v>
      </x:c>
      <x:c r="M1482" s="47" t="n">
        <x:v>595.32</x:v>
      </x:c>
      <x:c r="N1482" s="28" t="str">
        <x:v>top-left</x:v>
      </x:c>
      <x:c r="O1482" s="28" t="str">
        <x:v>PDF points</x:v>
      </x:c>
    </x:row>
    <x:row r="1483" ht="22" customHeight="1">
      <x:c r="A1483" s="28" t="str">
        <x:v>ANC-SLE-052-MECH-03-R28</x:v>
      </x:c>
      <x:c r="B1483" s="28" t="str">
        <x:v>ANC-SLE-052-MECH-03</x:v>
      </x:c>
      <x:c r="C1483" s="28" t="n">
        <x:v>18</x:v>
      </x:c>
      <x:c r="D1483" s="47" t="n">
        <x:v>768.004</x:v>
      </x:c>
      <x:c r="E1483" s="47" t="n">
        <x:v>147.667</x:v>
      </x:c>
      <x:c r="F1483" s="47" t="n">
        <x:v>783.121</x:v>
      </x:c>
      <x:c r="G1483" s="47" t="n">
        <x:v>157.275</x:v>
      </x:c>
      <x:c r="H1483" s="50" t="n">
        <x:v>0.912075</x:v>
      </x:c>
      <x:c r="I1483" s="50" t="n">
        <x:v>0.248047</x:v>
      </x:c>
      <x:c r="J1483" s="50" t="n">
        <x:v>0.930029</x:v>
      </x:c>
      <x:c r="K1483" s="50" t="n">
        <x:v>0.264186</x:v>
      </x:c>
      <x:c r="L1483" s="47" t="n">
        <x:v>842.04</x:v>
      </x:c>
      <x:c r="M1483" s="47" t="n">
        <x:v>595.32</x:v>
      </x:c>
      <x:c r="N1483" s="28" t="str">
        <x:v>top-left</x:v>
      </x:c>
      <x:c r="O1483" s="28" t="str">
        <x:v>PDF points</x:v>
      </x:c>
    </x:row>
    <x:row r="1484" ht="22" customHeight="1">
      <x:c r="A1484" s="28" t="str">
        <x:v>ANC-SLE-052-MECH-03-R29</x:v>
      </x:c>
      <x:c r="B1484" s="28" t="str">
        <x:v>ANC-SLE-052-MECH-03</x:v>
      </x:c>
      <x:c r="C1484" s="28" t="n">
        <x:v>18</x:v>
      </x:c>
      <x:c r="D1484" s="47" t="n">
        <x:v>217.32</x:v>
      </x:c>
      <x:c r="E1484" s="47" t="n">
        <x:v>163.747</x:v>
      </x:c>
      <x:c r="F1484" s="47" t="n">
        <x:v>374.94</x:v>
      </x:c>
      <x:c r="G1484" s="47" t="n">
        <x:v>173.355</x:v>
      </x:c>
      <x:c r="H1484" s="50" t="n">
        <x:v>0.258088</x:v>
      </x:c>
      <x:c r="I1484" s="50" t="n">
        <x:v>0.275058</x:v>
      </x:c>
      <x:c r="J1484" s="50" t="n">
        <x:v>0.445276</x:v>
      </x:c>
      <x:c r="K1484" s="50" t="n">
        <x:v>0.291197</x:v>
      </x:c>
      <x:c r="L1484" s="47" t="n">
        <x:v>842.04</x:v>
      </x:c>
      <x:c r="M1484" s="47" t="n">
        <x:v>595.32</x:v>
      </x:c>
      <x:c r="N1484" s="28" t="str">
        <x:v>top-left</x:v>
      </x:c>
      <x:c r="O1484" s="28" t="str">
        <x:v>PDF points</x:v>
      </x:c>
    </x:row>
    <x:row r="1485" ht="22" customHeight="1">
      <x:c r="A1485" s="28" t="str">
        <x:v>ANC-SLE-052-MECH-03-R30</x:v>
      </x:c>
      <x:c r="B1485" s="28" t="str">
        <x:v>ANC-SLE-052-MECH-03</x:v>
      </x:c>
      <x:c r="C1485" s="28" t="n">
        <x:v>18</x:v>
      </x:c>
      <x:c r="D1485" s="47" t="n">
        <x:v>476.28</x:v>
      </x:c>
      <x:c r="E1485" s="47" t="n">
        <x:v>166.507</x:v>
      </x:c>
      <x:c r="F1485" s="47" t="n">
        <x:v>491.398</x:v>
      </x:c>
      <x:c r="G1485" s="47" t="n">
        <x:v>176.115</x:v>
      </x:c>
      <x:c r="H1485" s="50" t="n">
        <x:v>0.565626</x:v>
      </x:c>
      <x:c r="I1485" s="50" t="n">
        <x:v>0.279694</x:v>
      </x:c>
      <x:c r="J1485" s="50" t="n">
        <x:v>0.58358</x:v>
      </x:c>
      <x:c r="K1485" s="50" t="n">
        <x:v>0.295833</x:v>
      </x:c>
      <x:c r="L1485" s="47" t="n">
        <x:v>842.04</x:v>
      </x:c>
      <x:c r="M1485" s="47" t="n">
        <x:v>595.32</x:v>
      </x:c>
      <x:c r="N1485" s="28" t="str">
        <x:v>top-left</x:v>
      </x:c>
      <x:c r="O1485" s="28" t="str">
        <x:v>PDF points</x:v>
      </x:c>
    </x:row>
    <x:row r="1486" ht="22" customHeight="1">
      <x:c r="A1486" s="28" t="str">
        <x:v>ANC-SLE-052-MECH-03-R31</x:v>
      </x:c>
      <x:c r="B1486" s="28" t="str">
        <x:v>ANC-SLE-052-MECH-03</x:v>
      </x:c>
      <x:c r="C1486" s="28" t="n">
        <x:v>18</x:v>
      </x:c>
      <x:c r="D1486" s="47" t="n">
        <x:v>526.924</x:v>
      </x:c>
      <x:c r="E1486" s="47" t="n">
        <x:v>166.507</x:v>
      </x:c>
      <x:c r="F1486" s="47" t="n">
        <x:v>542.042</x:v>
      </x:c>
      <x:c r="G1486" s="47" t="n">
        <x:v>176.115</x:v>
      </x:c>
      <x:c r="H1486" s="50" t="n">
        <x:v>0.625771</x:v>
      </x:c>
      <x:c r="I1486" s="50" t="n">
        <x:v>0.279694</x:v>
      </x:c>
      <x:c r="J1486" s="50" t="n">
        <x:v>0.643724</x:v>
      </x:c>
      <x:c r="K1486" s="50" t="n">
        <x:v>0.295833</x:v>
      </x:c>
      <x:c r="L1486" s="47" t="n">
        <x:v>842.04</x:v>
      </x:c>
      <x:c r="M1486" s="47" t="n">
        <x:v>595.32</x:v>
      </x:c>
      <x:c r="N1486" s="28" t="str">
        <x:v>top-left</x:v>
      </x:c>
      <x:c r="O1486" s="28" t="str">
        <x:v>PDF points</x:v>
      </x:c>
    </x:row>
    <x:row r="1487" ht="22" customHeight="1">
      <x:c r="A1487" s="28" t="str">
        <x:v>ANC-SLE-052-MECH-03-R32</x:v>
      </x:c>
      <x:c r="B1487" s="28" t="str">
        <x:v>ANC-SLE-052-MECH-03</x:v>
      </x:c>
      <x:c r="C1487" s="28" t="n">
        <x:v>18</x:v>
      </x:c>
      <x:c r="D1487" s="47" t="n">
        <x:v>576.482</x:v>
      </x:c>
      <x:c r="E1487" s="47" t="n">
        <x:v>166.507</x:v>
      </x:c>
      <x:c r="F1487" s="47" t="n">
        <x:v>591.6</x:v>
      </x:c>
      <x:c r="G1487" s="47" t="n">
        <x:v>176.115</x:v>
      </x:c>
      <x:c r="H1487" s="50" t="n">
        <x:v>0.684626</x:v>
      </x:c>
      <x:c r="I1487" s="50" t="n">
        <x:v>0.279694</x:v>
      </x:c>
      <x:c r="J1487" s="50" t="n">
        <x:v>0.70258</x:v>
      </x:c>
      <x:c r="K1487" s="50" t="n">
        <x:v>0.295833</x:v>
      </x:c>
      <x:c r="L1487" s="47" t="n">
        <x:v>842.04</x:v>
      </x:c>
      <x:c r="M1487" s="47" t="n">
        <x:v>595.32</x:v>
      </x:c>
      <x:c r="N1487" s="28" t="str">
        <x:v>top-left</x:v>
      </x:c>
      <x:c r="O1487" s="28" t="str">
        <x:v>PDF points</x:v>
      </x:c>
    </x:row>
    <x:row r="1488" ht="22" customHeight="1">
      <x:c r="A1488" s="28" t="str">
        <x:v>ANC-SLE-052-MECH-03-R33</x:v>
      </x:c>
      <x:c r="B1488" s="28" t="str">
        <x:v>ANC-SLE-052-MECH-03</x:v>
      </x:c>
      <x:c r="C1488" s="28" t="n">
        <x:v>18</x:v>
      </x:c>
      <x:c r="D1488" s="47" t="n">
        <x:v>616.92</x:v>
      </x:c>
      <x:c r="E1488" s="47" t="n">
        <x:v>166.507</x:v>
      </x:c>
      <x:c r="F1488" s="47" t="n">
        <x:v>632.038</x:v>
      </x:c>
      <x:c r="G1488" s="47" t="n">
        <x:v>176.115</x:v>
      </x:c>
      <x:c r="H1488" s="50" t="n">
        <x:v>0.732649</x:v>
      </x:c>
      <x:c r="I1488" s="50" t="n">
        <x:v>0.279694</x:v>
      </x:c>
      <x:c r="J1488" s="50" t="n">
        <x:v>0.750603</x:v>
      </x:c>
      <x:c r="K1488" s="50" t="n">
        <x:v>0.295833</x:v>
      </x:c>
      <x:c r="L1488" s="47" t="n">
        <x:v>842.04</x:v>
      </x:c>
      <x:c r="M1488" s="47" t="n">
        <x:v>595.32</x:v>
      </x:c>
      <x:c r="N1488" s="28" t="str">
        <x:v>top-left</x:v>
      </x:c>
      <x:c r="O1488" s="28" t="str">
        <x:v>PDF points</x:v>
      </x:c>
    </x:row>
    <x:row r="1489" ht="22" customHeight="1">
      <x:c r="A1489" s="28" t="str">
        <x:v>ANC-SLE-052-MECH-03-R34</x:v>
      </x:c>
      <x:c r="B1489" s="28" t="str">
        <x:v>ANC-SLE-052-MECH-03</x:v>
      </x:c>
      <x:c r="C1489" s="28" t="n">
        <x:v>18</x:v>
      </x:c>
      <x:c r="D1489" s="47" t="n">
        <x:v>656.52</x:v>
      </x:c>
      <x:c r="E1489" s="47" t="n">
        <x:v>166.507</x:v>
      </x:c>
      <x:c r="F1489" s="47" t="n">
        <x:v>671.638</x:v>
      </x:c>
      <x:c r="G1489" s="47" t="n">
        <x:v>176.115</x:v>
      </x:c>
      <x:c r="H1489" s="50" t="n">
        <x:v>0.779678</x:v>
      </x:c>
      <x:c r="I1489" s="50" t="n">
        <x:v>0.279694</x:v>
      </x:c>
      <x:c r="J1489" s="50" t="n">
        <x:v>0.797632</x:v>
      </x:c>
      <x:c r="K1489" s="50" t="n">
        <x:v>0.295833</x:v>
      </x:c>
      <x:c r="L1489" s="47" t="n">
        <x:v>842.04</x:v>
      </x:c>
      <x:c r="M1489" s="47" t="n">
        <x:v>595.32</x:v>
      </x:c>
      <x:c r="N1489" s="28" t="str">
        <x:v>top-left</x:v>
      </x:c>
      <x:c r="O1489" s="28" t="str">
        <x:v>PDF points</x:v>
      </x:c>
    </x:row>
    <x:row r="1490" ht="22" customHeight="1">
      <x:c r="A1490" s="28" t="str">
        <x:v>ANC-SLE-052-MECH-03-R35</x:v>
      </x:c>
      <x:c r="B1490" s="28" t="str">
        <x:v>ANC-SLE-052-MECH-03</x:v>
      </x:c>
      <x:c r="C1490" s="28" t="n">
        <x:v>18</x:v>
      </x:c>
      <x:c r="D1490" s="47" t="n">
        <x:v>696</x:v>
      </x:c>
      <x:c r="E1490" s="47" t="n">
        <x:v>166.507</x:v>
      </x:c>
      <x:c r="F1490" s="47" t="n">
        <x:v>711.118</x:v>
      </x:c>
      <x:c r="G1490" s="47" t="n">
        <x:v>176.115</x:v>
      </x:c>
      <x:c r="H1490" s="50" t="n">
        <x:v>0.826564</x:v>
      </x:c>
      <x:c r="I1490" s="50" t="n">
        <x:v>0.279694</x:v>
      </x:c>
      <x:c r="J1490" s="50" t="n">
        <x:v>0.844518</x:v>
      </x:c>
      <x:c r="K1490" s="50" t="n">
        <x:v>0.295833</x:v>
      </x:c>
      <x:c r="L1490" s="47" t="n">
        <x:v>842.04</x:v>
      </x:c>
      <x:c r="M1490" s="47" t="n">
        <x:v>595.32</x:v>
      </x:c>
      <x:c r="N1490" s="28" t="str">
        <x:v>top-left</x:v>
      </x:c>
      <x:c r="O1490" s="28" t="str">
        <x:v>PDF points</x:v>
      </x:c>
    </x:row>
    <x:row r="1491" ht="22" customHeight="1">
      <x:c r="A1491" s="28" t="str">
        <x:v>ANC-SLE-052-MECH-03-R36</x:v>
      </x:c>
      <x:c r="B1491" s="28" t="str">
        <x:v>ANC-SLE-052-MECH-03</x:v>
      </x:c>
      <x:c r="C1491" s="28" t="n">
        <x:v>18</x:v>
      </x:c>
      <x:c r="D1491" s="47" t="n">
        <x:v>731.88</x:v>
      </x:c>
      <x:c r="E1491" s="47" t="n">
        <x:v>166.507</x:v>
      </x:c>
      <x:c r="F1491" s="47" t="n">
        <x:v>746.998</x:v>
      </x:c>
      <x:c r="G1491" s="47" t="n">
        <x:v>176.115</x:v>
      </x:c>
      <x:c r="H1491" s="50" t="n">
        <x:v>0.869175</x:v>
      </x:c>
      <x:c r="I1491" s="50" t="n">
        <x:v>0.279694</x:v>
      </x:c>
      <x:c r="J1491" s="50" t="n">
        <x:v>0.887129</x:v>
      </x:c>
      <x:c r="K1491" s="50" t="n">
        <x:v>0.295833</x:v>
      </x:c>
      <x:c r="L1491" s="47" t="n">
        <x:v>842.04</x:v>
      </x:c>
      <x:c r="M1491" s="47" t="n">
        <x:v>595.32</x:v>
      </x:c>
      <x:c r="N1491" s="28" t="str">
        <x:v>top-left</x:v>
      </x:c>
      <x:c r="O1491" s="28" t="str">
        <x:v>PDF points</x:v>
      </x:c>
    </x:row>
    <x:row r="1492" ht="22" customHeight="1">
      <x:c r="A1492" s="28" t="str">
        <x:v>ANC-SLE-052-MECH-03-R37</x:v>
      </x:c>
      <x:c r="B1492" s="28" t="str">
        <x:v>ANC-SLE-052-MECH-03</x:v>
      </x:c>
      <x:c r="C1492" s="28" t="n">
        <x:v>18</x:v>
      </x:c>
      <x:c r="D1492" s="47" t="n">
        <x:v>768</x:v>
      </x:c>
      <x:c r="E1492" s="47" t="n">
        <x:v>166.507</x:v>
      </x:c>
      <x:c r="F1492" s="47" t="n">
        <x:v>783.118</x:v>
      </x:c>
      <x:c r="G1492" s="47" t="n">
        <x:v>176.115</x:v>
      </x:c>
      <x:c r="H1492" s="50" t="n">
        <x:v>0.912071</x:v>
      </x:c>
      <x:c r="I1492" s="50" t="n">
        <x:v>0.279694</x:v>
      </x:c>
      <x:c r="J1492" s="50" t="n">
        <x:v>0.930024</x:v>
      </x:c>
      <x:c r="K1492" s="50" t="n">
        <x:v>0.295833</x:v>
      </x:c>
      <x:c r="L1492" s="47" t="n">
        <x:v>842.04</x:v>
      </x:c>
      <x:c r="M1492" s="47" t="n">
        <x:v>595.32</x:v>
      </x:c>
      <x:c r="N1492" s="28" t="str">
        <x:v>top-left</x:v>
      </x:c>
      <x:c r="O1492" s="28" t="str">
        <x:v>PDF points</x:v>
      </x:c>
    </x:row>
    <x:row r="1493" ht="22" customHeight="1">
      <x:c r="A1493" s="28" t="str">
        <x:v>ANC-SLE-052-MECH-03-R38</x:v>
      </x:c>
      <x:c r="B1493" s="28" t="str">
        <x:v>ANC-SLE-052-MECH-03</x:v>
      </x:c>
      <x:c r="C1493" s="28" t="n">
        <x:v>18</x:v>
      </x:c>
      <x:c r="D1493" s="47" t="n">
        <x:v>57</x:v>
      </x:c>
      <x:c r="E1493" s="47" t="n">
        <x:v>178.507</x:v>
      </x:c>
      <x:c r="F1493" s="47" t="n">
        <x:v>106.151</x:v>
      </x:c>
      <x:c r="G1493" s="47" t="n">
        <x:v>187.753</x:v>
      </x:c>
      <x:c r="H1493" s="50" t="n">
        <x:v>0.067693</x:v>
      </x:c>
      <x:c r="I1493" s="50" t="n">
        <x:v>0.299851</x:v>
      </x:c>
      <x:c r="J1493" s="50" t="n">
        <x:v>0.126064</x:v>
      </x:c>
      <x:c r="K1493" s="50" t="n">
        <x:v>0.315382</x:v>
      </x:c>
      <x:c r="L1493" s="47" t="n">
        <x:v>842.04</x:v>
      </x:c>
      <x:c r="M1493" s="47" t="n">
        <x:v>595.32</x:v>
      </x:c>
      <x:c r="N1493" s="28" t="str">
        <x:v>top-left</x:v>
      </x:c>
      <x:c r="O1493" s="28" t="str">
        <x:v>PDF points</x:v>
      </x:c>
    </x:row>
    <x:row r="1494" ht="22" customHeight="1">
      <x:c r="A1494" s="28" t="str">
        <x:v>ANC-SLE-052-MECH-03-R39</x:v>
      </x:c>
      <x:c r="B1494" s="28" t="str">
        <x:v>ANC-SLE-052-MECH-03</x:v>
      </x:c>
      <x:c r="C1494" s="28" t="n">
        <x:v>18</x:v>
      </x:c>
      <x:c r="D1494" s="47" t="n">
        <x:v>122.88</x:v>
      </x:c>
      <x:c r="E1494" s="47" t="n">
        <x:v>178.507</x:v>
      </x:c>
      <x:c r="F1494" s="47" t="n">
        <x:v>199.601</x:v>
      </x:c>
      <x:c r="G1494" s="47" t="n">
        <x:v>188.115</x:v>
      </x:c>
      <x:c r="H1494" s="50" t="n">
        <x:v>0.145931</x:v>
      </x:c>
      <x:c r="I1494" s="50" t="n">
        <x:v>0.299851</x:v>
      </x:c>
      <x:c r="J1494" s="50" t="n">
        <x:v>0.237045</x:v>
      </x:c>
      <x:c r="K1494" s="50" t="n">
        <x:v>0.31599</x:v>
      </x:c>
      <x:c r="L1494" s="47" t="n">
        <x:v>842.04</x:v>
      </x:c>
      <x:c r="M1494" s="47" t="n">
        <x:v>595.32</x:v>
      </x:c>
      <x:c r="N1494" s="28" t="str">
        <x:v>top-left</x:v>
      </x:c>
      <x:c r="O1494" s="28" t="str">
        <x:v>PDF points</x:v>
      </x:c>
    </x:row>
    <x:row r="1495" ht="22" customHeight="1">
      <x:c r="A1495" s="28" t="str">
        <x:v>ANC-SLE-052-MECH-03-R40</x:v>
      </x:c>
      <x:c r="B1495" s="28" t="str">
        <x:v>ANC-SLE-052-MECH-03</x:v>
      </x:c>
      <x:c r="C1495" s="28" t="n">
        <x:v>18</x:v>
      </x:c>
      <x:c r="D1495" s="47" t="n">
        <x:v>217.32</x:v>
      </x:c>
      <x:c r="E1495" s="47" t="n">
        <x:v>178.507</x:v>
      </x:c>
      <x:c r="F1495" s="47" t="n">
        <x:v>244.255</x:v>
      </x:c>
      <x:c r="G1495" s="47" t="n">
        <x:v>188.115</x:v>
      </x:c>
      <x:c r="H1495" s="50" t="n">
        <x:v>0.258088</x:v>
      </x:c>
      <x:c r="I1495" s="50" t="n">
        <x:v>0.299851</x:v>
      </x:c>
      <x:c r="J1495" s="50" t="n">
        <x:v>0.290075</x:v>
      </x:c>
      <x:c r="K1495" s="50" t="n">
        <x:v>0.31599</x:v>
      </x:c>
      <x:c r="L1495" s="47" t="n">
        <x:v>842.04</x:v>
      </x:c>
      <x:c r="M1495" s="47" t="n">
        <x:v>595.32</x:v>
      </x:c>
      <x:c r="N1495" s="28" t="str">
        <x:v>top-left</x:v>
      </x:c>
      <x:c r="O1495" s="28" t="str">
        <x:v>PDF points</x:v>
      </x:c>
    </x:row>
    <x:row r="1496" ht="22" customHeight="1">
      <x:c r="A1496" s="28" t="str">
        <x:v>ANC-SLE-053-ASP-R01</x:v>
      </x:c>
      <x:c r="B1496" s="28" t="str">
        <x:v>ANC-SLE-053-ASP</x:v>
      </x:c>
      <x:c r="C1496" s="28" t="n">
        <x:v>8</x:v>
      </x:c>
      <x:c r="D1496" s="47" t="n">
        <x:v>106.55</x:v>
      </x:c>
      <x:c r="E1496" s="47" t="n">
        <x:v>700.384</x:v>
      </x:c>
      <x:c r="F1496" s="47" t="n">
        <x:v>374.8</x:v>
      </x:c>
      <x:c r="G1496" s="47" t="n">
        <x:v>713.08</x:v>
      </x:c>
      <x:c r="H1496" s="50" t="n">
        <x:v>0.174102</x:v>
      </x:c>
      <x:c r="I1496" s="50" t="n">
        <x:v>0.884323</x:v>
      </x:c>
      <x:c r="J1496" s="50" t="n">
        <x:v>0.612419</x:v>
      </x:c>
      <x:c r="K1496" s="50" t="n">
        <x:v>0.900353</x:v>
      </x:c>
      <x:c r="L1496" s="47" t="n">
        <x:v>612</x:v>
      </x:c>
      <x:c r="M1496" s="47" t="n">
        <x:v>792</x:v>
      </x:c>
      <x:c r="N1496" s="28" t="str">
        <x:v>top-left</x:v>
      </x:c>
      <x:c r="O1496" s="28" t="str">
        <x:v>PDF points</x:v>
      </x:c>
    </x:row>
    <x:row r="1497" ht="22" customHeight="1">
      <x:c r="A1497" s="28" t="str">
        <x:v>ANC-SLE-053-MECH-01-R01</x:v>
      </x:c>
      <x:c r="B1497" s="28" t="str">
        <x:v>ANC-SLE-053-MECH-01</x:v>
      </x:c>
      <x:c r="C1497" s="28" t="n">
        <x:v>17</x:v>
      </x:c>
      <x:c r="D1497" s="47" t="n">
        <x:v>217.32</x:v>
      </x:c>
      <x:c r="E1497" s="47" t="n">
        <x:v>193.507</x:v>
      </x:c>
      <x:c r="F1497" s="47" t="n">
        <x:v>433.13</x:v>
      </x:c>
      <x:c r="G1497" s="47" t="n">
        <x:v>203.115</x:v>
      </x:c>
      <x:c r="H1497" s="50" t="n">
        <x:v>0.258088</x:v>
      </x:c>
      <x:c r="I1497" s="50" t="n">
        <x:v>0.325048</x:v>
      </x:c>
      <x:c r="J1497" s="50" t="n">
        <x:v>0.514381</x:v>
      </x:c>
      <x:c r="K1497" s="50" t="n">
        <x:v>0.341186</x:v>
      </x:c>
      <x:c r="L1497" s="47" t="n">
        <x:v>842.04</x:v>
      </x:c>
      <x:c r="M1497" s="47" t="n">
        <x:v>595.32</x:v>
      </x:c>
      <x:c r="N1497" s="28" t="str">
        <x:v>top-left</x:v>
      </x:c>
      <x:c r="O1497" s="28" t="str">
        <x:v>PDF points</x:v>
      </x:c>
    </x:row>
    <x:row r="1498" ht="22" customHeight="1">
      <x:c r="A1498" s="28" t="str">
        <x:v>ANC-SLE-053-MECH-01-R02</x:v>
      </x:c>
      <x:c r="B1498" s="28" t="str">
        <x:v>ANC-SLE-053-MECH-01</x:v>
      </x:c>
      <x:c r="C1498" s="28" t="n">
        <x:v>17</x:v>
      </x:c>
      <x:c r="D1498" s="47" t="n">
        <x:v>217.32</x:v>
      </x:c>
      <x:c r="E1498" s="47" t="n">
        <x:v>202.147</x:v>
      </x:c>
      <x:c r="F1498" s="47" t="n">
        <x:v>317.966</x:v>
      </x:c>
      <x:c r="G1498" s="47" t="n">
        <x:v>211.755</x:v>
      </x:c>
      <x:c r="H1498" s="50" t="n">
        <x:v>0.258088</x:v>
      </x:c>
      <x:c r="I1498" s="50" t="n">
        <x:v>0.339561</x:v>
      </x:c>
      <x:c r="J1498" s="50" t="n">
        <x:v>0.377614</x:v>
      </x:c>
      <x:c r="K1498" s="50" t="n">
        <x:v>0.3557</x:v>
      </x:c>
      <x:c r="L1498" s="47" t="n">
        <x:v>842.04</x:v>
      </x:c>
      <x:c r="M1498" s="47" t="n">
        <x:v>595.32</x:v>
      </x:c>
      <x:c r="N1498" s="28" t="str">
        <x:v>top-left</x:v>
      </x:c>
      <x:c r="O1498" s="28" t="str">
        <x:v>PDF points</x:v>
      </x:c>
    </x:row>
    <x:row r="1499" ht="22" customHeight="1">
      <x:c r="A1499" s="28" t="str">
        <x:v>ANC-SLE-053-MECH-02-R01</x:v>
      </x:c>
      <x:c r="B1499" s="28" t="str">
        <x:v>ANC-SLE-053-MECH-02</x:v>
      </x:c>
      <x:c r="C1499" s="28" t="n">
        <x:v>17</x:v>
      </x:c>
      <x:c r="D1499" s="47" t="n">
        <x:v>122.88</x:v>
      </x:c>
      <x:c r="E1499" s="47" t="n">
        <x:v>201.674</x:v>
      </x:c>
      <x:c r="F1499" s="47" t="n">
        <x:v>195.405</x:v>
      </x:c>
      <x:c r="G1499" s="47" t="n">
        <x:v>211.282</x:v>
      </x:c>
      <x:c r="H1499" s="50" t="n">
        <x:v>0.145931</x:v>
      </x:c>
      <x:c r="I1499" s="50" t="n">
        <x:v>0.338766</x:v>
      </x:c>
      <x:c r="J1499" s="50" t="n">
        <x:v>0.232061</x:v>
      </x:c>
      <x:c r="K1499" s="50" t="n">
        <x:v>0.354905</x:v>
      </x:c>
      <x:c r="L1499" s="47" t="n">
        <x:v>842.04</x:v>
      </x:c>
      <x:c r="M1499" s="47" t="n">
        <x:v>595.32</x:v>
      </x:c>
      <x:c r="N1499" s="28" t="str">
        <x:v>top-left</x:v>
      </x:c>
      <x:c r="O1499" s="28" t="str">
        <x:v>PDF points</x:v>
      </x:c>
    </x:row>
    <x:row r="1500" ht="22" customHeight="1">
      <x:c r="A1500" s="28" t="str">
        <x:v>ANC-SLE-053-MECH-02-R02</x:v>
      </x:c>
      <x:c r="B1500" s="28" t="str">
        <x:v>ANC-SLE-053-MECH-02</x:v>
      </x:c>
      <x:c r="C1500" s="28" t="n">
        <x:v>17</x:v>
      </x:c>
      <x:c r="D1500" s="47" t="n">
        <x:v>274.685</x:v>
      </x:c>
      <x:c r="E1500" s="47" t="n">
        <x:v>193.507</x:v>
      </x:c>
      <x:c r="F1500" s="47" t="n">
        <x:v>433.13</x:v>
      </x:c>
      <x:c r="G1500" s="47" t="n">
        <x:v>203.115</x:v>
      </x:c>
      <x:c r="H1500" s="50" t="n">
        <x:v>0.326213</x:v>
      </x:c>
      <x:c r="I1500" s="50" t="n">
        <x:v>0.325048</x:v>
      </x:c>
      <x:c r="J1500" s="50" t="n">
        <x:v>0.514381</x:v>
      </x:c>
      <x:c r="K1500" s="50" t="n">
        <x:v>0.341186</x:v>
      </x:c>
      <x:c r="L1500" s="47" t="n">
        <x:v>842.04</x:v>
      </x:c>
      <x:c r="M1500" s="47" t="n">
        <x:v>595.32</x:v>
      </x:c>
      <x:c r="N1500" s="28" t="str">
        <x:v>top-left</x:v>
      </x:c>
      <x:c r="O1500" s="28" t="str">
        <x:v>PDF points</x:v>
      </x:c>
    </x:row>
    <x:row r="1501" ht="22" customHeight="1">
      <x:c r="A1501" s="28" t="str">
        <x:v>ANC-SLE-053-MECH-02-R03</x:v>
      </x:c>
      <x:c r="B1501" s="28" t="str">
        <x:v>ANC-SLE-053-MECH-02</x:v>
      </x:c>
      <x:c r="C1501" s="28" t="n">
        <x:v>17</x:v>
      </x:c>
      <x:c r="D1501" s="47" t="n">
        <x:v>217.32</x:v>
      </x:c>
      <x:c r="E1501" s="47" t="n">
        <x:v>202.147</x:v>
      </x:c>
      <x:c r="F1501" s="47" t="n">
        <x:v>317.966</x:v>
      </x:c>
      <x:c r="G1501" s="47" t="n">
        <x:v>211.755</x:v>
      </x:c>
      <x:c r="H1501" s="50" t="n">
        <x:v>0.258088</x:v>
      </x:c>
      <x:c r="I1501" s="50" t="n">
        <x:v>0.339561</x:v>
      </x:c>
      <x:c r="J1501" s="50" t="n">
        <x:v>0.377614</x:v>
      </x:c>
      <x:c r="K1501" s="50" t="n">
        <x:v>0.3557</x:v>
      </x:c>
      <x:c r="L1501" s="47" t="n">
        <x:v>842.04</x:v>
      </x:c>
      <x:c r="M1501" s="47" t="n">
        <x:v>595.32</x:v>
      </x:c>
      <x:c r="N1501" s="28" t="str">
        <x:v>top-left</x:v>
      </x:c>
      <x:c r="O1501" s="28" t="str">
        <x:v>PDF points</x:v>
      </x:c>
    </x:row>
    <x:row r="1502" ht="22" customHeight="1">
      <x:c r="A1502" s="28" t="str">
        <x:v>ANC-SLE-053-MECH-02-R04</x:v>
      </x:c>
      <x:c r="B1502" s="28" t="str">
        <x:v>ANC-SLE-053-MECH-02</x:v>
      </x:c>
      <x:c r="C1502" s="28" t="n">
        <x:v>17</x:v>
      </x:c>
      <x:c r="D1502" s="47" t="n">
        <x:v>476.28</x:v>
      </x:c>
      <x:c r="E1502" s="47" t="n">
        <x:v>197.827</x:v>
      </x:c>
      <x:c r="F1502" s="47" t="n">
        <x:v>491.398</x:v>
      </x:c>
      <x:c r="G1502" s="47" t="n">
        <x:v>207.435</x:v>
      </x:c>
      <x:c r="H1502" s="50" t="n">
        <x:v>0.565626</x:v>
      </x:c>
      <x:c r="I1502" s="50" t="n">
        <x:v>0.332304</x:v>
      </x:c>
      <x:c r="J1502" s="50" t="n">
        <x:v>0.58358</x:v>
      </x:c>
      <x:c r="K1502" s="50" t="n">
        <x:v>0.348443</x:v>
      </x:c>
      <x:c r="L1502" s="47" t="n">
        <x:v>842.04</x:v>
      </x:c>
      <x:c r="M1502" s="47" t="n">
        <x:v>595.32</x:v>
      </x:c>
      <x:c r="N1502" s="28" t="str">
        <x:v>top-left</x:v>
      </x:c>
      <x:c r="O1502" s="28" t="str">
        <x:v>PDF points</x:v>
      </x:c>
    </x:row>
    <x:row r="1503" ht="22" customHeight="1">
      <x:c r="A1503" s="28" t="str">
        <x:v>ANC-SLE-053-MECH-02-R05</x:v>
      </x:c>
      <x:c r="B1503" s="28" t="str">
        <x:v>ANC-SLE-053-MECH-02</x:v>
      </x:c>
      <x:c r="C1503" s="28" t="n">
        <x:v>17</x:v>
      </x:c>
      <x:c r="D1503" s="47" t="n">
        <x:v>526.924</x:v>
      </x:c>
      <x:c r="E1503" s="47" t="n">
        <x:v>197.827</x:v>
      </x:c>
      <x:c r="F1503" s="47" t="n">
        <x:v>542.042</x:v>
      </x:c>
      <x:c r="G1503" s="47" t="n">
        <x:v>207.435</x:v>
      </x:c>
      <x:c r="H1503" s="50" t="n">
        <x:v>0.625771</x:v>
      </x:c>
      <x:c r="I1503" s="50" t="n">
        <x:v>0.332304</x:v>
      </x:c>
      <x:c r="J1503" s="50" t="n">
        <x:v>0.643724</x:v>
      </x:c>
      <x:c r="K1503" s="50" t="n">
        <x:v>0.348443</x:v>
      </x:c>
      <x:c r="L1503" s="47" t="n">
        <x:v>842.04</x:v>
      </x:c>
      <x:c r="M1503" s="47" t="n">
        <x:v>595.32</x:v>
      </x:c>
      <x:c r="N1503" s="28" t="str">
        <x:v>top-left</x:v>
      </x:c>
      <x:c r="O1503" s="28" t="str">
        <x:v>PDF points</x:v>
      </x:c>
    </x:row>
    <x:row r="1504" ht="22" customHeight="1">
      <x:c r="A1504" s="28" t="str">
        <x:v>ANC-SLE-053-MECH-02-R06</x:v>
      </x:c>
      <x:c r="B1504" s="28" t="str">
        <x:v>ANC-SLE-053-MECH-02</x:v>
      </x:c>
      <x:c r="C1504" s="28" t="n">
        <x:v>17</x:v>
      </x:c>
      <x:c r="D1504" s="47" t="n">
        <x:v>576.482</x:v>
      </x:c>
      <x:c r="E1504" s="47" t="n">
        <x:v>197.827</x:v>
      </x:c>
      <x:c r="F1504" s="47" t="n">
        <x:v>591.6</x:v>
      </x:c>
      <x:c r="G1504" s="47" t="n">
        <x:v>207.435</x:v>
      </x:c>
      <x:c r="H1504" s="50" t="n">
        <x:v>0.684626</x:v>
      </x:c>
      <x:c r="I1504" s="50" t="n">
        <x:v>0.332304</x:v>
      </x:c>
      <x:c r="J1504" s="50" t="n">
        <x:v>0.70258</x:v>
      </x:c>
      <x:c r="K1504" s="50" t="n">
        <x:v>0.348443</x:v>
      </x:c>
      <x:c r="L1504" s="47" t="n">
        <x:v>842.04</x:v>
      </x:c>
      <x:c r="M1504" s="47" t="n">
        <x:v>595.32</x:v>
      </x:c>
      <x:c r="N1504" s="28" t="str">
        <x:v>top-left</x:v>
      </x:c>
      <x:c r="O1504" s="28" t="str">
        <x:v>PDF points</x:v>
      </x:c>
    </x:row>
    <x:row r="1505" ht="22" customHeight="1">
      <x:c r="A1505" s="28" t="str">
        <x:v>ANC-SLE-053-MECH-02-R07</x:v>
      </x:c>
      <x:c r="B1505" s="28" t="str">
        <x:v>ANC-SLE-053-MECH-02</x:v>
      </x:c>
      <x:c r="C1505" s="28" t="n">
        <x:v>17</x:v>
      </x:c>
      <x:c r="D1505" s="47" t="n">
        <x:v>616.92</x:v>
      </x:c>
      <x:c r="E1505" s="47" t="n">
        <x:v>197.827</x:v>
      </x:c>
      <x:c r="F1505" s="47" t="n">
        <x:v>632.038</x:v>
      </x:c>
      <x:c r="G1505" s="47" t="n">
        <x:v>207.435</x:v>
      </x:c>
      <x:c r="H1505" s="50" t="n">
        <x:v>0.732649</x:v>
      </x:c>
      <x:c r="I1505" s="50" t="n">
        <x:v>0.332304</x:v>
      </x:c>
      <x:c r="J1505" s="50" t="n">
        <x:v>0.750603</x:v>
      </x:c>
      <x:c r="K1505" s="50" t="n">
        <x:v>0.348443</x:v>
      </x:c>
      <x:c r="L1505" s="47" t="n">
        <x:v>842.04</x:v>
      </x:c>
      <x:c r="M1505" s="47" t="n">
        <x:v>595.32</x:v>
      </x:c>
      <x:c r="N1505" s="28" t="str">
        <x:v>top-left</x:v>
      </x:c>
      <x:c r="O1505" s="28" t="str">
        <x:v>PDF points</x:v>
      </x:c>
    </x:row>
    <x:row r="1506" ht="22" customHeight="1">
      <x:c r="A1506" s="28" t="str">
        <x:v>ANC-SLE-053-MECH-02-R08</x:v>
      </x:c>
      <x:c r="B1506" s="28" t="str">
        <x:v>ANC-SLE-053-MECH-02</x:v>
      </x:c>
      <x:c r="C1506" s="28" t="n">
        <x:v>17</x:v>
      </x:c>
      <x:c r="D1506" s="47" t="n">
        <x:v>656.52</x:v>
      </x:c>
      <x:c r="E1506" s="47" t="n">
        <x:v>197.827</x:v>
      </x:c>
      <x:c r="F1506" s="47" t="n">
        <x:v>671.638</x:v>
      </x:c>
      <x:c r="G1506" s="47" t="n">
        <x:v>207.435</x:v>
      </x:c>
      <x:c r="H1506" s="50" t="n">
        <x:v>0.779678</x:v>
      </x:c>
      <x:c r="I1506" s="50" t="n">
        <x:v>0.332304</x:v>
      </x:c>
      <x:c r="J1506" s="50" t="n">
        <x:v>0.797632</x:v>
      </x:c>
      <x:c r="K1506" s="50" t="n">
        <x:v>0.348443</x:v>
      </x:c>
      <x:c r="L1506" s="47" t="n">
        <x:v>842.04</x:v>
      </x:c>
      <x:c r="M1506" s="47" t="n">
        <x:v>595.32</x:v>
      </x:c>
      <x:c r="N1506" s="28" t="str">
        <x:v>top-left</x:v>
      </x:c>
      <x:c r="O1506" s="28" t="str">
        <x:v>PDF points</x:v>
      </x:c>
    </x:row>
    <x:row r="1507" ht="22" customHeight="1">
      <x:c r="A1507" s="28" t="str">
        <x:v>ANC-SLE-053-MECH-02-R09</x:v>
      </x:c>
      <x:c r="B1507" s="28" t="str">
        <x:v>ANC-SLE-053-MECH-02</x:v>
      </x:c>
      <x:c r="C1507" s="28" t="n">
        <x:v>17</x:v>
      </x:c>
      <x:c r="D1507" s="47" t="n">
        <x:v>696.004</x:v>
      </x:c>
      <x:c r="E1507" s="47" t="n">
        <x:v>197.827</x:v>
      </x:c>
      <x:c r="F1507" s="47" t="n">
        <x:v>711.122</x:v>
      </x:c>
      <x:c r="G1507" s="47" t="n">
        <x:v>207.435</x:v>
      </x:c>
      <x:c r="H1507" s="50" t="n">
        <x:v>0.826569</x:v>
      </x:c>
      <x:c r="I1507" s="50" t="n">
        <x:v>0.332304</x:v>
      </x:c>
      <x:c r="J1507" s="50" t="n">
        <x:v>0.844523</x:v>
      </x:c>
      <x:c r="K1507" s="50" t="n">
        <x:v>0.348443</x:v>
      </x:c>
      <x:c r="L1507" s="47" t="n">
        <x:v>842.04</x:v>
      </x:c>
      <x:c r="M1507" s="47" t="n">
        <x:v>595.32</x:v>
      </x:c>
      <x:c r="N1507" s="28" t="str">
        <x:v>top-left</x:v>
      </x:c>
      <x:c r="O1507" s="28" t="str">
        <x:v>PDF points</x:v>
      </x:c>
    </x:row>
    <x:row r="1508" ht="22" customHeight="1">
      <x:c r="A1508" s="28" t="str">
        <x:v>ANC-SLE-053-MECH-02-R10</x:v>
      </x:c>
      <x:c r="B1508" s="28" t="str">
        <x:v>ANC-SLE-053-MECH-02</x:v>
      </x:c>
      <x:c r="C1508" s="28" t="n">
        <x:v>17</x:v>
      </x:c>
      <x:c r="D1508" s="47" t="n">
        <x:v>731.887</x:v>
      </x:c>
      <x:c r="E1508" s="47" t="n">
        <x:v>197.827</x:v>
      </x:c>
      <x:c r="F1508" s="47" t="n">
        <x:v>747.005</x:v>
      </x:c>
      <x:c r="G1508" s="47" t="n">
        <x:v>207.435</x:v>
      </x:c>
      <x:c r="H1508" s="50" t="n">
        <x:v>0.869183</x:v>
      </x:c>
      <x:c r="I1508" s="50" t="n">
        <x:v>0.332304</x:v>
      </x:c>
      <x:c r="J1508" s="50" t="n">
        <x:v>0.887137</x:v>
      </x:c>
      <x:c r="K1508" s="50" t="n">
        <x:v>0.348443</x:v>
      </x:c>
      <x:c r="L1508" s="47" t="n">
        <x:v>842.04</x:v>
      </x:c>
      <x:c r="M1508" s="47" t="n">
        <x:v>595.32</x:v>
      </x:c>
      <x:c r="N1508" s="28" t="str">
        <x:v>top-left</x:v>
      </x:c>
      <x:c r="O1508" s="28" t="str">
        <x:v>PDF points</x:v>
      </x:c>
    </x:row>
    <x:row r="1509" ht="22" customHeight="1">
      <x:c r="A1509" s="28" t="str">
        <x:v>ANC-SLE-053-MECH-02-R11</x:v>
      </x:c>
      <x:c r="B1509" s="28" t="str">
        <x:v>ANC-SLE-053-MECH-02</x:v>
      </x:c>
      <x:c r="C1509" s="28" t="n">
        <x:v>17</x:v>
      </x:c>
      <x:c r="D1509" s="47" t="n">
        <x:v>768.011</x:v>
      </x:c>
      <x:c r="E1509" s="47" t="n">
        <x:v>197.827</x:v>
      </x:c>
      <x:c r="F1509" s="47" t="n">
        <x:v>783.128</x:v>
      </x:c>
      <x:c r="G1509" s="47" t="n">
        <x:v>207.435</x:v>
      </x:c>
      <x:c r="H1509" s="50" t="n">
        <x:v>0.912083</x:v>
      </x:c>
      <x:c r="I1509" s="50" t="n">
        <x:v>0.332304</x:v>
      </x:c>
      <x:c r="J1509" s="50" t="n">
        <x:v>0.930037</x:v>
      </x:c>
      <x:c r="K1509" s="50" t="n">
        <x:v>0.348443</x:v>
      </x:c>
      <x:c r="L1509" s="47" t="n">
        <x:v>842.04</x:v>
      </x:c>
      <x:c r="M1509" s="47" t="n">
        <x:v>595.32</x:v>
      </x:c>
      <x:c r="N1509" s="28" t="str">
        <x:v>top-left</x:v>
      </x:c>
      <x:c r="O1509" s="28" t="str">
        <x:v>PDF points</x:v>
      </x:c>
    </x:row>
    <x:row r="1510" ht="22" customHeight="1">
      <x:c r="A1510" s="28" t="str">
        <x:v>ANC-SLE-053-MECH-02-R12</x:v>
      </x:c>
      <x:c r="B1510" s="28" t="str">
        <x:v>ANC-SLE-053-MECH-02</x:v>
      </x:c>
      <x:c r="C1510" s="28" t="n">
        <x:v>17</x:v>
      </x:c>
      <x:c r="D1510" s="47" t="n">
        <x:v>217.32</x:v>
      </x:c>
      <x:c r="E1510" s="47" t="n">
        <x:v>211.387</x:v>
      </x:c>
      <x:c r="F1510" s="47" t="n">
        <x:v>407.119</x:v>
      </x:c>
      <x:c r="G1510" s="47" t="n">
        <x:v>220.995</x:v>
      </x:c>
      <x:c r="H1510" s="50" t="n">
        <x:v>0.258088</x:v>
      </x:c>
      <x:c r="I1510" s="50" t="n">
        <x:v>0.355082</x:v>
      </x:c>
      <x:c r="J1510" s="50" t="n">
        <x:v>0.483492</x:v>
      </x:c>
      <x:c r="K1510" s="50" t="n">
        <x:v>0.371221</x:v>
      </x:c>
      <x:c r="L1510" s="47" t="n">
        <x:v>842.04</x:v>
      </x:c>
      <x:c r="M1510" s="47" t="n">
        <x:v>595.32</x:v>
      </x:c>
      <x:c r="N1510" s="28" t="str">
        <x:v>top-left</x:v>
      </x:c>
      <x:c r="O1510" s="28" t="str">
        <x:v>PDF points</x:v>
      </x:c>
    </x:row>
    <x:row r="1511" ht="22" customHeight="1">
      <x:c r="A1511" s="28" t="str">
        <x:v>ANC-SLE-053-MECH-02-R13</x:v>
      </x:c>
      <x:c r="B1511" s="28" t="str">
        <x:v>ANC-SLE-053-MECH-02</x:v>
      </x:c>
      <x:c r="C1511" s="28" t="n">
        <x:v>17</x:v>
      </x:c>
      <x:c r="D1511" s="47" t="n">
        <x:v>476.28</x:v>
      </x:c>
      <x:c r="E1511" s="47" t="n">
        <x:v>214.147</x:v>
      </x:c>
      <x:c r="F1511" s="47" t="n">
        <x:v>491.398</x:v>
      </x:c>
      <x:c r="G1511" s="47" t="n">
        <x:v>223.755</x:v>
      </x:c>
      <x:c r="H1511" s="50" t="n">
        <x:v>0.565626</x:v>
      </x:c>
      <x:c r="I1511" s="50" t="n">
        <x:v>0.359718</x:v>
      </x:c>
      <x:c r="J1511" s="50" t="n">
        <x:v>0.58358</x:v>
      </x:c>
      <x:c r="K1511" s="50" t="n">
        <x:v>0.375857</x:v>
      </x:c>
      <x:c r="L1511" s="47" t="n">
        <x:v>842.04</x:v>
      </x:c>
      <x:c r="M1511" s="47" t="n">
        <x:v>595.32</x:v>
      </x:c>
      <x:c r="N1511" s="28" t="str">
        <x:v>top-left</x:v>
      </x:c>
      <x:c r="O1511" s="28" t="str">
        <x:v>PDF points</x:v>
      </x:c>
    </x:row>
    <x:row r="1512" ht="22" customHeight="1">
      <x:c r="A1512" s="28" t="str">
        <x:v>ANC-SLE-053-MECH-02-R14</x:v>
      </x:c>
      <x:c r="B1512" s="28" t="str">
        <x:v>ANC-SLE-053-MECH-02</x:v>
      </x:c>
      <x:c r="C1512" s="28" t="n">
        <x:v>17</x:v>
      </x:c>
      <x:c r="D1512" s="47" t="n">
        <x:v>526.924</x:v>
      </x:c>
      <x:c r="E1512" s="47" t="n">
        <x:v>214.147</x:v>
      </x:c>
      <x:c r="F1512" s="47" t="n">
        <x:v>542.042</x:v>
      </x:c>
      <x:c r="G1512" s="47" t="n">
        <x:v>223.755</x:v>
      </x:c>
      <x:c r="H1512" s="50" t="n">
        <x:v>0.625771</x:v>
      </x:c>
      <x:c r="I1512" s="50" t="n">
        <x:v>0.359718</x:v>
      </x:c>
      <x:c r="J1512" s="50" t="n">
        <x:v>0.643724</x:v>
      </x:c>
      <x:c r="K1512" s="50" t="n">
        <x:v>0.375857</x:v>
      </x:c>
      <x:c r="L1512" s="47" t="n">
        <x:v>842.04</x:v>
      </x:c>
      <x:c r="M1512" s="47" t="n">
        <x:v>595.32</x:v>
      </x:c>
      <x:c r="N1512" s="28" t="str">
        <x:v>top-left</x:v>
      </x:c>
      <x:c r="O1512" s="28" t="str">
        <x:v>PDF points</x:v>
      </x:c>
    </x:row>
    <x:row r="1513" ht="22" customHeight="1">
      <x:c r="A1513" s="28" t="str">
        <x:v>ANC-SLE-053-MECH-02-R15</x:v>
      </x:c>
      <x:c r="B1513" s="28" t="str">
        <x:v>ANC-SLE-053-MECH-02</x:v>
      </x:c>
      <x:c r="C1513" s="28" t="n">
        <x:v>17</x:v>
      </x:c>
      <x:c r="D1513" s="47" t="n">
        <x:v>576.482</x:v>
      </x:c>
      <x:c r="E1513" s="47" t="n">
        <x:v>214.147</x:v>
      </x:c>
      <x:c r="F1513" s="47" t="n">
        <x:v>591.6</x:v>
      </x:c>
      <x:c r="G1513" s="47" t="n">
        <x:v>223.755</x:v>
      </x:c>
      <x:c r="H1513" s="50" t="n">
        <x:v>0.684626</x:v>
      </x:c>
      <x:c r="I1513" s="50" t="n">
        <x:v>0.359718</x:v>
      </x:c>
      <x:c r="J1513" s="50" t="n">
        <x:v>0.70258</x:v>
      </x:c>
      <x:c r="K1513" s="50" t="n">
        <x:v>0.375857</x:v>
      </x:c>
      <x:c r="L1513" s="47" t="n">
        <x:v>842.04</x:v>
      </x:c>
      <x:c r="M1513" s="47" t="n">
        <x:v>595.32</x:v>
      </x:c>
      <x:c r="N1513" s="28" t="str">
        <x:v>top-left</x:v>
      </x:c>
      <x:c r="O1513" s="28" t="str">
        <x:v>PDF points</x:v>
      </x:c>
    </x:row>
    <x:row r="1514" ht="22" customHeight="1">
      <x:c r="A1514" s="28" t="str">
        <x:v>ANC-SLE-053-MECH-02-R16</x:v>
      </x:c>
      <x:c r="B1514" s="28" t="str">
        <x:v>ANC-SLE-053-MECH-02</x:v>
      </x:c>
      <x:c r="C1514" s="28" t="n">
        <x:v>17</x:v>
      </x:c>
      <x:c r="D1514" s="47" t="n">
        <x:v>616.92</x:v>
      </x:c>
      <x:c r="E1514" s="47" t="n">
        <x:v>214.147</x:v>
      </x:c>
      <x:c r="F1514" s="47" t="n">
        <x:v>632.038</x:v>
      </x:c>
      <x:c r="G1514" s="47" t="n">
        <x:v>223.755</x:v>
      </x:c>
      <x:c r="H1514" s="50" t="n">
        <x:v>0.732649</x:v>
      </x:c>
      <x:c r="I1514" s="50" t="n">
        <x:v>0.359718</x:v>
      </x:c>
      <x:c r="J1514" s="50" t="n">
        <x:v>0.750603</x:v>
      </x:c>
      <x:c r="K1514" s="50" t="n">
        <x:v>0.375857</x:v>
      </x:c>
      <x:c r="L1514" s="47" t="n">
        <x:v>842.04</x:v>
      </x:c>
      <x:c r="M1514" s="47" t="n">
        <x:v>595.32</x:v>
      </x:c>
      <x:c r="N1514" s="28" t="str">
        <x:v>top-left</x:v>
      </x:c>
      <x:c r="O1514" s="28" t="str">
        <x:v>PDF points</x:v>
      </x:c>
    </x:row>
    <x:row r="1515" ht="22" customHeight="1">
      <x:c r="A1515" s="28" t="str">
        <x:v>ANC-SLE-053-MECH-02-R17</x:v>
      </x:c>
      <x:c r="B1515" s="28" t="str">
        <x:v>ANC-SLE-053-MECH-02</x:v>
      </x:c>
      <x:c r="C1515" s="28" t="n">
        <x:v>17</x:v>
      </x:c>
      <x:c r="D1515" s="47" t="n">
        <x:v>656.52</x:v>
      </x:c>
      <x:c r="E1515" s="47" t="n">
        <x:v>214.147</x:v>
      </x:c>
      <x:c r="F1515" s="47" t="n">
        <x:v>671.638</x:v>
      </x:c>
      <x:c r="G1515" s="47" t="n">
        <x:v>223.755</x:v>
      </x:c>
      <x:c r="H1515" s="50" t="n">
        <x:v>0.779678</x:v>
      </x:c>
      <x:c r="I1515" s="50" t="n">
        <x:v>0.359718</x:v>
      </x:c>
      <x:c r="J1515" s="50" t="n">
        <x:v>0.797632</x:v>
      </x:c>
      <x:c r="K1515" s="50" t="n">
        <x:v>0.375857</x:v>
      </x:c>
      <x:c r="L1515" s="47" t="n">
        <x:v>842.04</x:v>
      </x:c>
      <x:c r="M1515" s="47" t="n">
        <x:v>595.32</x:v>
      </x:c>
      <x:c r="N1515" s="28" t="str">
        <x:v>top-left</x:v>
      </x:c>
      <x:c r="O1515" s="28" t="str">
        <x:v>PDF points</x:v>
      </x:c>
    </x:row>
    <x:row r="1516" ht="22" customHeight="1">
      <x:c r="A1516" s="28" t="str">
        <x:v>ANC-SLE-053-MECH-02-R18</x:v>
      </x:c>
      <x:c r="B1516" s="28" t="str">
        <x:v>ANC-SLE-053-MECH-02</x:v>
      </x:c>
      <x:c r="C1516" s="28" t="n">
        <x:v>17</x:v>
      </x:c>
      <x:c r="D1516" s="47" t="n">
        <x:v>696.004</x:v>
      </x:c>
      <x:c r="E1516" s="47" t="n">
        <x:v>214.147</x:v>
      </x:c>
      <x:c r="F1516" s="47" t="n">
        <x:v>711.122</x:v>
      </x:c>
      <x:c r="G1516" s="47" t="n">
        <x:v>223.755</x:v>
      </x:c>
      <x:c r="H1516" s="50" t="n">
        <x:v>0.826569</x:v>
      </x:c>
      <x:c r="I1516" s="50" t="n">
        <x:v>0.359718</x:v>
      </x:c>
      <x:c r="J1516" s="50" t="n">
        <x:v>0.844523</x:v>
      </x:c>
      <x:c r="K1516" s="50" t="n">
        <x:v>0.375857</x:v>
      </x:c>
      <x:c r="L1516" s="47" t="n">
        <x:v>842.04</x:v>
      </x:c>
      <x:c r="M1516" s="47" t="n">
        <x:v>595.32</x:v>
      </x:c>
      <x:c r="N1516" s="28" t="str">
        <x:v>top-left</x:v>
      </x:c>
      <x:c r="O1516" s="28" t="str">
        <x:v>PDF points</x:v>
      </x:c>
    </x:row>
    <x:row r="1517" ht="22" customHeight="1">
      <x:c r="A1517" s="28" t="str">
        <x:v>ANC-SLE-053-MECH-02-R19</x:v>
      </x:c>
      <x:c r="B1517" s="28" t="str">
        <x:v>ANC-SLE-053-MECH-02</x:v>
      </x:c>
      <x:c r="C1517" s="28" t="n">
        <x:v>17</x:v>
      </x:c>
      <x:c r="D1517" s="47" t="n">
        <x:v>731.887</x:v>
      </x:c>
      <x:c r="E1517" s="47" t="n">
        <x:v>214.147</x:v>
      </x:c>
      <x:c r="F1517" s="47" t="n">
        <x:v>747.005</x:v>
      </x:c>
      <x:c r="G1517" s="47" t="n">
        <x:v>223.755</x:v>
      </x:c>
      <x:c r="H1517" s="50" t="n">
        <x:v>0.869183</x:v>
      </x:c>
      <x:c r="I1517" s="50" t="n">
        <x:v>0.359718</x:v>
      </x:c>
      <x:c r="J1517" s="50" t="n">
        <x:v>0.887137</x:v>
      </x:c>
      <x:c r="K1517" s="50" t="n">
        <x:v>0.375857</x:v>
      </x:c>
      <x:c r="L1517" s="47" t="n">
        <x:v>842.04</x:v>
      </x:c>
      <x:c r="M1517" s="47" t="n">
        <x:v>595.32</x:v>
      </x:c>
      <x:c r="N1517" s="28" t="str">
        <x:v>top-left</x:v>
      </x:c>
      <x:c r="O1517" s="28" t="str">
        <x:v>PDF points</x:v>
      </x:c>
    </x:row>
    <x:row r="1518" ht="22" customHeight="1">
      <x:c r="A1518" s="28" t="str">
        <x:v>ANC-SLE-053-MECH-02-R20</x:v>
      </x:c>
      <x:c r="B1518" s="28" t="str">
        <x:v>ANC-SLE-053-MECH-02</x:v>
      </x:c>
      <x:c r="C1518" s="28" t="n">
        <x:v>17</x:v>
      </x:c>
      <x:c r="D1518" s="47" t="n">
        <x:v>768.011</x:v>
      </x:c>
      <x:c r="E1518" s="47" t="n">
        <x:v>214.147</x:v>
      </x:c>
      <x:c r="F1518" s="47" t="n">
        <x:v>783.128</x:v>
      </x:c>
      <x:c r="G1518" s="47" t="n">
        <x:v>223.755</x:v>
      </x:c>
      <x:c r="H1518" s="50" t="n">
        <x:v>0.912083</x:v>
      </x:c>
      <x:c r="I1518" s="50" t="n">
        <x:v>0.359718</x:v>
      </x:c>
      <x:c r="J1518" s="50" t="n">
        <x:v>0.930037</x:v>
      </x:c>
      <x:c r="K1518" s="50" t="n">
        <x:v>0.375857</x:v>
      </x:c>
      <x:c r="L1518" s="47" t="n">
        <x:v>842.04</x:v>
      </x:c>
      <x:c r="M1518" s="47" t="n">
        <x:v>595.32</x:v>
      </x:c>
      <x:c r="N1518" s="28" t="str">
        <x:v>top-left</x:v>
      </x:c>
      <x:c r="O1518" s="28" t="str">
        <x:v>PDF points</x:v>
      </x:c>
    </x:row>
    <x:row r="1519" ht="22" customHeight="1">
      <x:c r="A1519" s="28" t="str">
        <x:v>ANC-SLE-053-MECH-02-R21</x:v>
      </x:c>
      <x:c r="B1519" s="28" t="str">
        <x:v>ANC-SLE-053-MECH-02</x:v>
      </x:c>
      <x:c r="C1519" s="28" t="n">
        <x:v>17</x:v>
      </x:c>
      <x:c r="D1519" s="47" t="n">
        <x:v>217.32</x:v>
      </x:c>
      <x:c r="E1519" s="47" t="n">
        <x:v>226.027</x:v>
      </x:c>
      <x:c r="F1519" s="47" t="n">
        <x:v>450.056</x:v>
      </x:c>
      <x:c r="G1519" s="47" t="n">
        <x:v>235.635</x:v>
      </x:c>
      <x:c r="H1519" s="50" t="n">
        <x:v>0.258088</x:v>
      </x:c>
      <x:c r="I1519" s="50" t="n">
        <x:v>0.379674</x:v>
      </x:c>
      <x:c r="J1519" s="50" t="n">
        <x:v>0.534483</x:v>
      </x:c>
      <x:c r="K1519" s="50" t="n">
        <x:v>0.395813</x:v>
      </x:c>
      <x:c r="L1519" s="47" t="n">
        <x:v>842.04</x:v>
      </x:c>
      <x:c r="M1519" s="47" t="n">
        <x:v>595.32</x:v>
      </x:c>
      <x:c r="N1519" s="28" t="str">
        <x:v>top-left</x:v>
      </x:c>
      <x:c r="O1519" s="28" t="str">
        <x:v>PDF points</x:v>
      </x:c>
    </x:row>
    <x:row r="1520" ht="22" customHeight="1">
      <x:c r="A1520" s="28" t="str">
        <x:v>ANC-SLE-053-MECH-02-R22</x:v>
      </x:c>
      <x:c r="B1520" s="28" t="str">
        <x:v>ANC-SLE-053-MECH-02</x:v>
      </x:c>
      <x:c r="C1520" s="28" t="n">
        <x:v>17</x:v>
      </x:c>
      <x:c r="D1520" s="47" t="n">
        <x:v>217.32</x:v>
      </x:c>
      <x:c r="E1520" s="47" t="n">
        <x:v>234.787</x:v>
      </x:c>
      <x:c r="F1520" s="47" t="n">
        <x:v>263.32</x:v>
      </x:c>
      <x:c r="G1520" s="47" t="n">
        <x:v>244.395</x:v>
      </x:c>
      <x:c r="H1520" s="50" t="n">
        <x:v>0.258088</x:v>
      </x:c>
      <x:c r="I1520" s="50" t="n">
        <x:v>0.394388</x:v>
      </x:c>
      <x:c r="J1520" s="50" t="n">
        <x:v>0.312717</x:v>
      </x:c>
      <x:c r="K1520" s="50" t="n">
        <x:v>0.410527</x:v>
      </x:c>
      <x:c r="L1520" s="47" t="n">
        <x:v>842.04</x:v>
      </x:c>
      <x:c r="M1520" s="47" t="n">
        <x:v>595.32</x:v>
      </x:c>
      <x:c r="N1520" s="28" t="str">
        <x:v>top-left</x:v>
      </x:c>
      <x:c r="O1520" s="28" t="str">
        <x:v>PDF points</x:v>
      </x:c>
    </x:row>
    <x:row r="1521" ht="22" customHeight="1">
      <x:c r="A1521" s="28" t="str">
        <x:v>ANC-SLE-053-MECH-02-R23</x:v>
      </x:c>
      <x:c r="B1521" s="28" t="str">
        <x:v>ANC-SLE-053-MECH-02</x:v>
      </x:c>
      <x:c r="C1521" s="28" t="n">
        <x:v>17</x:v>
      </x:c>
      <x:c r="D1521" s="47" t="n">
        <x:v>476.28</x:v>
      </x:c>
      <x:c r="E1521" s="47" t="n">
        <x:v>230.827</x:v>
      </x:c>
      <x:c r="F1521" s="47" t="n">
        <x:v>491.398</x:v>
      </x:c>
      <x:c r="G1521" s="47" t="n">
        <x:v>240.435</x:v>
      </x:c>
      <x:c r="H1521" s="50" t="n">
        <x:v>0.565626</x:v>
      </x:c>
      <x:c r="I1521" s="50" t="n">
        <x:v>0.387737</x:v>
      </x:c>
      <x:c r="J1521" s="50" t="n">
        <x:v>0.58358</x:v>
      </x:c>
      <x:c r="K1521" s="50" t="n">
        <x:v>0.403875</x:v>
      </x:c>
      <x:c r="L1521" s="47" t="n">
        <x:v>842.04</x:v>
      </x:c>
      <x:c r="M1521" s="47" t="n">
        <x:v>595.32</x:v>
      </x:c>
      <x:c r="N1521" s="28" t="str">
        <x:v>top-left</x:v>
      </x:c>
      <x:c r="O1521" s="28" t="str">
        <x:v>PDF points</x:v>
      </x:c>
    </x:row>
    <x:row r="1522" ht="22" customHeight="1">
      <x:c r="A1522" s="28" t="str">
        <x:v>ANC-SLE-053-MECH-02-R24</x:v>
      </x:c>
      <x:c r="B1522" s="28" t="str">
        <x:v>ANC-SLE-053-MECH-02</x:v>
      </x:c>
      <x:c r="C1522" s="28" t="n">
        <x:v>17</x:v>
      </x:c>
      <x:c r="D1522" s="47" t="n">
        <x:v>526.924</x:v>
      </x:c>
      <x:c r="E1522" s="47" t="n">
        <x:v>230.827</x:v>
      </x:c>
      <x:c r="F1522" s="47" t="n">
        <x:v>542.042</x:v>
      </x:c>
      <x:c r="G1522" s="47" t="n">
        <x:v>240.435</x:v>
      </x:c>
      <x:c r="H1522" s="50" t="n">
        <x:v>0.625771</x:v>
      </x:c>
      <x:c r="I1522" s="50" t="n">
        <x:v>0.387737</x:v>
      </x:c>
      <x:c r="J1522" s="50" t="n">
        <x:v>0.643724</x:v>
      </x:c>
      <x:c r="K1522" s="50" t="n">
        <x:v>0.403875</x:v>
      </x:c>
      <x:c r="L1522" s="47" t="n">
        <x:v>842.04</x:v>
      </x:c>
      <x:c r="M1522" s="47" t="n">
        <x:v>595.32</x:v>
      </x:c>
      <x:c r="N1522" s="28" t="str">
        <x:v>top-left</x:v>
      </x:c>
      <x:c r="O1522" s="28" t="str">
        <x:v>PDF points</x:v>
      </x:c>
    </x:row>
    <x:row r="1523" ht="22" customHeight="1">
      <x:c r="A1523" s="28" t="str">
        <x:v>ANC-SLE-053-MECH-02-R25</x:v>
      </x:c>
      <x:c r="B1523" s="28" t="str">
        <x:v>ANC-SLE-053-MECH-02</x:v>
      </x:c>
      <x:c r="C1523" s="28" t="n">
        <x:v>17</x:v>
      </x:c>
      <x:c r="D1523" s="47" t="n">
        <x:v>576.482</x:v>
      </x:c>
      <x:c r="E1523" s="47" t="n">
        <x:v>230.827</x:v>
      </x:c>
      <x:c r="F1523" s="47" t="n">
        <x:v>591.6</x:v>
      </x:c>
      <x:c r="G1523" s="47" t="n">
        <x:v>240.435</x:v>
      </x:c>
      <x:c r="H1523" s="50" t="n">
        <x:v>0.684626</x:v>
      </x:c>
      <x:c r="I1523" s="50" t="n">
        <x:v>0.387737</x:v>
      </x:c>
      <x:c r="J1523" s="50" t="n">
        <x:v>0.70258</x:v>
      </x:c>
      <x:c r="K1523" s="50" t="n">
        <x:v>0.403875</x:v>
      </x:c>
      <x:c r="L1523" s="47" t="n">
        <x:v>842.04</x:v>
      </x:c>
      <x:c r="M1523" s="47" t="n">
        <x:v>595.32</x:v>
      </x:c>
      <x:c r="N1523" s="28" t="str">
        <x:v>top-left</x:v>
      </x:c>
      <x:c r="O1523" s="28" t="str">
        <x:v>PDF points</x:v>
      </x:c>
    </x:row>
    <x:row r="1524" ht="22" customHeight="1">
      <x:c r="A1524" s="28" t="str">
        <x:v>ANC-SLE-053-MECH-02-R26</x:v>
      </x:c>
      <x:c r="B1524" s="28" t="str">
        <x:v>ANC-SLE-053-MECH-02</x:v>
      </x:c>
      <x:c r="C1524" s="28" t="n">
        <x:v>17</x:v>
      </x:c>
      <x:c r="D1524" s="47" t="n">
        <x:v>616.924</x:v>
      </x:c>
      <x:c r="E1524" s="47" t="n">
        <x:v>230.827</x:v>
      </x:c>
      <x:c r="F1524" s="47" t="n">
        <x:v>632.041</x:v>
      </x:c>
      <x:c r="G1524" s="47" t="n">
        <x:v>240.435</x:v>
      </x:c>
      <x:c r="H1524" s="50" t="n">
        <x:v>0.732654</x:v>
      </x:c>
      <x:c r="I1524" s="50" t="n">
        <x:v>0.387737</x:v>
      </x:c>
      <x:c r="J1524" s="50" t="n">
        <x:v>0.750607</x:v>
      </x:c>
      <x:c r="K1524" s="50" t="n">
        <x:v>0.403875</x:v>
      </x:c>
      <x:c r="L1524" s="47" t="n">
        <x:v>842.04</x:v>
      </x:c>
      <x:c r="M1524" s="47" t="n">
        <x:v>595.32</x:v>
      </x:c>
      <x:c r="N1524" s="28" t="str">
        <x:v>top-left</x:v>
      </x:c>
      <x:c r="O1524" s="28" t="str">
        <x:v>PDF points</x:v>
      </x:c>
    </x:row>
    <x:row r="1525" ht="22" customHeight="1">
      <x:c r="A1525" s="28" t="str">
        <x:v>ANC-SLE-053-MECH-02-R27</x:v>
      </x:c>
      <x:c r="B1525" s="28" t="str">
        <x:v>ANC-SLE-053-MECH-02</x:v>
      </x:c>
      <x:c r="C1525" s="28" t="n">
        <x:v>17</x:v>
      </x:c>
      <x:c r="D1525" s="47" t="n">
        <x:v>656.529</x:v>
      </x:c>
      <x:c r="E1525" s="47" t="n">
        <x:v>230.827</x:v>
      </x:c>
      <x:c r="F1525" s="47" t="n">
        <x:v>671.646</x:v>
      </x:c>
      <x:c r="G1525" s="47" t="n">
        <x:v>240.435</x:v>
      </x:c>
      <x:c r="H1525" s="50" t="n">
        <x:v>0.779688</x:v>
      </x:c>
      <x:c r="I1525" s="50" t="n">
        <x:v>0.387737</x:v>
      </x:c>
      <x:c r="J1525" s="50" t="n">
        <x:v>0.797642</x:v>
      </x:c>
      <x:c r="K1525" s="50" t="n">
        <x:v>0.403875</x:v>
      </x:c>
      <x:c r="L1525" s="47" t="n">
        <x:v>842.04</x:v>
      </x:c>
      <x:c r="M1525" s="47" t="n">
        <x:v>595.32</x:v>
      </x:c>
      <x:c r="N1525" s="28" t="str">
        <x:v>top-left</x:v>
      </x:c>
      <x:c r="O1525" s="28" t="str">
        <x:v>PDF points</x:v>
      </x:c>
    </x:row>
    <x:row r="1526" ht="22" customHeight="1">
      <x:c r="A1526" s="28" t="str">
        <x:v>ANC-SLE-053-MECH-02-R28</x:v>
      </x:c>
      <x:c r="B1526" s="28" t="str">
        <x:v>ANC-SLE-053-MECH-02</x:v>
      </x:c>
      <x:c r="C1526" s="28" t="n">
        <x:v>17</x:v>
      </x:c>
      <x:c r="D1526" s="47" t="n">
        <x:v>696.013</x:v>
      </x:c>
      <x:c r="E1526" s="47" t="n">
        <x:v>230.827</x:v>
      </x:c>
      <x:c r="F1526" s="47" t="n">
        <x:v>711.131</x:v>
      </x:c>
      <x:c r="G1526" s="47" t="n">
        <x:v>240.435</x:v>
      </x:c>
      <x:c r="H1526" s="50" t="n">
        <x:v>0.82658</x:v>
      </x:c>
      <x:c r="I1526" s="50" t="n">
        <x:v>0.387737</x:v>
      </x:c>
      <x:c r="J1526" s="50" t="n">
        <x:v>0.844533</x:v>
      </x:c>
      <x:c r="K1526" s="50" t="n">
        <x:v>0.403875</x:v>
      </x:c>
      <x:c r="L1526" s="47" t="n">
        <x:v>842.04</x:v>
      </x:c>
      <x:c r="M1526" s="47" t="n">
        <x:v>595.32</x:v>
      </x:c>
      <x:c r="N1526" s="28" t="str">
        <x:v>top-left</x:v>
      </x:c>
      <x:c r="O1526" s="28" t="str">
        <x:v>PDF points</x:v>
      </x:c>
    </x:row>
    <x:row r="1527" ht="22" customHeight="1">
      <x:c r="A1527" s="28" t="str">
        <x:v>ANC-SLE-053-MECH-02-R29</x:v>
      </x:c>
      <x:c r="B1527" s="28" t="str">
        <x:v>ANC-SLE-053-MECH-02</x:v>
      </x:c>
      <x:c r="C1527" s="28" t="n">
        <x:v>17</x:v>
      </x:c>
      <x:c r="D1527" s="47" t="n">
        <x:v>731.896</x:v>
      </x:c>
      <x:c r="E1527" s="47" t="n">
        <x:v>230.827</x:v>
      </x:c>
      <x:c r="F1527" s="47" t="n">
        <x:v>747.013</x:v>
      </x:c>
      <x:c r="G1527" s="47" t="n">
        <x:v>240.435</x:v>
      </x:c>
      <x:c r="H1527" s="50" t="n">
        <x:v>0.869193</x:v>
      </x:c>
      <x:c r="I1527" s="50" t="n">
        <x:v>0.387737</x:v>
      </x:c>
      <x:c r="J1527" s="50" t="n">
        <x:v>0.887147</x:v>
      </x:c>
      <x:c r="K1527" s="50" t="n">
        <x:v>0.403875</x:v>
      </x:c>
      <x:c r="L1527" s="47" t="n">
        <x:v>842.04</x:v>
      </x:c>
      <x:c r="M1527" s="47" t="n">
        <x:v>595.32</x:v>
      </x:c>
      <x:c r="N1527" s="28" t="str">
        <x:v>top-left</x:v>
      </x:c>
      <x:c r="O1527" s="28" t="str">
        <x:v>PDF points</x:v>
      </x:c>
    </x:row>
    <x:row r="1528" ht="22" customHeight="1">
      <x:c r="A1528" s="28" t="str">
        <x:v>ANC-SLE-053-MECH-02-R30</x:v>
      </x:c>
      <x:c r="B1528" s="28" t="str">
        <x:v>ANC-SLE-053-MECH-02</x:v>
      </x:c>
      <x:c r="C1528" s="28" t="n">
        <x:v>17</x:v>
      </x:c>
      <x:c r="D1528" s="47" t="n">
        <x:v>765.84</x:v>
      </x:c>
      <x:c r="E1528" s="47" t="n">
        <x:v>230.827</x:v>
      </x:c>
      <x:c r="F1528" s="47" t="n">
        <x:v>785.398</x:v>
      </x:c>
      <x:c r="G1528" s="47" t="n">
        <x:v>240.435</x:v>
      </x:c>
      <x:c r="H1528" s="50" t="n">
        <x:v>0.909506</x:v>
      </x:c>
      <x:c r="I1528" s="50" t="n">
        <x:v>0.387737</x:v>
      </x:c>
      <x:c r="J1528" s="50" t="n">
        <x:v>0.932733</x:v>
      </x:c>
      <x:c r="K1528" s="50" t="n">
        <x:v>0.403875</x:v>
      </x:c>
      <x:c r="L1528" s="47" t="n">
        <x:v>842.04</x:v>
      </x:c>
      <x:c r="M1528" s="47" t="n">
        <x:v>595.32</x:v>
      </x:c>
      <x:c r="N1528" s="28" t="str">
        <x:v>top-left</x:v>
      </x:c>
      <x:c r="O1528" s="28" t="str">
        <x:v>PDF points</x:v>
      </x:c>
    </x:row>
    <x:row r="1529" ht="22" customHeight="1">
      <x:c r="A1529" s="28" t="str">
        <x:v>ANC-SLE-053-MECH-02-R31</x:v>
      </x:c>
      <x:c r="B1529" s="28" t="str">
        <x:v>ANC-SLE-053-MECH-02</x:v>
      </x:c>
      <x:c r="C1529" s="28" t="n">
        <x:v>17</x:v>
      </x:c>
      <x:c r="D1529" s="47" t="n">
        <x:v>51.12</x:v>
      </x:c>
      <x:c r="E1529" s="47" t="n">
        <x:v>259.507</x:v>
      </x:c>
      <x:c r="F1529" s="47" t="n">
        <x:v>76.935</x:v>
      </x:c>
      <x:c r="G1529" s="47" t="n">
        <x:v>268.753</x:v>
      </x:c>
      <x:c r="H1529" s="50" t="n">
        <x:v>0.06071</x:v>
      </x:c>
      <x:c r="I1529" s="50" t="n">
        <x:v>0.435912</x:v>
      </x:c>
      <x:c r="J1529" s="50" t="n">
        <x:v>0.091367</x:v>
      </x:c>
      <x:c r="K1529" s="50" t="n">
        <x:v>0.451443</x:v>
      </x:c>
      <x:c r="L1529" s="47" t="n">
        <x:v>842.04</x:v>
      </x:c>
      <x:c r="M1529" s="47" t="n">
        <x:v>595.32</x:v>
      </x:c>
      <x:c r="N1529" s="28" t="str">
        <x:v>top-left</x:v>
      </x:c>
      <x:c r="O1529" s="28" t="str">
        <x:v>PDF points</x:v>
      </x:c>
    </x:row>
    <x:row r="1530" ht="22" customHeight="1">
      <x:c r="A1530" s="28" t="str">
        <x:v>ANC-SLE-053-MECH-02-R32</x:v>
      </x:c>
      <x:c r="B1530" s="28" t="str">
        <x:v>ANC-SLE-053-MECH-02</x:v>
      </x:c>
      <x:c r="C1530" s="28" t="n">
        <x:v>17</x:v>
      </x:c>
      <x:c r="D1530" s="47" t="n">
        <x:v>122.88</x:v>
      </x:c>
      <x:c r="E1530" s="47" t="n">
        <x:v>259.507</x:v>
      </x:c>
      <x:c r="F1530" s="47" t="n">
        <x:v>191.921</x:v>
      </x:c>
      <x:c r="G1530" s="47" t="n">
        <x:v>269.115</x:v>
      </x:c>
      <x:c r="H1530" s="50" t="n">
        <x:v>0.145931</x:v>
      </x:c>
      <x:c r="I1530" s="50" t="n">
        <x:v>0.435912</x:v>
      </x:c>
      <x:c r="J1530" s="50" t="n">
        <x:v>0.227924</x:v>
      </x:c>
      <x:c r="K1530" s="50" t="n">
        <x:v>0.452051</x:v>
      </x:c>
      <x:c r="L1530" s="47" t="n">
        <x:v>842.04</x:v>
      </x:c>
      <x:c r="M1530" s="47" t="n">
        <x:v>595.32</x:v>
      </x:c>
      <x:c r="N1530" s="28" t="str">
        <x:v>top-left</x:v>
      </x:c>
      <x:c r="O1530" s="28" t="str">
        <x:v>PDF points</x:v>
      </x:c>
    </x:row>
    <x:row r="1531" ht="22" customHeight="1">
      <x:c r="A1531" s="28" t="str">
        <x:v>ANC-SLE-053-MECH-02-R33</x:v>
      </x:c>
      <x:c r="B1531" s="28" t="str">
        <x:v>ANC-SLE-053-MECH-02</x:v>
      </x:c>
      <x:c r="C1531" s="28" t="n">
        <x:v>17</x:v>
      </x:c>
      <x:c r="D1531" s="47" t="n">
        <x:v>217.32</x:v>
      </x:c>
      <x:c r="E1531" s="47" t="n">
        <x:v>259.507</x:v>
      </x:c>
      <x:c r="F1531" s="47" t="n">
        <x:v>362.185</x:v>
      </x:c>
      <x:c r="G1531" s="47" t="n">
        <x:v>269.115</x:v>
      </x:c>
      <x:c r="H1531" s="50" t="n">
        <x:v>0.258088</x:v>
      </x:c>
      <x:c r="I1531" s="50" t="n">
        <x:v>0.435912</x:v>
      </x:c>
      <x:c r="J1531" s="50" t="n">
        <x:v>0.430129</x:v>
      </x:c>
      <x:c r="K1531" s="50" t="n">
        <x:v>0.452051</x:v>
      </x:c>
      <x:c r="L1531" s="47" t="n">
        <x:v>842.04</x:v>
      </x:c>
      <x:c r="M1531" s="47" t="n">
        <x:v>595.32</x:v>
      </x:c>
      <x:c r="N1531" s="28" t="str">
        <x:v>top-left</x:v>
      </x:c>
      <x:c r="O1531" s="28" t="str">
        <x:v>PDF points</x:v>
      </x:c>
    </x:row>
    <x:row r="1532" ht="22" customHeight="1">
      <x:c r="A1532" s="28" t="str">
        <x:v>ANC-SLE-053-MECH-03-R01</x:v>
      </x:c>
      <x:c r="B1532" s="28" t="str">
        <x:v>ANC-SLE-053-MECH-03</x:v>
      </x:c>
      <x:c r="C1532" s="28" t="n">
        <x:v>17</x:v>
      </x:c>
      <x:c r="D1532" s="47" t="n">
        <x:v>217.32</x:v>
      </x:c>
      <x:c r="E1532" s="47" t="n">
        <x:v>303.547</x:v>
      </x:c>
      <x:c r="F1532" s="47" t="n">
        <x:v>441.654</x:v>
      </x:c>
      <x:c r="G1532" s="47" t="n">
        <x:v>313.155</x:v>
      </x:c>
      <x:c r="H1532" s="50" t="n">
        <x:v>0.258088</x:v>
      </x:c>
      <x:c r="I1532" s="50" t="n">
        <x:v>0.509889</x:v>
      </x:c>
      <x:c r="J1532" s="50" t="n">
        <x:v>0.524505</x:v>
      </x:c>
      <x:c r="K1532" s="50" t="n">
        <x:v>0.526028</x:v>
      </x:c>
      <x:c r="L1532" s="47" t="n">
        <x:v>842.04</x:v>
      </x:c>
      <x:c r="M1532" s="47" t="n">
        <x:v>595.32</x:v>
      </x:c>
      <x:c r="N1532" s="28" t="str">
        <x:v>top-left</x:v>
      </x:c>
      <x:c r="O1532" s="28" t="str">
        <x:v>PDF points</x:v>
      </x:c>
    </x:row>
    <x:row r="1533" ht="22" customHeight="1">
      <x:c r="A1533" s="28" t="str">
        <x:v>ANC-SLE-053-MECH-03-R02</x:v>
      </x:c>
      <x:c r="B1533" s="28" t="str">
        <x:v>ANC-SLE-053-MECH-03</x:v>
      </x:c>
      <x:c r="C1533" s="28" t="n">
        <x:v>17</x:v>
      </x:c>
      <x:c r="D1533" s="47" t="n">
        <x:v>217.32</x:v>
      </x:c>
      <x:c r="E1533" s="47" t="n">
        <x:v>312.307</x:v>
      </x:c>
      <x:c r="F1533" s="47" t="n">
        <x:v>353.913</x:v>
      </x:c>
      <x:c r="G1533" s="47" t="n">
        <x:v>321.915</x:v>
      </x:c>
      <x:c r="H1533" s="50" t="n">
        <x:v>0.258088</x:v>
      </x:c>
      <x:c r="I1533" s="50" t="n">
        <x:v>0.524604</x:v>
      </x:c>
      <x:c r="J1533" s="50" t="n">
        <x:v>0.420304</x:v>
      </x:c>
      <x:c r="K1533" s="50" t="n">
        <x:v>0.540743</x:v>
      </x:c>
      <x:c r="L1533" s="47" t="n">
        <x:v>842.04</x:v>
      </x:c>
      <x:c r="M1533" s="47" t="n">
        <x:v>595.32</x:v>
      </x:c>
      <x:c r="N1533" s="28" t="str">
        <x:v>top-left</x:v>
      </x:c>
      <x:c r="O1533" s="28" t="str">
        <x:v>PDF points</x:v>
      </x:c>
    </x:row>
    <x:row r="1534" ht="22" customHeight="1">
      <x:c r="A1534" s="28" t="str">
        <x:v>ANC-SLE-053-MECH-04-R01</x:v>
      </x:c>
      <x:c r="B1534" s="28" t="str">
        <x:v>ANC-SLE-053-MECH-04</x:v>
      </x:c>
      <x:c r="C1534" s="28" t="n">
        <x:v>17</x:v>
      </x:c>
      <x:c r="D1534" s="47" t="n">
        <x:v>217.32</x:v>
      </x:c>
      <x:c r="E1534" s="47" t="n">
        <x:v>347.587</x:v>
      </x:c>
      <x:c r="F1534" s="47" t="n">
        <x:v>423.708</x:v>
      </x:c>
      <x:c r="G1534" s="47" t="n">
        <x:v>357.195</x:v>
      </x:c>
      <x:c r="H1534" s="50" t="n">
        <x:v>0.258088</x:v>
      </x:c>
      <x:c r="I1534" s="50" t="n">
        <x:v>0.583866</x:v>
      </x:c>
      <x:c r="J1534" s="50" t="n">
        <x:v>0.503192</x:v>
      </x:c>
      <x:c r="K1534" s="50" t="n">
        <x:v>0.600005</x:v>
      </x:c>
      <x:c r="L1534" s="47" t="n">
        <x:v>842.04</x:v>
      </x:c>
      <x:c r="M1534" s="47" t="n">
        <x:v>595.32</x:v>
      </x:c>
      <x:c r="N1534" s="28" t="str">
        <x:v>top-left</x:v>
      </x:c>
      <x:c r="O1534" s="28" t="str">
        <x:v>PDF points</x:v>
      </x:c>
    </x:row>
    <x:row r="1535" ht="22" customHeight="1">
      <x:c r="A1535" s="28" t="str">
        <x:v>ANC-SLE-053-MECH-04-R02</x:v>
      </x:c>
      <x:c r="B1535" s="28" t="str">
        <x:v>ANC-SLE-053-MECH-04</x:v>
      </x:c>
      <x:c r="C1535" s="28" t="n">
        <x:v>17</x:v>
      </x:c>
      <x:c r="D1535" s="47" t="n">
        <x:v>217.32</x:v>
      </x:c>
      <x:c r="E1535" s="47" t="n">
        <x:v>356.347</x:v>
      </x:c>
      <x:c r="F1535" s="47" t="n">
        <x:v>257.104</x:v>
      </x:c>
      <x:c r="G1535" s="47" t="n">
        <x:v>365.955</x:v>
      </x:c>
      <x:c r="H1535" s="50" t="n">
        <x:v>0.258088</x:v>
      </x:c>
      <x:c r="I1535" s="50" t="n">
        <x:v>0.598581</x:v>
      </x:c>
      <x:c r="J1535" s="50" t="n">
        <x:v>0.305335</x:v>
      </x:c>
      <x:c r="K1535" s="50" t="n">
        <x:v>0.61472</x:v>
      </x:c>
      <x:c r="L1535" s="47" t="n">
        <x:v>842.04</x:v>
      </x:c>
      <x:c r="M1535" s="47" t="n">
        <x:v>595.32</x:v>
      </x:c>
      <x:c r="N1535" s="28" t="str">
        <x:v>top-left</x:v>
      </x:c>
      <x:c r="O1535" s="28" t="str">
        <x:v>PDF points</x:v>
      </x:c>
    </x:row>
    <x:row r="1536" ht="22" customHeight="1">
      <x:c r="A1536" s="28" t="str">
        <x:v>ANC-SLE-054-ASP-R01</x:v>
      </x:c>
      <x:c r="B1536" s="28" t="str">
        <x:v>ANC-SLE-054-ASP</x:v>
      </x:c>
      <x:c r="C1536" s="28" t="n">
        <x:v>10</x:v>
      </x:c>
      <x:c r="D1536" s="47" t="n">
        <x:v>115.8</x:v>
      </x:c>
      <x:c r="E1536" s="47" t="n">
        <x:v>516.288</x:v>
      </x:c>
      <x:c r="F1536" s="47" t="n">
        <x:v>541.515</x:v>
      </x:c>
      <x:c r="G1536" s="47" t="n">
        <x:v>529.481</x:v>
      </x:c>
      <x:c r="H1536" s="50" t="n">
        <x:v>0.189215</x:v>
      </x:c>
      <x:c r="I1536" s="50" t="n">
        <x:v>0.651879</x:v>
      </x:c>
      <x:c r="J1536" s="50" t="n">
        <x:v>0.884829</x:v>
      </x:c>
      <x:c r="K1536" s="50" t="n">
        <x:v>0.668536</x:v>
      </x:c>
      <x:c r="L1536" s="47" t="n">
        <x:v>612</x:v>
      </x:c>
      <x:c r="M1536" s="47" t="n">
        <x:v>792</x:v>
      </x:c>
      <x:c r="N1536" s="28" t="str">
        <x:v>top-left</x:v>
      </x:c>
      <x:c r="O1536" s="28" t="str">
        <x:v>PDF points</x:v>
      </x:c>
    </x:row>
    <x:row r="1537" ht="22" customHeight="1">
      <x:c r="A1537" s="28" t="str">
        <x:v>ANC-SLE-054-ASP-R02</x:v>
      </x:c>
      <x:c r="B1537" s="28" t="str">
        <x:v>ANC-SLE-054-ASP</x:v>
      </x:c>
      <x:c r="C1537" s="28" t="n">
        <x:v>10</x:v>
      </x:c>
      <x:c r="D1537" s="47" t="n">
        <x:v>70.56</x:v>
      </x:c>
      <x:c r="E1537" s="47" t="n">
        <x:v>534.283</x:v>
      </x:c>
      <x:c r="F1537" s="47" t="n">
        <x:v>111.497</x:v>
      </x:c>
      <x:c r="G1537" s="47" t="n">
        <x:v>547.476</x:v>
      </x:c>
      <x:c r="H1537" s="50" t="n">
        <x:v>0.115294</x:v>
      </x:c>
      <x:c r="I1537" s="50" t="n">
        <x:v>0.6746</x:v>
      </x:c>
      <x:c r="J1537" s="50" t="n">
        <x:v>0.182185</x:v>
      </x:c>
      <x:c r="K1537" s="50" t="n">
        <x:v>0.691258</x:v>
      </x:c>
      <x:c r="L1537" s="47" t="n">
        <x:v>612</x:v>
      </x:c>
      <x:c r="M1537" s="47" t="n">
        <x:v>792</x:v>
      </x:c>
      <x:c r="N1537" s="28" t="str">
        <x:v>top-left</x:v>
      </x:c>
      <x:c r="O1537" s="28" t="str">
        <x:v>PDF points</x:v>
      </x:c>
    </x:row>
    <x:row r="1538" ht="22" customHeight="1">
      <x:c r="A1538" s="28" t="str">
        <x:v>ANC-SLE-054-MECH-01-R01</x:v>
      </x:c>
      <x:c r="B1538" s="28" t="str">
        <x:v>ANC-SLE-054-MECH-01</x:v>
      </x:c>
      <x:c r="C1538" s="28" t="n">
        <x:v>17</x:v>
      </x:c>
      <x:c r="D1538" s="47" t="n">
        <x:v>122.88</x:v>
      </x:c>
      <x:c r="E1538" s="47" t="n">
        <x:v>201.674</x:v>
      </x:c>
      <x:c r="F1538" s="47" t="n">
        <x:v>195.405</x:v>
      </x:c>
      <x:c r="G1538" s="47" t="n">
        <x:v>211.282</x:v>
      </x:c>
      <x:c r="H1538" s="50" t="n">
        <x:v>0.145931</x:v>
      </x:c>
      <x:c r="I1538" s="50" t="n">
        <x:v>0.338766</x:v>
      </x:c>
      <x:c r="J1538" s="50" t="n">
        <x:v>0.232061</x:v>
      </x:c>
      <x:c r="K1538" s="50" t="n">
        <x:v>0.354905</x:v>
      </x:c>
      <x:c r="L1538" s="47" t="n">
        <x:v>842.04</x:v>
      </x:c>
      <x:c r="M1538" s="47" t="n">
        <x:v>595.32</x:v>
      </x:c>
      <x:c r="N1538" s="28" t="str">
        <x:v>top-left</x:v>
      </x:c>
      <x:c r="O1538" s="28" t="str">
        <x:v>PDF points</x:v>
      </x:c>
    </x:row>
    <x:row r="1539" ht="22" customHeight="1">
      <x:c r="A1539" s="28" t="str">
        <x:v>ANC-SLE-054-MECH-01-R02</x:v>
      </x:c>
      <x:c r="B1539" s="28" t="str">
        <x:v>ANC-SLE-054-MECH-01</x:v>
      </x:c>
      <x:c r="C1539" s="28" t="n">
        <x:v>17</x:v>
      </x:c>
      <x:c r="D1539" s="47" t="n">
        <x:v>274.685</x:v>
      </x:c>
      <x:c r="E1539" s="47" t="n">
        <x:v>193.507</x:v>
      </x:c>
      <x:c r="F1539" s="47" t="n">
        <x:v>433.13</x:v>
      </x:c>
      <x:c r="G1539" s="47" t="n">
        <x:v>203.115</x:v>
      </x:c>
      <x:c r="H1539" s="50" t="n">
        <x:v>0.326213</x:v>
      </x:c>
      <x:c r="I1539" s="50" t="n">
        <x:v>0.325048</x:v>
      </x:c>
      <x:c r="J1539" s="50" t="n">
        <x:v>0.514381</x:v>
      </x:c>
      <x:c r="K1539" s="50" t="n">
        <x:v>0.341186</x:v>
      </x:c>
      <x:c r="L1539" s="47" t="n">
        <x:v>842.04</x:v>
      </x:c>
      <x:c r="M1539" s="47" t="n">
        <x:v>595.32</x:v>
      </x:c>
      <x:c r="N1539" s="28" t="str">
        <x:v>top-left</x:v>
      </x:c>
      <x:c r="O1539" s="28" t="str">
        <x:v>PDF points</x:v>
      </x:c>
    </x:row>
    <x:row r="1540" ht="22" customHeight="1">
      <x:c r="A1540" s="28" t="str">
        <x:v>ANC-SLE-054-MECH-01-R03</x:v>
      </x:c>
      <x:c r="B1540" s="28" t="str">
        <x:v>ANC-SLE-054-MECH-01</x:v>
      </x:c>
      <x:c r="C1540" s="28" t="n">
        <x:v>17</x:v>
      </x:c>
      <x:c r="D1540" s="47" t="n">
        <x:v>217.32</x:v>
      </x:c>
      <x:c r="E1540" s="47" t="n">
        <x:v>202.147</x:v>
      </x:c>
      <x:c r="F1540" s="47" t="n">
        <x:v>317.966</x:v>
      </x:c>
      <x:c r="G1540" s="47" t="n">
        <x:v>211.755</x:v>
      </x:c>
      <x:c r="H1540" s="50" t="n">
        <x:v>0.258088</x:v>
      </x:c>
      <x:c r="I1540" s="50" t="n">
        <x:v>0.339561</x:v>
      </x:c>
      <x:c r="J1540" s="50" t="n">
        <x:v>0.377614</x:v>
      </x:c>
      <x:c r="K1540" s="50" t="n">
        <x:v>0.3557</x:v>
      </x:c>
      <x:c r="L1540" s="47" t="n">
        <x:v>842.04</x:v>
      </x:c>
      <x:c r="M1540" s="47" t="n">
        <x:v>595.32</x:v>
      </x:c>
      <x:c r="N1540" s="28" t="str">
        <x:v>top-left</x:v>
      </x:c>
      <x:c r="O1540" s="28" t="str">
        <x:v>PDF points</x:v>
      </x:c>
    </x:row>
    <x:row r="1541" ht="22" customHeight="1">
      <x:c r="A1541" s="28" t="str">
        <x:v>ANC-SLE-054-MECH-01-R04</x:v>
      </x:c>
      <x:c r="B1541" s="28" t="str">
        <x:v>ANC-SLE-054-MECH-01</x:v>
      </x:c>
      <x:c r="C1541" s="28" t="n">
        <x:v>17</x:v>
      </x:c>
      <x:c r="D1541" s="47" t="n">
        <x:v>476.28</x:v>
      </x:c>
      <x:c r="E1541" s="47" t="n">
        <x:v>197.827</x:v>
      </x:c>
      <x:c r="F1541" s="47" t="n">
        <x:v>491.398</x:v>
      </x:c>
      <x:c r="G1541" s="47" t="n">
        <x:v>207.435</x:v>
      </x:c>
      <x:c r="H1541" s="50" t="n">
        <x:v>0.565626</x:v>
      </x:c>
      <x:c r="I1541" s="50" t="n">
        <x:v>0.332304</x:v>
      </x:c>
      <x:c r="J1541" s="50" t="n">
        <x:v>0.58358</x:v>
      </x:c>
      <x:c r="K1541" s="50" t="n">
        <x:v>0.348443</x:v>
      </x:c>
      <x:c r="L1541" s="47" t="n">
        <x:v>842.04</x:v>
      </x:c>
      <x:c r="M1541" s="47" t="n">
        <x:v>595.32</x:v>
      </x:c>
      <x:c r="N1541" s="28" t="str">
        <x:v>top-left</x:v>
      </x:c>
      <x:c r="O1541" s="28" t="str">
        <x:v>PDF points</x:v>
      </x:c>
    </x:row>
    <x:row r="1542" ht="22" customHeight="1">
      <x:c r="A1542" s="28" t="str">
        <x:v>ANC-SLE-054-MECH-01-R05</x:v>
      </x:c>
      <x:c r="B1542" s="28" t="str">
        <x:v>ANC-SLE-054-MECH-01</x:v>
      </x:c>
      <x:c r="C1542" s="28" t="n">
        <x:v>17</x:v>
      </x:c>
      <x:c r="D1542" s="47" t="n">
        <x:v>526.924</x:v>
      </x:c>
      <x:c r="E1542" s="47" t="n">
        <x:v>197.827</x:v>
      </x:c>
      <x:c r="F1542" s="47" t="n">
        <x:v>542.042</x:v>
      </x:c>
      <x:c r="G1542" s="47" t="n">
        <x:v>207.435</x:v>
      </x:c>
      <x:c r="H1542" s="50" t="n">
        <x:v>0.625771</x:v>
      </x:c>
      <x:c r="I1542" s="50" t="n">
        <x:v>0.332304</x:v>
      </x:c>
      <x:c r="J1542" s="50" t="n">
        <x:v>0.643724</x:v>
      </x:c>
      <x:c r="K1542" s="50" t="n">
        <x:v>0.348443</x:v>
      </x:c>
      <x:c r="L1542" s="47" t="n">
        <x:v>842.04</x:v>
      </x:c>
      <x:c r="M1542" s="47" t="n">
        <x:v>595.32</x:v>
      </x:c>
      <x:c r="N1542" s="28" t="str">
        <x:v>top-left</x:v>
      </x:c>
      <x:c r="O1542" s="28" t="str">
        <x:v>PDF points</x:v>
      </x:c>
    </x:row>
    <x:row r="1543" ht="22" customHeight="1">
      <x:c r="A1543" s="28" t="str">
        <x:v>ANC-SLE-054-MECH-01-R06</x:v>
      </x:c>
      <x:c r="B1543" s="28" t="str">
        <x:v>ANC-SLE-054-MECH-01</x:v>
      </x:c>
      <x:c r="C1543" s="28" t="n">
        <x:v>17</x:v>
      </x:c>
      <x:c r="D1543" s="47" t="n">
        <x:v>576.482</x:v>
      </x:c>
      <x:c r="E1543" s="47" t="n">
        <x:v>197.827</x:v>
      </x:c>
      <x:c r="F1543" s="47" t="n">
        <x:v>591.6</x:v>
      </x:c>
      <x:c r="G1543" s="47" t="n">
        <x:v>207.435</x:v>
      </x:c>
      <x:c r="H1543" s="50" t="n">
        <x:v>0.684626</x:v>
      </x:c>
      <x:c r="I1543" s="50" t="n">
        <x:v>0.332304</x:v>
      </x:c>
      <x:c r="J1543" s="50" t="n">
        <x:v>0.70258</x:v>
      </x:c>
      <x:c r="K1543" s="50" t="n">
        <x:v>0.348443</x:v>
      </x:c>
      <x:c r="L1543" s="47" t="n">
        <x:v>842.04</x:v>
      </x:c>
      <x:c r="M1543" s="47" t="n">
        <x:v>595.32</x:v>
      </x:c>
      <x:c r="N1543" s="28" t="str">
        <x:v>top-left</x:v>
      </x:c>
      <x:c r="O1543" s="28" t="str">
        <x:v>PDF points</x:v>
      </x:c>
    </x:row>
    <x:row r="1544" ht="22" customHeight="1">
      <x:c r="A1544" s="28" t="str">
        <x:v>ANC-SLE-054-MECH-01-R07</x:v>
      </x:c>
      <x:c r="B1544" s="28" t="str">
        <x:v>ANC-SLE-054-MECH-01</x:v>
      </x:c>
      <x:c r="C1544" s="28" t="n">
        <x:v>17</x:v>
      </x:c>
      <x:c r="D1544" s="47" t="n">
        <x:v>616.92</x:v>
      </x:c>
      <x:c r="E1544" s="47" t="n">
        <x:v>197.827</x:v>
      </x:c>
      <x:c r="F1544" s="47" t="n">
        <x:v>632.038</x:v>
      </x:c>
      <x:c r="G1544" s="47" t="n">
        <x:v>207.435</x:v>
      </x:c>
      <x:c r="H1544" s="50" t="n">
        <x:v>0.732649</x:v>
      </x:c>
      <x:c r="I1544" s="50" t="n">
        <x:v>0.332304</x:v>
      </x:c>
      <x:c r="J1544" s="50" t="n">
        <x:v>0.750603</x:v>
      </x:c>
      <x:c r="K1544" s="50" t="n">
        <x:v>0.348443</x:v>
      </x:c>
      <x:c r="L1544" s="47" t="n">
        <x:v>842.04</x:v>
      </x:c>
      <x:c r="M1544" s="47" t="n">
        <x:v>595.32</x:v>
      </x:c>
      <x:c r="N1544" s="28" t="str">
        <x:v>top-left</x:v>
      </x:c>
      <x:c r="O1544" s="28" t="str">
        <x:v>PDF points</x:v>
      </x:c>
    </x:row>
    <x:row r="1545" ht="22" customHeight="1">
      <x:c r="A1545" s="28" t="str">
        <x:v>ANC-SLE-054-MECH-01-R08</x:v>
      </x:c>
      <x:c r="B1545" s="28" t="str">
        <x:v>ANC-SLE-054-MECH-01</x:v>
      </x:c>
      <x:c r="C1545" s="28" t="n">
        <x:v>17</x:v>
      </x:c>
      <x:c r="D1545" s="47" t="n">
        <x:v>656.52</x:v>
      </x:c>
      <x:c r="E1545" s="47" t="n">
        <x:v>197.827</x:v>
      </x:c>
      <x:c r="F1545" s="47" t="n">
        <x:v>671.638</x:v>
      </x:c>
      <x:c r="G1545" s="47" t="n">
        <x:v>207.435</x:v>
      </x:c>
      <x:c r="H1545" s="50" t="n">
        <x:v>0.779678</x:v>
      </x:c>
      <x:c r="I1545" s="50" t="n">
        <x:v>0.332304</x:v>
      </x:c>
      <x:c r="J1545" s="50" t="n">
        <x:v>0.797632</x:v>
      </x:c>
      <x:c r="K1545" s="50" t="n">
        <x:v>0.348443</x:v>
      </x:c>
      <x:c r="L1545" s="47" t="n">
        <x:v>842.04</x:v>
      </x:c>
      <x:c r="M1545" s="47" t="n">
        <x:v>595.32</x:v>
      </x:c>
      <x:c r="N1545" s="28" t="str">
        <x:v>top-left</x:v>
      </x:c>
      <x:c r="O1545" s="28" t="str">
        <x:v>PDF points</x:v>
      </x:c>
    </x:row>
    <x:row r="1546" ht="22" customHeight="1">
      <x:c r="A1546" s="28" t="str">
        <x:v>ANC-SLE-054-MECH-01-R09</x:v>
      </x:c>
      <x:c r="B1546" s="28" t="str">
        <x:v>ANC-SLE-054-MECH-01</x:v>
      </x:c>
      <x:c r="C1546" s="28" t="n">
        <x:v>17</x:v>
      </x:c>
      <x:c r="D1546" s="47" t="n">
        <x:v>696.004</x:v>
      </x:c>
      <x:c r="E1546" s="47" t="n">
        <x:v>197.827</x:v>
      </x:c>
      <x:c r="F1546" s="47" t="n">
        <x:v>711.122</x:v>
      </x:c>
      <x:c r="G1546" s="47" t="n">
        <x:v>207.435</x:v>
      </x:c>
      <x:c r="H1546" s="50" t="n">
        <x:v>0.826569</x:v>
      </x:c>
      <x:c r="I1546" s="50" t="n">
        <x:v>0.332304</x:v>
      </x:c>
      <x:c r="J1546" s="50" t="n">
        <x:v>0.844523</x:v>
      </x:c>
      <x:c r="K1546" s="50" t="n">
        <x:v>0.348443</x:v>
      </x:c>
      <x:c r="L1546" s="47" t="n">
        <x:v>842.04</x:v>
      </x:c>
      <x:c r="M1546" s="47" t="n">
        <x:v>595.32</x:v>
      </x:c>
      <x:c r="N1546" s="28" t="str">
        <x:v>top-left</x:v>
      </x:c>
      <x:c r="O1546" s="28" t="str">
        <x:v>PDF points</x:v>
      </x:c>
    </x:row>
    <x:row r="1547" ht="22" customHeight="1">
      <x:c r="A1547" s="28" t="str">
        <x:v>ANC-SLE-054-MECH-01-R10</x:v>
      </x:c>
      <x:c r="B1547" s="28" t="str">
        <x:v>ANC-SLE-054-MECH-01</x:v>
      </x:c>
      <x:c r="C1547" s="28" t="n">
        <x:v>17</x:v>
      </x:c>
      <x:c r="D1547" s="47" t="n">
        <x:v>731.887</x:v>
      </x:c>
      <x:c r="E1547" s="47" t="n">
        <x:v>197.827</x:v>
      </x:c>
      <x:c r="F1547" s="47" t="n">
        <x:v>747.005</x:v>
      </x:c>
      <x:c r="G1547" s="47" t="n">
        <x:v>207.435</x:v>
      </x:c>
      <x:c r="H1547" s="50" t="n">
        <x:v>0.869183</x:v>
      </x:c>
      <x:c r="I1547" s="50" t="n">
        <x:v>0.332304</x:v>
      </x:c>
      <x:c r="J1547" s="50" t="n">
        <x:v>0.887137</x:v>
      </x:c>
      <x:c r="K1547" s="50" t="n">
        <x:v>0.348443</x:v>
      </x:c>
      <x:c r="L1547" s="47" t="n">
        <x:v>842.04</x:v>
      </x:c>
      <x:c r="M1547" s="47" t="n">
        <x:v>595.32</x:v>
      </x:c>
      <x:c r="N1547" s="28" t="str">
        <x:v>top-left</x:v>
      </x:c>
      <x:c r="O1547" s="28" t="str">
        <x:v>PDF points</x:v>
      </x:c>
    </x:row>
    <x:row r="1548" ht="22" customHeight="1">
      <x:c r="A1548" s="28" t="str">
        <x:v>ANC-SLE-054-MECH-01-R11</x:v>
      </x:c>
      <x:c r="B1548" s="28" t="str">
        <x:v>ANC-SLE-054-MECH-01</x:v>
      </x:c>
      <x:c r="C1548" s="28" t="n">
        <x:v>17</x:v>
      </x:c>
      <x:c r="D1548" s="47" t="n">
        <x:v>768.011</x:v>
      </x:c>
      <x:c r="E1548" s="47" t="n">
        <x:v>197.827</x:v>
      </x:c>
      <x:c r="F1548" s="47" t="n">
        <x:v>783.128</x:v>
      </x:c>
      <x:c r="G1548" s="47" t="n">
        <x:v>207.435</x:v>
      </x:c>
      <x:c r="H1548" s="50" t="n">
        <x:v>0.912083</x:v>
      </x:c>
      <x:c r="I1548" s="50" t="n">
        <x:v>0.332304</x:v>
      </x:c>
      <x:c r="J1548" s="50" t="n">
        <x:v>0.930037</x:v>
      </x:c>
      <x:c r="K1548" s="50" t="n">
        <x:v>0.348443</x:v>
      </x:c>
      <x:c r="L1548" s="47" t="n">
        <x:v>842.04</x:v>
      </x:c>
      <x:c r="M1548" s="47" t="n">
        <x:v>595.32</x:v>
      </x:c>
      <x:c r="N1548" s="28" t="str">
        <x:v>top-left</x:v>
      </x:c>
      <x:c r="O1548" s="28" t="str">
        <x:v>PDF points</x:v>
      </x:c>
    </x:row>
    <x:row r="1549" ht="22" customHeight="1">
      <x:c r="A1549" s="28" t="str">
        <x:v>ANC-SLE-054-MECH-01-R12</x:v>
      </x:c>
      <x:c r="B1549" s="28" t="str">
        <x:v>ANC-SLE-054-MECH-01</x:v>
      </x:c>
      <x:c r="C1549" s="28" t="n">
        <x:v>17</x:v>
      </x:c>
      <x:c r="D1549" s="47" t="n">
        <x:v>217.32</x:v>
      </x:c>
      <x:c r="E1549" s="47" t="n">
        <x:v>211.387</x:v>
      </x:c>
      <x:c r="F1549" s="47" t="n">
        <x:v>407.119</x:v>
      </x:c>
      <x:c r="G1549" s="47" t="n">
        <x:v>220.995</x:v>
      </x:c>
      <x:c r="H1549" s="50" t="n">
        <x:v>0.258088</x:v>
      </x:c>
      <x:c r="I1549" s="50" t="n">
        <x:v>0.355082</x:v>
      </x:c>
      <x:c r="J1549" s="50" t="n">
        <x:v>0.483492</x:v>
      </x:c>
      <x:c r="K1549" s="50" t="n">
        <x:v>0.371221</x:v>
      </x:c>
      <x:c r="L1549" s="47" t="n">
        <x:v>842.04</x:v>
      </x:c>
      <x:c r="M1549" s="47" t="n">
        <x:v>595.32</x:v>
      </x:c>
      <x:c r="N1549" s="28" t="str">
        <x:v>top-left</x:v>
      </x:c>
      <x:c r="O1549" s="28" t="str">
        <x:v>PDF points</x:v>
      </x:c>
    </x:row>
    <x:row r="1550" ht="22" customHeight="1">
      <x:c r="A1550" s="28" t="str">
        <x:v>ANC-SLE-054-MECH-01-R13</x:v>
      </x:c>
      <x:c r="B1550" s="28" t="str">
        <x:v>ANC-SLE-054-MECH-01</x:v>
      </x:c>
      <x:c r="C1550" s="28" t="n">
        <x:v>17</x:v>
      </x:c>
      <x:c r="D1550" s="47" t="n">
        <x:v>476.28</x:v>
      </x:c>
      <x:c r="E1550" s="47" t="n">
        <x:v>214.147</x:v>
      </x:c>
      <x:c r="F1550" s="47" t="n">
        <x:v>491.398</x:v>
      </x:c>
      <x:c r="G1550" s="47" t="n">
        <x:v>223.755</x:v>
      </x:c>
      <x:c r="H1550" s="50" t="n">
        <x:v>0.565626</x:v>
      </x:c>
      <x:c r="I1550" s="50" t="n">
        <x:v>0.359718</x:v>
      </x:c>
      <x:c r="J1550" s="50" t="n">
        <x:v>0.58358</x:v>
      </x:c>
      <x:c r="K1550" s="50" t="n">
        <x:v>0.375857</x:v>
      </x:c>
      <x:c r="L1550" s="47" t="n">
        <x:v>842.04</x:v>
      </x:c>
      <x:c r="M1550" s="47" t="n">
        <x:v>595.32</x:v>
      </x:c>
      <x:c r="N1550" s="28" t="str">
        <x:v>top-left</x:v>
      </x:c>
      <x:c r="O1550" s="28" t="str">
        <x:v>PDF points</x:v>
      </x:c>
    </x:row>
    <x:row r="1551" ht="22" customHeight="1">
      <x:c r="A1551" s="28" t="str">
        <x:v>ANC-SLE-054-MECH-01-R14</x:v>
      </x:c>
      <x:c r="B1551" s="28" t="str">
        <x:v>ANC-SLE-054-MECH-01</x:v>
      </x:c>
      <x:c r="C1551" s="28" t="n">
        <x:v>17</x:v>
      </x:c>
      <x:c r="D1551" s="47" t="n">
        <x:v>526.924</x:v>
      </x:c>
      <x:c r="E1551" s="47" t="n">
        <x:v>214.147</x:v>
      </x:c>
      <x:c r="F1551" s="47" t="n">
        <x:v>542.042</x:v>
      </x:c>
      <x:c r="G1551" s="47" t="n">
        <x:v>223.755</x:v>
      </x:c>
      <x:c r="H1551" s="50" t="n">
        <x:v>0.625771</x:v>
      </x:c>
      <x:c r="I1551" s="50" t="n">
        <x:v>0.359718</x:v>
      </x:c>
      <x:c r="J1551" s="50" t="n">
        <x:v>0.643724</x:v>
      </x:c>
      <x:c r="K1551" s="50" t="n">
        <x:v>0.375857</x:v>
      </x:c>
      <x:c r="L1551" s="47" t="n">
        <x:v>842.04</x:v>
      </x:c>
      <x:c r="M1551" s="47" t="n">
        <x:v>595.32</x:v>
      </x:c>
      <x:c r="N1551" s="28" t="str">
        <x:v>top-left</x:v>
      </x:c>
      <x:c r="O1551" s="28" t="str">
        <x:v>PDF points</x:v>
      </x:c>
    </x:row>
    <x:row r="1552" ht="22" customHeight="1">
      <x:c r="A1552" s="28" t="str">
        <x:v>ANC-SLE-054-MECH-01-R15</x:v>
      </x:c>
      <x:c r="B1552" s="28" t="str">
        <x:v>ANC-SLE-054-MECH-01</x:v>
      </x:c>
      <x:c r="C1552" s="28" t="n">
        <x:v>17</x:v>
      </x:c>
      <x:c r="D1552" s="47" t="n">
        <x:v>576.482</x:v>
      </x:c>
      <x:c r="E1552" s="47" t="n">
        <x:v>214.147</x:v>
      </x:c>
      <x:c r="F1552" s="47" t="n">
        <x:v>591.6</x:v>
      </x:c>
      <x:c r="G1552" s="47" t="n">
        <x:v>223.755</x:v>
      </x:c>
      <x:c r="H1552" s="50" t="n">
        <x:v>0.684626</x:v>
      </x:c>
      <x:c r="I1552" s="50" t="n">
        <x:v>0.359718</x:v>
      </x:c>
      <x:c r="J1552" s="50" t="n">
        <x:v>0.70258</x:v>
      </x:c>
      <x:c r="K1552" s="50" t="n">
        <x:v>0.375857</x:v>
      </x:c>
      <x:c r="L1552" s="47" t="n">
        <x:v>842.04</x:v>
      </x:c>
      <x:c r="M1552" s="47" t="n">
        <x:v>595.32</x:v>
      </x:c>
      <x:c r="N1552" s="28" t="str">
        <x:v>top-left</x:v>
      </x:c>
      <x:c r="O1552" s="28" t="str">
        <x:v>PDF points</x:v>
      </x:c>
    </x:row>
    <x:row r="1553" ht="22" customHeight="1">
      <x:c r="A1553" s="28" t="str">
        <x:v>ANC-SLE-054-MECH-01-R16</x:v>
      </x:c>
      <x:c r="B1553" s="28" t="str">
        <x:v>ANC-SLE-054-MECH-01</x:v>
      </x:c>
      <x:c r="C1553" s="28" t="n">
        <x:v>17</x:v>
      </x:c>
      <x:c r="D1553" s="47" t="n">
        <x:v>616.92</x:v>
      </x:c>
      <x:c r="E1553" s="47" t="n">
        <x:v>214.147</x:v>
      </x:c>
      <x:c r="F1553" s="47" t="n">
        <x:v>632.038</x:v>
      </x:c>
      <x:c r="G1553" s="47" t="n">
        <x:v>223.755</x:v>
      </x:c>
      <x:c r="H1553" s="50" t="n">
        <x:v>0.732649</x:v>
      </x:c>
      <x:c r="I1553" s="50" t="n">
        <x:v>0.359718</x:v>
      </x:c>
      <x:c r="J1553" s="50" t="n">
        <x:v>0.750603</x:v>
      </x:c>
      <x:c r="K1553" s="50" t="n">
        <x:v>0.375857</x:v>
      </x:c>
      <x:c r="L1553" s="47" t="n">
        <x:v>842.04</x:v>
      </x:c>
      <x:c r="M1553" s="47" t="n">
        <x:v>595.32</x:v>
      </x:c>
      <x:c r="N1553" s="28" t="str">
        <x:v>top-left</x:v>
      </x:c>
      <x:c r="O1553" s="28" t="str">
        <x:v>PDF points</x:v>
      </x:c>
    </x:row>
    <x:row r="1554" ht="22" customHeight="1">
      <x:c r="A1554" s="28" t="str">
        <x:v>ANC-SLE-054-MECH-01-R17</x:v>
      </x:c>
      <x:c r="B1554" s="28" t="str">
        <x:v>ANC-SLE-054-MECH-01</x:v>
      </x:c>
      <x:c r="C1554" s="28" t="n">
        <x:v>17</x:v>
      </x:c>
      <x:c r="D1554" s="47" t="n">
        <x:v>656.52</x:v>
      </x:c>
      <x:c r="E1554" s="47" t="n">
        <x:v>214.147</x:v>
      </x:c>
      <x:c r="F1554" s="47" t="n">
        <x:v>671.638</x:v>
      </x:c>
      <x:c r="G1554" s="47" t="n">
        <x:v>223.755</x:v>
      </x:c>
      <x:c r="H1554" s="50" t="n">
        <x:v>0.779678</x:v>
      </x:c>
      <x:c r="I1554" s="50" t="n">
        <x:v>0.359718</x:v>
      </x:c>
      <x:c r="J1554" s="50" t="n">
        <x:v>0.797632</x:v>
      </x:c>
      <x:c r="K1554" s="50" t="n">
        <x:v>0.375857</x:v>
      </x:c>
      <x:c r="L1554" s="47" t="n">
        <x:v>842.04</x:v>
      </x:c>
      <x:c r="M1554" s="47" t="n">
        <x:v>595.32</x:v>
      </x:c>
      <x:c r="N1554" s="28" t="str">
        <x:v>top-left</x:v>
      </x:c>
      <x:c r="O1554" s="28" t="str">
        <x:v>PDF points</x:v>
      </x:c>
    </x:row>
    <x:row r="1555" ht="22" customHeight="1">
      <x:c r="A1555" s="28" t="str">
        <x:v>ANC-SLE-054-MECH-01-R18</x:v>
      </x:c>
      <x:c r="B1555" s="28" t="str">
        <x:v>ANC-SLE-054-MECH-01</x:v>
      </x:c>
      <x:c r="C1555" s="28" t="n">
        <x:v>17</x:v>
      </x:c>
      <x:c r="D1555" s="47" t="n">
        <x:v>696.004</x:v>
      </x:c>
      <x:c r="E1555" s="47" t="n">
        <x:v>214.147</x:v>
      </x:c>
      <x:c r="F1555" s="47" t="n">
        <x:v>711.122</x:v>
      </x:c>
      <x:c r="G1555" s="47" t="n">
        <x:v>223.755</x:v>
      </x:c>
      <x:c r="H1555" s="50" t="n">
        <x:v>0.826569</x:v>
      </x:c>
      <x:c r="I1555" s="50" t="n">
        <x:v>0.359718</x:v>
      </x:c>
      <x:c r="J1555" s="50" t="n">
        <x:v>0.844523</x:v>
      </x:c>
      <x:c r="K1555" s="50" t="n">
        <x:v>0.375857</x:v>
      </x:c>
      <x:c r="L1555" s="47" t="n">
        <x:v>842.04</x:v>
      </x:c>
      <x:c r="M1555" s="47" t="n">
        <x:v>595.32</x:v>
      </x:c>
      <x:c r="N1555" s="28" t="str">
        <x:v>top-left</x:v>
      </x:c>
      <x:c r="O1555" s="28" t="str">
        <x:v>PDF points</x:v>
      </x:c>
    </x:row>
    <x:row r="1556" ht="22" customHeight="1">
      <x:c r="A1556" s="28" t="str">
        <x:v>ANC-SLE-054-MECH-01-R19</x:v>
      </x:c>
      <x:c r="B1556" s="28" t="str">
        <x:v>ANC-SLE-054-MECH-01</x:v>
      </x:c>
      <x:c r="C1556" s="28" t="n">
        <x:v>17</x:v>
      </x:c>
      <x:c r="D1556" s="47" t="n">
        <x:v>731.887</x:v>
      </x:c>
      <x:c r="E1556" s="47" t="n">
        <x:v>214.147</x:v>
      </x:c>
      <x:c r="F1556" s="47" t="n">
        <x:v>747.005</x:v>
      </x:c>
      <x:c r="G1556" s="47" t="n">
        <x:v>223.755</x:v>
      </x:c>
      <x:c r="H1556" s="50" t="n">
        <x:v>0.869183</x:v>
      </x:c>
      <x:c r="I1556" s="50" t="n">
        <x:v>0.359718</x:v>
      </x:c>
      <x:c r="J1556" s="50" t="n">
        <x:v>0.887137</x:v>
      </x:c>
      <x:c r="K1556" s="50" t="n">
        <x:v>0.375857</x:v>
      </x:c>
      <x:c r="L1556" s="47" t="n">
        <x:v>842.04</x:v>
      </x:c>
      <x:c r="M1556" s="47" t="n">
        <x:v>595.32</x:v>
      </x:c>
      <x:c r="N1556" s="28" t="str">
        <x:v>top-left</x:v>
      </x:c>
      <x:c r="O1556" s="28" t="str">
        <x:v>PDF points</x:v>
      </x:c>
    </x:row>
    <x:row r="1557" ht="22" customHeight="1">
      <x:c r="A1557" s="28" t="str">
        <x:v>ANC-SLE-054-MECH-01-R20</x:v>
      </x:c>
      <x:c r="B1557" s="28" t="str">
        <x:v>ANC-SLE-054-MECH-01</x:v>
      </x:c>
      <x:c r="C1557" s="28" t="n">
        <x:v>17</x:v>
      </x:c>
      <x:c r="D1557" s="47" t="n">
        <x:v>768.011</x:v>
      </x:c>
      <x:c r="E1557" s="47" t="n">
        <x:v>214.147</x:v>
      </x:c>
      <x:c r="F1557" s="47" t="n">
        <x:v>783.128</x:v>
      </x:c>
      <x:c r="G1557" s="47" t="n">
        <x:v>223.755</x:v>
      </x:c>
      <x:c r="H1557" s="50" t="n">
        <x:v>0.912083</x:v>
      </x:c>
      <x:c r="I1557" s="50" t="n">
        <x:v>0.359718</x:v>
      </x:c>
      <x:c r="J1557" s="50" t="n">
        <x:v>0.930037</x:v>
      </x:c>
      <x:c r="K1557" s="50" t="n">
        <x:v>0.375857</x:v>
      </x:c>
      <x:c r="L1557" s="47" t="n">
        <x:v>842.04</x:v>
      </x:c>
      <x:c r="M1557" s="47" t="n">
        <x:v>595.32</x:v>
      </x:c>
      <x:c r="N1557" s="28" t="str">
        <x:v>top-left</x:v>
      </x:c>
      <x:c r="O1557" s="28" t="str">
        <x:v>PDF points</x:v>
      </x:c>
    </x:row>
    <x:row r="1558" ht="22" customHeight="1">
      <x:c r="A1558" s="28" t="str">
        <x:v>ANC-SLE-054-MECH-01-R21</x:v>
      </x:c>
      <x:c r="B1558" s="28" t="str">
        <x:v>ANC-SLE-054-MECH-01</x:v>
      </x:c>
      <x:c r="C1558" s="28" t="n">
        <x:v>17</x:v>
      </x:c>
      <x:c r="D1558" s="47" t="n">
        <x:v>217.32</x:v>
      </x:c>
      <x:c r="E1558" s="47" t="n">
        <x:v>226.027</x:v>
      </x:c>
      <x:c r="F1558" s="47" t="n">
        <x:v>450.056</x:v>
      </x:c>
      <x:c r="G1558" s="47" t="n">
        <x:v>235.635</x:v>
      </x:c>
      <x:c r="H1558" s="50" t="n">
        <x:v>0.258088</x:v>
      </x:c>
      <x:c r="I1558" s="50" t="n">
        <x:v>0.379674</x:v>
      </x:c>
      <x:c r="J1558" s="50" t="n">
        <x:v>0.534483</x:v>
      </x:c>
      <x:c r="K1558" s="50" t="n">
        <x:v>0.395813</x:v>
      </x:c>
      <x:c r="L1558" s="47" t="n">
        <x:v>842.04</x:v>
      </x:c>
      <x:c r="M1558" s="47" t="n">
        <x:v>595.32</x:v>
      </x:c>
      <x:c r="N1558" s="28" t="str">
        <x:v>top-left</x:v>
      </x:c>
      <x:c r="O1558" s="28" t="str">
        <x:v>PDF points</x:v>
      </x:c>
    </x:row>
    <x:row r="1559" ht="22" customHeight="1">
      <x:c r="A1559" s="28" t="str">
        <x:v>ANC-SLE-054-MECH-01-R22</x:v>
      </x:c>
      <x:c r="B1559" s="28" t="str">
        <x:v>ANC-SLE-054-MECH-01</x:v>
      </x:c>
      <x:c r="C1559" s="28" t="n">
        <x:v>17</x:v>
      </x:c>
      <x:c r="D1559" s="47" t="n">
        <x:v>217.32</x:v>
      </x:c>
      <x:c r="E1559" s="47" t="n">
        <x:v>234.787</x:v>
      </x:c>
      <x:c r="F1559" s="47" t="n">
        <x:v>263.32</x:v>
      </x:c>
      <x:c r="G1559" s="47" t="n">
        <x:v>244.395</x:v>
      </x:c>
      <x:c r="H1559" s="50" t="n">
        <x:v>0.258088</x:v>
      </x:c>
      <x:c r="I1559" s="50" t="n">
        <x:v>0.394388</x:v>
      </x:c>
      <x:c r="J1559" s="50" t="n">
        <x:v>0.312717</x:v>
      </x:c>
      <x:c r="K1559" s="50" t="n">
        <x:v>0.410527</x:v>
      </x:c>
      <x:c r="L1559" s="47" t="n">
        <x:v>842.04</x:v>
      </x:c>
      <x:c r="M1559" s="47" t="n">
        <x:v>595.32</x:v>
      </x:c>
      <x:c r="N1559" s="28" t="str">
        <x:v>top-left</x:v>
      </x:c>
      <x:c r="O1559" s="28" t="str">
        <x:v>PDF points</x:v>
      </x:c>
    </x:row>
    <x:row r="1560" ht="22" customHeight="1">
      <x:c r="A1560" s="28" t="str">
        <x:v>ANC-SLE-054-MECH-01-R23</x:v>
      </x:c>
      <x:c r="B1560" s="28" t="str">
        <x:v>ANC-SLE-054-MECH-01</x:v>
      </x:c>
      <x:c r="C1560" s="28" t="n">
        <x:v>17</x:v>
      </x:c>
      <x:c r="D1560" s="47" t="n">
        <x:v>476.28</x:v>
      </x:c>
      <x:c r="E1560" s="47" t="n">
        <x:v>230.827</x:v>
      </x:c>
      <x:c r="F1560" s="47" t="n">
        <x:v>491.398</x:v>
      </x:c>
      <x:c r="G1560" s="47" t="n">
        <x:v>240.435</x:v>
      </x:c>
      <x:c r="H1560" s="50" t="n">
        <x:v>0.565626</x:v>
      </x:c>
      <x:c r="I1560" s="50" t="n">
        <x:v>0.387737</x:v>
      </x:c>
      <x:c r="J1560" s="50" t="n">
        <x:v>0.58358</x:v>
      </x:c>
      <x:c r="K1560" s="50" t="n">
        <x:v>0.403875</x:v>
      </x:c>
      <x:c r="L1560" s="47" t="n">
        <x:v>842.04</x:v>
      </x:c>
      <x:c r="M1560" s="47" t="n">
        <x:v>595.32</x:v>
      </x:c>
      <x:c r="N1560" s="28" t="str">
        <x:v>top-left</x:v>
      </x:c>
      <x:c r="O1560" s="28" t="str">
        <x:v>PDF points</x:v>
      </x:c>
    </x:row>
    <x:row r="1561" ht="22" customHeight="1">
      <x:c r="A1561" s="28" t="str">
        <x:v>ANC-SLE-054-MECH-01-R24</x:v>
      </x:c>
      <x:c r="B1561" s="28" t="str">
        <x:v>ANC-SLE-054-MECH-01</x:v>
      </x:c>
      <x:c r="C1561" s="28" t="n">
        <x:v>17</x:v>
      </x:c>
      <x:c r="D1561" s="47" t="n">
        <x:v>526.924</x:v>
      </x:c>
      <x:c r="E1561" s="47" t="n">
        <x:v>230.827</x:v>
      </x:c>
      <x:c r="F1561" s="47" t="n">
        <x:v>542.042</x:v>
      </x:c>
      <x:c r="G1561" s="47" t="n">
        <x:v>240.435</x:v>
      </x:c>
      <x:c r="H1561" s="50" t="n">
        <x:v>0.625771</x:v>
      </x:c>
      <x:c r="I1561" s="50" t="n">
        <x:v>0.387737</x:v>
      </x:c>
      <x:c r="J1561" s="50" t="n">
        <x:v>0.643724</x:v>
      </x:c>
      <x:c r="K1561" s="50" t="n">
        <x:v>0.403875</x:v>
      </x:c>
      <x:c r="L1561" s="47" t="n">
        <x:v>842.04</x:v>
      </x:c>
      <x:c r="M1561" s="47" t="n">
        <x:v>595.32</x:v>
      </x:c>
      <x:c r="N1561" s="28" t="str">
        <x:v>top-left</x:v>
      </x:c>
      <x:c r="O1561" s="28" t="str">
        <x:v>PDF points</x:v>
      </x:c>
    </x:row>
    <x:row r="1562" ht="22" customHeight="1">
      <x:c r="A1562" s="28" t="str">
        <x:v>ANC-SLE-054-MECH-01-R25</x:v>
      </x:c>
      <x:c r="B1562" s="28" t="str">
        <x:v>ANC-SLE-054-MECH-01</x:v>
      </x:c>
      <x:c r="C1562" s="28" t="n">
        <x:v>17</x:v>
      </x:c>
      <x:c r="D1562" s="47" t="n">
        <x:v>576.482</x:v>
      </x:c>
      <x:c r="E1562" s="47" t="n">
        <x:v>230.827</x:v>
      </x:c>
      <x:c r="F1562" s="47" t="n">
        <x:v>591.6</x:v>
      </x:c>
      <x:c r="G1562" s="47" t="n">
        <x:v>240.435</x:v>
      </x:c>
      <x:c r="H1562" s="50" t="n">
        <x:v>0.684626</x:v>
      </x:c>
      <x:c r="I1562" s="50" t="n">
        <x:v>0.387737</x:v>
      </x:c>
      <x:c r="J1562" s="50" t="n">
        <x:v>0.70258</x:v>
      </x:c>
      <x:c r="K1562" s="50" t="n">
        <x:v>0.403875</x:v>
      </x:c>
      <x:c r="L1562" s="47" t="n">
        <x:v>842.04</x:v>
      </x:c>
      <x:c r="M1562" s="47" t="n">
        <x:v>595.32</x:v>
      </x:c>
      <x:c r="N1562" s="28" t="str">
        <x:v>top-left</x:v>
      </x:c>
      <x:c r="O1562" s="28" t="str">
        <x:v>PDF points</x:v>
      </x:c>
    </x:row>
    <x:row r="1563" ht="22" customHeight="1">
      <x:c r="A1563" s="28" t="str">
        <x:v>ANC-SLE-054-MECH-01-R26</x:v>
      </x:c>
      <x:c r="B1563" s="28" t="str">
        <x:v>ANC-SLE-054-MECH-01</x:v>
      </x:c>
      <x:c r="C1563" s="28" t="n">
        <x:v>17</x:v>
      </x:c>
      <x:c r="D1563" s="47" t="n">
        <x:v>616.924</x:v>
      </x:c>
      <x:c r="E1563" s="47" t="n">
        <x:v>230.827</x:v>
      </x:c>
      <x:c r="F1563" s="47" t="n">
        <x:v>632.041</x:v>
      </x:c>
      <x:c r="G1563" s="47" t="n">
        <x:v>240.435</x:v>
      </x:c>
      <x:c r="H1563" s="50" t="n">
        <x:v>0.732654</x:v>
      </x:c>
      <x:c r="I1563" s="50" t="n">
        <x:v>0.387737</x:v>
      </x:c>
      <x:c r="J1563" s="50" t="n">
        <x:v>0.750607</x:v>
      </x:c>
      <x:c r="K1563" s="50" t="n">
        <x:v>0.403875</x:v>
      </x:c>
      <x:c r="L1563" s="47" t="n">
        <x:v>842.04</x:v>
      </x:c>
      <x:c r="M1563" s="47" t="n">
        <x:v>595.32</x:v>
      </x:c>
      <x:c r="N1563" s="28" t="str">
        <x:v>top-left</x:v>
      </x:c>
      <x:c r="O1563" s="28" t="str">
        <x:v>PDF points</x:v>
      </x:c>
    </x:row>
    <x:row r="1564" ht="22" customHeight="1">
      <x:c r="A1564" s="28" t="str">
        <x:v>ANC-SLE-054-MECH-01-R27</x:v>
      </x:c>
      <x:c r="B1564" s="28" t="str">
        <x:v>ANC-SLE-054-MECH-01</x:v>
      </x:c>
      <x:c r="C1564" s="28" t="n">
        <x:v>17</x:v>
      </x:c>
      <x:c r="D1564" s="47" t="n">
        <x:v>656.529</x:v>
      </x:c>
      <x:c r="E1564" s="47" t="n">
        <x:v>230.827</x:v>
      </x:c>
      <x:c r="F1564" s="47" t="n">
        <x:v>671.646</x:v>
      </x:c>
      <x:c r="G1564" s="47" t="n">
        <x:v>240.435</x:v>
      </x:c>
      <x:c r="H1564" s="50" t="n">
        <x:v>0.779688</x:v>
      </x:c>
      <x:c r="I1564" s="50" t="n">
        <x:v>0.387737</x:v>
      </x:c>
      <x:c r="J1564" s="50" t="n">
        <x:v>0.797642</x:v>
      </x:c>
      <x:c r="K1564" s="50" t="n">
        <x:v>0.403875</x:v>
      </x:c>
      <x:c r="L1564" s="47" t="n">
        <x:v>842.04</x:v>
      </x:c>
      <x:c r="M1564" s="47" t="n">
        <x:v>595.32</x:v>
      </x:c>
      <x:c r="N1564" s="28" t="str">
        <x:v>top-left</x:v>
      </x:c>
      <x:c r="O1564" s="28" t="str">
        <x:v>PDF points</x:v>
      </x:c>
    </x:row>
    <x:row r="1565" ht="22" customHeight="1">
      <x:c r="A1565" s="28" t="str">
        <x:v>ANC-SLE-054-MECH-01-R28</x:v>
      </x:c>
      <x:c r="B1565" s="28" t="str">
        <x:v>ANC-SLE-054-MECH-01</x:v>
      </x:c>
      <x:c r="C1565" s="28" t="n">
        <x:v>17</x:v>
      </x:c>
      <x:c r="D1565" s="47" t="n">
        <x:v>696.013</x:v>
      </x:c>
      <x:c r="E1565" s="47" t="n">
        <x:v>230.827</x:v>
      </x:c>
      <x:c r="F1565" s="47" t="n">
        <x:v>711.131</x:v>
      </x:c>
      <x:c r="G1565" s="47" t="n">
        <x:v>240.435</x:v>
      </x:c>
      <x:c r="H1565" s="50" t="n">
        <x:v>0.82658</x:v>
      </x:c>
      <x:c r="I1565" s="50" t="n">
        <x:v>0.387737</x:v>
      </x:c>
      <x:c r="J1565" s="50" t="n">
        <x:v>0.844533</x:v>
      </x:c>
      <x:c r="K1565" s="50" t="n">
        <x:v>0.403875</x:v>
      </x:c>
      <x:c r="L1565" s="47" t="n">
        <x:v>842.04</x:v>
      </x:c>
      <x:c r="M1565" s="47" t="n">
        <x:v>595.32</x:v>
      </x:c>
      <x:c r="N1565" s="28" t="str">
        <x:v>top-left</x:v>
      </x:c>
      <x:c r="O1565" s="28" t="str">
        <x:v>PDF points</x:v>
      </x:c>
    </x:row>
    <x:row r="1566" ht="22" customHeight="1">
      <x:c r="A1566" s="28" t="str">
        <x:v>ANC-SLE-054-MECH-01-R29</x:v>
      </x:c>
      <x:c r="B1566" s="28" t="str">
        <x:v>ANC-SLE-054-MECH-01</x:v>
      </x:c>
      <x:c r="C1566" s="28" t="n">
        <x:v>17</x:v>
      </x:c>
      <x:c r="D1566" s="47" t="n">
        <x:v>731.896</x:v>
      </x:c>
      <x:c r="E1566" s="47" t="n">
        <x:v>230.827</x:v>
      </x:c>
      <x:c r="F1566" s="47" t="n">
        <x:v>747.013</x:v>
      </x:c>
      <x:c r="G1566" s="47" t="n">
        <x:v>240.435</x:v>
      </x:c>
      <x:c r="H1566" s="50" t="n">
        <x:v>0.869193</x:v>
      </x:c>
      <x:c r="I1566" s="50" t="n">
        <x:v>0.387737</x:v>
      </x:c>
      <x:c r="J1566" s="50" t="n">
        <x:v>0.887147</x:v>
      </x:c>
      <x:c r="K1566" s="50" t="n">
        <x:v>0.403875</x:v>
      </x:c>
      <x:c r="L1566" s="47" t="n">
        <x:v>842.04</x:v>
      </x:c>
      <x:c r="M1566" s="47" t="n">
        <x:v>595.32</x:v>
      </x:c>
      <x:c r="N1566" s="28" t="str">
        <x:v>top-left</x:v>
      </x:c>
      <x:c r="O1566" s="28" t="str">
        <x:v>PDF points</x:v>
      </x:c>
    </x:row>
    <x:row r="1567" ht="22" customHeight="1">
      <x:c r="A1567" s="28" t="str">
        <x:v>ANC-SLE-054-MECH-01-R30</x:v>
      </x:c>
      <x:c r="B1567" s="28" t="str">
        <x:v>ANC-SLE-054-MECH-01</x:v>
      </x:c>
      <x:c r="C1567" s="28" t="n">
        <x:v>17</x:v>
      </x:c>
      <x:c r="D1567" s="47" t="n">
        <x:v>765.84</x:v>
      </x:c>
      <x:c r="E1567" s="47" t="n">
        <x:v>230.827</x:v>
      </x:c>
      <x:c r="F1567" s="47" t="n">
        <x:v>785.398</x:v>
      </x:c>
      <x:c r="G1567" s="47" t="n">
        <x:v>240.435</x:v>
      </x:c>
      <x:c r="H1567" s="50" t="n">
        <x:v>0.909506</x:v>
      </x:c>
      <x:c r="I1567" s="50" t="n">
        <x:v>0.387737</x:v>
      </x:c>
      <x:c r="J1567" s="50" t="n">
        <x:v>0.932733</x:v>
      </x:c>
      <x:c r="K1567" s="50" t="n">
        <x:v>0.403875</x:v>
      </x:c>
      <x:c r="L1567" s="47" t="n">
        <x:v>842.04</x:v>
      </x:c>
      <x:c r="M1567" s="47" t="n">
        <x:v>595.32</x:v>
      </x:c>
      <x:c r="N1567" s="28" t="str">
        <x:v>top-left</x:v>
      </x:c>
      <x:c r="O1567" s="28" t="str">
        <x:v>PDF points</x:v>
      </x:c>
    </x:row>
    <x:row r="1568" ht="22" customHeight="1">
      <x:c r="A1568" s="28" t="str">
        <x:v>ANC-SLE-054-MECH-01-R31</x:v>
      </x:c>
      <x:c r="B1568" s="28" t="str">
        <x:v>ANC-SLE-054-MECH-01</x:v>
      </x:c>
      <x:c r="C1568" s="28" t="n">
        <x:v>17</x:v>
      </x:c>
      <x:c r="D1568" s="47" t="n">
        <x:v>51.12</x:v>
      </x:c>
      <x:c r="E1568" s="47" t="n">
        <x:v>259.507</x:v>
      </x:c>
      <x:c r="F1568" s="47" t="n">
        <x:v>76.935</x:v>
      </x:c>
      <x:c r="G1568" s="47" t="n">
        <x:v>268.753</x:v>
      </x:c>
      <x:c r="H1568" s="50" t="n">
        <x:v>0.06071</x:v>
      </x:c>
      <x:c r="I1568" s="50" t="n">
        <x:v>0.435912</x:v>
      </x:c>
      <x:c r="J1568" s="50" t="n">
        <x:v>0.091367</x:v>
      </x:c>
      <x:c r="K1568" s="50" t="n">
        <x:v>0.451443</x:v>
      </x:c>
      <x:c r="L1568" s="47" t="n">
        <x:v>842.04</x:v>
      </x:c>
      <x:c r="M1568" s="47" t="n">
        <x:v>595.32</x:v>
      </x:c>
      <x:c r="N1568" s="28" t="str">
        <x:v>top-left</x:v>
      </x:c>
      <x:c r="O1568" s="28" t="str">
        <x:v>PDF points</x:v>
      </x:c>
    </x:row>
    <x:row r="1569" ht="22" customHeight="1">
      <x:c r="A1569" s="28" t="str">
        <x:v>ANC-SLE-054-MECH-01-R32</x:v>
      </x:c>
      <x:c r="B1569" s="28" t="str">
        <x:v>ANC-SLE-054-MECH-01</x:v>
      </x:c>
      <x:c r="C1569" s="28" t="n">
        <x:v>17</x:v>
      </x:c>
      <x:c r="D1569" s="47" t="n">
        <x:v>122.88</x:v>
      </x:c>
      <x:c r="E1569" s="47" t="n">
        <x:v>259.507</x:v>
      </x:c>
      <x:c r="F1569" s="47" t="n">
        <x:v>191.921</x:v>
      </x:c>
      <x:c r="G1569" s="47" t="n">
        <x:v>269.115</x:v>
      </x:c>
      <x:c r="H1569" s="50" t="n">
        <x:v>0.145931</x:v>
      </x:c>
      <x:c r="I1569" s="50" t="n">
        <x:v>0.435912</x:v>
      </x:c>
      <x:c r="J1569" s="50" t="n">
        <x:v>0.227924</x:v>
      </x:c>
      <x:c r="K1569" s="50" t="n">
        <x:v>0.452051</x:v>
      </x:c>
      <x:c r="L1569" s="47" t="n">
        <x:v>842.04</x:v>
      </x:c>
      <x:c r="M1569" s="47" t="n">
        <x:v>595.32</x:v>
      </x:c>
      <x:c r="N1569" s="28" t="str">
        <x:v>top-left</x:v>
      </x:c>
      <x:c r="O1569" s="28" t="str">
        <x:v>PDF points</x:v>
      </x:c>
    </x:row>
    <x:row r="1570" ht="22" customHeight="1">
      <x:c r="A1570" s="28" t="str">
        <x:v>ANC-SLE-054-MECH-01-R33</x:v>
      </x:c>
      <x:c r="B1570" s="28" t="str">
        <x:v>ANC-SLE-054-MECH-01</x:v>
      </x:c>
      <x:c r="C1570" s="28" t="n">
        <x:v>17</x:v>
      </x:c>
      <x:c r="D1570" s="47" t="n">
        <x:v>217.32</x:v>
      </x:c>
      <x:c r="E1570" s="47" t="n">
        <x:v>259.507</x:v>
      </x:c>
      <x:c r="F1570" s="47" t="n">
        <x:v>362.185</x:v>
      </x:c>
      <x:c r="G1570" s="47" t="n">
        <x:v>269.115</x:v>
      </x:c>
      <x:c r="H1570" s="50" t="n">
        <x:v>0.258088</x:v>
      </x:c>
      <x:c r="I1570" s="50" t="n">
        <x:v>0.435912</x:v>
      </x:c>
      <x:c r="J1570" s="50" t="n">
        <x:v>0.430129</x:v>
      </x:c>
      <x:c r="K1570" s="50" t="n">
        <x:v>0.452051</x:v>
      </x:c>
      <x:c r="L1570" s="47" t="n">
        <x:v>842.04</x:v>
      </x:c>
      <x:c r="M1570" s="47" t="n">
        <x:v>595.32</x:v>
      </x:c>
      <x:c r="N1570" s="28" t="str">
        <x:v>top-left</x:v>
      </x:c>
      <x:c r="O1570" s="28" t="str">
        <x:v>PDF points</x:v>
      </x:c>
    </x:row>
    <x:row r="1571" ht="22" customHeight="1">
      <x:c r="A1571" s="28" t="str">
        <x:v>ANC-SLE-055-ASP-R01</x:v>
      </x:c>
      <x:c r="B1571" s="28" t="str">
        <x:v>ANC-SLE-055-ASP</x:v>
      </x:c>
      <x:c r="C1571" s="28" t="n">
        <x:v>11</x:v>
      </x:c>
      <x:c r="D1571" s="47" t="n">
        <x:v>70.56</x:v>
      </x:c>
      <x:c r="E1571" s="47" t="n">
        <x:v>76.036</x:v>
      </x:c>
      <x:c r="F1571" s="47" t="n">
        <x:v>541.701</x:v>
      </x:c>
      <x:c r="G1571" s="47" t="n">
        <x:v>88.732</x:v>
      </x:c>
      <x:c r="H1571" s="50" t="n">
        <x:v>0.115294</x:v>
      </x:c>
      <x:c r="I1571" s="50" t="n">
        <x:v>0.096005</x:v>
      </x:c>
      <x:c r="J1571" s="50" t="n">
        <x:v>0.885132</x:v>
      </x:c>
      <x:c r="K1571" s="50" t="n">
        <x:v>0.112036</x:v>
      </x:c>
      <x:c r="L1571" s="47" t="n">
        <x:v>612</x:v>
      </x:c>
      <x:c r="M1571" s="47" t="n">
        <x:v>792</x:v>
      </x:c>
      <x:c r="N1571" s="28" t="str">
        <x:v>top-left</x:v>
      </x:c>
      <x:c r="O1571" s="28" t="str">
        <x:v>PDF points</x:v>
      </x:c>
    </x:row>
    <x:row r="1572" ht="22" customHeight="1">
      <x:c r="A1572" s="28" t="str">
        <x:v>ANC-SLE-056-ASP-R01</x:v>
      </x:c>
      <x:c r="B1572" s="28" t="str">
        <x:v>ANC-SLE-056-ASP</x:v>
      </x:c>
      <x:c r="C1572" s="28" t="n">
        <x:v>9</x:v>
      </x:c>
      <x:c r="D1572" s="47" t="n">
        <x:v>296.04</x:v>
      </x:c>
      <x:c r="E1572" s="47" t="n">
        <x:v>409.547</x:v>
      </x:c>
      <x:c r="F1572" s="47" t="n">
        <x:v>504.654</x:v>
      </x:c>
      <x:c r="G1572" s="47" t="n">
        <x:v>421.449</x:v>
      </x:c>
      <x:c r="H1572" s="50" t="n">
        <x:v>0.483726</x:v>
      </x:c>
      <x:c r="I1572" s="50" t="n">
        <x:v>0.517104</x:v>
      </x:c>
      <x:c r="J1572" s="50" t="n">
        <x:v>0.824598</x:v>
      </x:c>
      <x:c r="K1572" s="50" t="n">
        <x:v>0.532132</x:v>
      </x:c>
      <x:c r="L1572" s="47" t="n">
        <x:v>612</x:v>
      </x:c>
      <x:c r="M1572" s="47" t="n">
        <x:v>792</x:v>
      </x:c>
      <x:c r="N1572" s="28" t="str">
        <x:v>top-left</x:v>
      </x:c>
      <x:c r="O1572" s="28" t="str">
        <x:v>PDF points</x:v>
      </x:c>
    </x:row>
    <x:row r="1573" ht="22" customHeight="1">
      <x:c r="A1573" s="28" t="str">
        <x:v>ANC-SLE-057-ASP-R01</x:v>
      </x:c>
      <x:c r="B1573" s="28" t="str">
        <x:v>ANC-SLE-057-ASP</x:v>
      </x:c>
      <x:c r="C1573" s="28" t="n">
        <x:v>9</x:v>
      </x:c>
      <x:c r="D1573" s="47" t="n">
        <x:v>135.96</x:v>
      </x:c>
      <x:c r="E1573" s="47" t="n">
        <x:v>438.947</x:v>
      </x:c>
      <x:c r="F1573" s="47" t="n">
        <x:v>203.234</x:v>
      </x:c>
      <x:c r="G1573" s="47" t="n">
        <x:v>450.849</x:v>
      </x:c>
      <x:c r="H1573" s="50" t="n">
        <x:v>0.222157</x:v>
      </x:c>
      <x:c r="I1573" s="50" t="n">
        <x:v>0.554226</x:v>
      </x:c>
      <x:c r="J1573" s="50" t="n">
        <x:v>0.332081</x:v>
      </x:c>
      <x:c r="K1573" s="50" t="n">
        <x:v>0.569254</x:v>
      </x:c>
      <x:c r="L1573" s="47" t="n">
        <x:v>612</x:v>
      </x:c>
      <x:c r="M1573" s="47" t="n">
        <x:v>792</x:v>
      </x:c>
      <x:c r="N1573" s="28" t="str">
        <x:v>top-left</x:v>
      </x:c>
      <x:c r="O1573" s="28" t="str">
        <x:v>PDF points</x:v>
      </x:c>
    </x:row>
    <x:row r="1574" ht="22" customHeight="1">
      <x:c r="A1574" s="28" t="str">
        <x:v>ANC-SLE-058-ASP-R01</x:v>
      </x:c>
      <x:c r="B1574" s="28" t="str">
        <x:v>ANC-SLE-058-ASP</x:v>
      </x:c>
      <x:c r="C1574" s="28" t="n">
        <x:v>9</x:v>
      </x:c>
      <x:c r="D1574" s="47" t="n">
        <x:v>296.04</x:v>
      </x:c>
      <x:c r="E1574" s="47" t="n">
        <x:v>648.227</x:v>
      </x:c>
      <x:c r="F1574" s="47" t="n">
        <x:v>514.864</x:v>
      </x:c>
      <x:c r="G1574" s="47" t="n">
        <x:v>660.129</x:v>
      </x:c>
      <x:c r="H1574" s="50" t="n">
        <x:v>0.483726</x:v>
      </x:c>
      <x:c r="I1574" s="50" t="n">
        <x:v>0.818468</x:v>
      </x:c>
      <x:c r="J1574" s="50" t="n">
        <x:v>0.841281</x:v>
      </x:c>
      <x:c r="K1574" s="50" t="n">
        <x:v>0.833496</x:v>
      </x:c>
      <x:c r="L1574" s="47" t="n">
        <x:v>612</x:v>
      </x:c>
      <x:c r="M1574" s="47" t="n">
        <x:v>792</x:v>
      </x:c>
      <x:c r="N1574" s="28" t="str">
        <x:v>top-left</x:v>
      </x:c>
      <x:c r="O1574" s="28" t="str">
        <x:v>PDF points</x:v>
      </x:c>
    </x:row>
    <x:row r="1575" ht="22" customHeight="1">
      <x:c r="A1575" s="28" t="str">
        <x:v>ANC-SLE-059-ASP-R01</x:v>
      </x:c>
      <x:c r="B1575" s="28" t="str">
        <x:v>ANC-SLE-059-ASP</x:v>
      </x:c>
      <x:c r="C1575" s="28" t="n">
        <x:v>9</x:v>
      </x:c>
      <x:c r="D1575" s="47" t="n">
        <x:v>135.96</x:v>
      </x:c>
      <x:c r="E1575" s="47" t="n">
        <x:v>543.467</x:v>
      </x:c>
      <x:c r="F1575" s="47" t="n">
        <x:v>179.564</x:v>
      </x:c>
      <x:c r="G1575" s="47" t="n">
        <x:v>555.369</x:v>
      </x:c>
      <x:c r="H1575" s="50" t="n">
        <x:v>0.222157</x:v>
      </x:c>
      <x:c r="I1575" s="50" t="n">
        <x:v>0.686195</x:v>
      </x:c>
      <x:c r="J1575" s="50" t="n">
        <x:v>0.293405</x:v>
      </x:c>
      <x:c r="K1575" s="50" t="n">
        <x:v>0.701223</x:v>
      </x:c>
      <x:c r="L1575" s="47" t="n">
        <x:v>612</x:v>
      </x:c>
      <x:c r="M1575" s="47" t="n">
        <x:v>792</x:v>
      </x:c>
      <x:c r="N1575" s="28" t="str">
        <x:v>top-left</x:v>
      </x:c>
      <x:c r="O1575" s="28" t="str">
        <x:v>PDF points</x:v>
      </x:c>
    </x:row>
    <x:row r="1576" ht="22" customHeight="1">
      <x:c r="A1576" s="29" t="str">
        <x:v>ANC-SLE-059-ASP-R02</x:v>
      </x:c>
      <x:c r="B1576" s="29" t="str">
        <x:v>ANC-SLE-059-ASP</x:v>
      </x:c>
      <x:c r="C1576" s="29" t="n">
        <x:v>9</x:v>
      </x:c>
      <x:c r="D1576" s="48" t="n">
        <x:v>135.96</x:v>
      </x:c>
      <x:c r="E1576" s="48" t="n">
        <x:v>556.067</x:v>
      </x:c>
      <x:c r="F1576" s="48" t="n">
        <x:v>178.601</x:v>
      </x:c>
      <x:c r="G1576" s="48" t="n">
        <x:v>567.969</x:v>
      </x:c>
      <x:c r="H1576" s="51" t="n">
        <x:v>0.222157</x:v>
      </x:c>
      <x:c r="I1576" s="51" t="n">
        <x:v>0.702104</x:v>
      </x:c>
      <x:c r="J1576" s="51" t="n">
        <x:v>0.291831</x:v>
      </x:c>
      <x:c r="K1576" s="51" t="n">
        <x:v>0.717132</x:v>
      </x:c>
      <x:c r="L1576" s="48" t="n">
        <x:v>612</x:v>
      </x:c>
      <x:c r="M1576" s="48" t="n">
        <x:v>792</x:v>
      </x:c>
      <x:c r="N1576" s="29" t="str">
        <x:v>top-left</x:v>
      </x:c>
      <x:c r="O1576" s="29" t="str">
        <x:v>PDF points</x:v>
      </x:c>
    </x:row>
  </x:sheetData>
  <x:mergeCells>
    <x:mergeCell ref="A1:O1"/>
    <x:mergeCell ref="A2:O2"/>
  </x:mergeCells>
  <x:pageMargins left="0.7" right="0.7" top="0.75" bottom="0.75" header="0.3" footer="0.3"/>
  <x:tableParts count="1">
    <x:tablePart xmlns:r="http://schemas.openxmlformats.org/officeDocument/2006/relationships" r:id="R365a8a20e67a41d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20" hidden="0" customWidth="1"/>
    <x:col min="3" max="3" width="20" hidden="0" customWidth="1"/>
    <x:col min="4" max="4" width="37" hidden="0" customWidth="1"/>
    <x:col min="5" max="5" width="39" hidden="0" customWidth="1"/>
    <x:col min="6" max="6" width="28" hidden="0" customWidth="1"/>
    <x:col min="7" max="7" width="28" hidden="0" customWidth="1"/>
    <x:col min="8" max="8" width="24" hidden="0" customWidth="1"/>
    <x:col min="9" max="9" width="44" hidden="0" customWidth="1"/>
  </x:cols>
  <x:sheetData>
    <x:row r="1" ht="31" customHeight="1">
      <x:c r="A1" s="44" t="str">
        <x:v>Candidate Relationships — Aspirations, Mechanisms, and Consolidation</x:v>
      </x:c>
      <x:c r="B1" s="44"/>
      <x:c r="C1" s="44"/>
      <x:c r="D1" s="44"/>
      <x:c r="E1" s="44"/>
      <x:c r="F1" s="44"/>
      <x:c r="G1" s="44"/>
      <x:c r="H1" s="44"/>
      <x:c r="I1" s="44"/>
    </x:row>
    <x:row r="2" ht="32" customHeight="1">
      <x:c r="A2" s="24" t="str">
        <x:v>Use these links to display aspiration evidence beside explicit mechanisms and to prevent duplicate counting.</x:v>
      </x:c>
      <x:c r="B2" s="24"/>
      <x:c r="C2" s="24"/>
      <x:c r="D2" s="24"/>
      <x:c r="E2" s="24"/>
      <x:c r="F2" s="24"/>
      <x:c r="G2" s="24"/>
      <x:c r="H2" s="24"/>
      <x:c r="I2" s="24"/>
    </x:row>
    <x:row r="3">
      <x:c r="A3" s="25"/>
      <x:c r="B3" s="25"/>
      <x:c r="C3" s="25"/>
      <x:c r="D3" s="25"/>
      <x:c r="E3" s="25"/>
      <x:c r="F3" s="25"/>
      <x:c r="G3" s="25"/>
      <x:c r="H3" s="25"/>
      <x:c r="I3" s="25"/>
    </x:row>
    <x:row r="4" ht="40" customHeight="1">
      <x:c r="A4" s="45" t="str">
        <x:v>relationship_id</x:v>
      </x:c>
      <x:c r="B4" s="45" t="str">
        <x:v>source_candidate_id</x:v>
      </x:c>
      <x:c r="C4" s="45" t="str">
        <x:v>target_candidate_id</x:v>
      </x:c>
      <x:c r="D4" s="45" t="str">
        <x:v>relationship_type</x:v>
      </x:c>
      <x:c r="E4" s="45" t="str">
        <x:v>relationship_status</x:v>
      </x:c>
      <x:c r="F4" s="45" t="str">
        <x:v>source_anchor_id</x:v>
      </x:c>
      <x:c r="G4" s="45" t="str">
        <x:v>target_anchor_id</x:v>
      </x:c>
      <x:c r="H4" s="45" t="str">
        <x:v>human_review_status</x:v>
      </x:c>
      <x:c r="I4" s="45" t="str">
        <x:v>reviewer_comment</x:v>
      </x:c>
    </x:row>
    <x:row r="5" ht="42" customHeight="1">
      <x:c r="A5" s="27" t="str">
        <x:v>REL-CAM-013-01</x:v>
      </x:c>
      <x:c r="B5" s="27" t="str">
        <x:v>CAM-013</x:v>
      </x:c>
      <x:c r="C5" s="27" t="str">
        <x:v>CAM-027</x:v>
      </x:c>
      <x:c r="D5" s="27" t="str">
        <x:v>Aspiration supported by mechanism</x:v>
      </x:c>
      <x:c r="E5" s="27" t="str">
        <x:v>Proposed by LLM; pending human review</x:v>
      </x:c>
      <x:c r="F5" s="27" t="str">
        <x:v>ANC-CAM-013-01</x:v>
      </x:c>
      <x:c r="G5" s="27" t="str">
        <x:v>ANC-CAM-027-01</x:v>
      </x:c>
      <x:c r="H5" s="27" t="str">
        <x:v>Pending human review</x:v>
      </x:c>
      <x:c r="I5" s="27" t="str"/>
    </x:row>
    <x:row r="6" ht="42" customHeight="1">
      <x:c r="A6" s="28" t="str">
        <x:v>REL-CAM-015-01</x:v>
      </x:c>
      <x:c r="B6" s="28" t="str">
        <x:v>CAM-015</x:v>
      </x:c>
      <x:c r="C6" s="28" t="str">
        <x:v>CAM-012</x:v>
      </x:c>
      <x:c r="D6" s="28" t="str">
        <x:v>Aspiration supported by mechanism</x:v>
      </x:c>
      <x:c r="E6" s="28" t="str">
        <x:v>Proposed by LLM; pending human review</x:v>
      </x:c>
      <x:c r="F6" s="28" t="str">
        <x:v>ANC-CAM-015-01</x:v>
      </x:c>
      <x:c r="G6" s="28" t="str">
        <x:v>ANC-CAM-012-01</x:v>
      </x:c>
      <x:c r="H6" s="28" t="str">
        <x:v>Pending human review</x:v>
      </x:c>
      <x:c r="I6" s="28" t="str"/>
    </x:row>
    <x:row r="7" ht="42" customHeight="1">
      <x:c r="A7" s="28" t="str">
        <x:v>REL-CAM-017-01</x:v>
      </x:c>
      <x:c r="B7" s="28" t="str">
        <x:v>CAM-017</x:v>
      </x:c>
      <x:c r="C7" s="28" t="str">
        <x:v>CAM-004</x:v>
      </x:c>
      <x:c r="D7" s="28" t="str">
        <x:v>Consolidated under</x:v>
      </x:c>
      <x:c r="E7" s="28" t="str">
        <x:v>Proposed by LLM; pending human review</x:v>
      </x:c>
      <x:c r="F7" s="28" t="str">
        <x:v>ANC-CAM-017-01</x:v>
      </x:c>
      <x:c r="G7" s="28" t="str">
        <x:v>ANC-CAM-004-01</x:v>
      </x:c>
      <x:c r="H7" s="28" t="str">
        <x:v>Pending human review</x:v>
      </x:c>
      <x:c r="I7" s="28" t="str"/>
    </x:row>
    <x:row r="8" ht="42" customHeight="1">
      <x:c r="A8" s="28" t="str">
        <x:v>REL-CAM-030-01</x:v>
      </x:c>
      <x:c r="B8" s="28" t="str">
        <x:v>CAM-030</x:v>
      </x:c>
      <x:c r="C8" s="28" t="str">
        <x:v>CAM-029</x:v>
      </x:c>
      <x:c r="D8" s="28" t="str">
        <x:v>Related or supporting candidate</x:v>
      </x:c>
      <x:c r="E8" s="28" t="str">
        <x:v>Proposed by LLM; pending human review</x:v>
      </x:c>
      <x:c r="F8" s="28" t="str">
        <x:v>ANC-CAM-030-01</x:v>
      </x:c>
      <x:c r="G8" s="28" t="str">
        <x:v>ANC-CAM-029-01</x:v>
      </x:c>
      <x:c r="H8" s="28" t="str">
        <x:v>Pending human review</x:v>
      </x:c>
      <x:c r="I8" s="28" t="str"/>
    </x:row>
    <x:row r="9" ht="42" customHeight="1">
      <x:c r="A9" s="28" t="str">
        <x:v>REL-CAM-031-01</x:v>
      </x:c>
      <x:c r="B9" s="28" t="str">
        <x:v>CAM-031</x:v>
      </x:c>
      <x:c r="C9" s="28" t="str">
        <x:v>CAM-008</x:v>
      </x:c>
      <x:c r="D9" s="28" t="str">
        <x:v>Related or supporting candidate</x:v>
      </x:c>
      <x:c r="E9" s="28" t="str">
        <x:v>Proposed by LLM; pending human review</x:v>
      </x:c>
      <x:c r="F9" s="28" t="str">
        <x:v>ANC-CAM-031-01</x:v>
      </x:c>
      <x:c r="G9" s="28" t="str">
        <x:v>ANC-CAM-008-01</x:v>
      </x:c>
      <x:c r="H9" s="28" t="str">
        <x:v>Pending human review</x:v>
      </x:c>
      <x:c r="I9" s="28" t="str"/>
    </x:row>
    <x:row r="10" ht="42" customHeight="1">
      <x:c r="A10" s="28" t="str">
        <x:v>REL-CAM-032-01</x:v>
      </x:c>
      <x:c r="B10" s="28" t="str">
        <x:v>CAM-032</x:v>
      </x:c>
      <x:c r="C10" s="28" t="str">
        <x:v>CAM-029</x:v>
      </x:c>
      <x:c r="D10" s="28" t="str">
        <x:v>Consolidated under</x:v>
      </x:c>
      <x:c r="E10" s="28" t="str">
        <x:v>Proposed by LLM; pending human review</x:v>
      </x:c>
      <x:c r="F10" s="28" t="str">
        <x:v>ANC-CAM-032-01</x:v>
      </x:c>
      <x:c r="G10" s="28" t="str">
        <x:v>ANC-CAM-029-01</x:v>
      </x:c>
      <x:c r="H10" s="28" t="str">
        <x:v>Pending human review</x:v>
      </x:c>
      <x:c r="I10" s="28" t="str"/>
    </x:row>
    <x:row r="11" ht="42" customHeight="1">
      <x:c r="A11" s="28" t="str">
        <x:v>REL-CAM-039-01</x:v>
      </x:c>
      <x:c r="B11" s="28" t="str">
        <x:v>CAM-039</x:v>
      </x:c>
      <x:c r="C11" s="28" t="str">
        <x:v>CAM-020</x:v>
      </x:c>
      <x:c r="D11" s="28" t="str">
        <x:v>Consolidated under</x:v>
      </x:c>
      <x:c r="E11" s="28" t="str">
        <x:v>Proposed by LLM; pending human review</x:v>
      </x:c>
      <x:c r="F11" s="28" t="str">
        <x:v>ANC-CAM-039-01</x:v>
      </x:c>
      <x:c r="G11" s="28" t="str">
        <x:v>ANC-CAM-020-01</x:v>
      </x:c>
      <x:c r="H11" s="28" t="str">
        <x:v>Pending human review</x:v>
      </x:c>
      <x:c r="I11" s="28" t="str"/>
    </x:row>
    <x:row r="12" ht="42" customHeight="1">
      <x:c r="A12" s="28" t="str">
        <x:v>REL-CAM-042-01</x:v>
      </x:c>
      <x:c r="B12" s="28" t="str">
        <x:v>CAM-042</x:v>
      </x:c>
      <x:c r="C12" s="28" t="str">
        <x:v>CAM-020</x:v>
      </x:c>
      <x:c r="D12" s="28" t="str">
        <x:v>Consolidated under</x:v>
      </x:c>
      <x:c r="E12" s="28" t="str">
        <x:v>Proposed by LLM; pending human review</x:v>
      </x:c>
      <x:c r="F12" s="28" t="str">
        <x:v>ANC-CAM-042-01</x:v>
      </x:c>
      <x:c r="G12" s="28" t="str">
        <x:v>ANC-CAM-020-01</x:v>
      </x:c>
      <x:c r="H12" s="28" t="str">
        <x:v>Pending human review</x:v>
      </x:c>
      <x:c r="I12" s="28" t="str"/>
    </x:row>
    <x:row r="13" ht="42" customHeight="1">
      <x:c r="A13" s="28" t="str">
        <x:v>REL-CAM-043-01</x:v>
      </x:c>
      <x:c r="B13" s="28" t="str">
        <x:v>CAM-043</x:v>
      </x:c>
      <x:c r="C13" s="28" t="str">
        <x:v>CAM-040</x:v>
      </x:c>
      <x:c r="D13" s="28" t="str">
        <x:v>Related or supporting candidate</x:v>
      </x:c>
      <x:c r="E13" s="28" t="str">
        <x:v>Proposed by LLM; pending human review</x:v>
      </x:c>
      <x:c r="F13" s="28" t="str">
        <x:v>ANC-CAM-043-01</x:v>
      </x:c>
      <x:c r="G13" s="28" t="str">
        <x:v>ANC-CAM-040-01</x:v>
      </x:c>
      <x:c r="H13" s="28" t="str">
        <x:v>Pending human review</x:v>
      </x:c>
      <x:c r="I13" s="28" t="str"/>
    </x:row>
    <x:row r="14" ht="42" customHeight="1">
      <x:c r="A14" s="28" t="str">
        <x:v>REL-CAM-044-01</x:v>
      </x:c>
      <x:c r="B14" s="28" t="str">
        <x:v>CAM-044</x:v>
      </x:c>
      <x:c r="C14" s="28" t="str">
        <x:v>CAM-021</x:v>
      </x:c>
      <x:c r="D14" s="28" t="str">
        <x:v>Related or supporting candidate</x:v>
      </x:c>
      <x:c r="E14" s="28" t="str">
        <x:v>Proposed by LLM; pending human review</x:v>
      </x:c>
      <x:c r="F14" s="28" t="str">
        <x:v>ANC-CAM-044-01</x:v>
      </x:c>
      <x:c r="G14" s="28" t="str">
        <x:v>ANC-CAM-021-01</x:v>
      </x:c>
      <x:c r="H14" s="28" t="str">
        <x:v>Pending human review</x:v>
      </x:c>
      <x:c r="I14" s="28" t="str"/>
    </x:row>
    <x:row r="15" ht="42" customHeight="1">
      <x:c r="A15" s="28" t="str">
        <x:v>REL-CAM-045-01</x:v>
      </x:c>
      <x:c r="B15" s="28" t="str">
        <x:v>CAM-045</x:v>
      </x:c>
      <x:c r="C15" s="28" t="str">
        <x:v>CAM-021</x:v>
      </x:c>
      <x:c r="D15" s="28" t="str">
        <x:v>Related or supporting candidate</x:v>
      </x:c>
      <x:c r="E15" s="28" t="str">
        <x:v>Proposed by LLM; pending human review</x:v>
      </x:c>
      <x:c r="F15" s="28" t="str">
        <x:v>ANC-CAM-045-01</x:v>
      </x:c>
      <x:c r="G15" s="28" t="str">
        <x:v>ANC-CAM-021-01</x:v>
      </x:c>
      <x:c r="H15" s="28" t="str">
        <x:v>Pending human review</x:v>
      </x:c>
      <x:c r="I15" s="28" t="str"/>
    </x:row>
    <x:row r="16" ht="42" customHeight="1">
      <x:c r="A16" s="28" t="str">
        <x:v>REL-CAM-046-01</x:v>
      </x:c>
      <x:c r="B16" s="28" t="str">
        <x:v>CAM-046</x:v>
      </x:c>
      <x:c r="C16" s="28" t="str">
        <x:v>CAM-018</x:v>
      </x:c>
      <x:c r="D16" s="28" t="str">
        <x:v>Consolidated under</x:v>
      </x:c>
      <x:c r="E16" s="28" t="str">
        <x:v>Proposed by LLM; pending human review</x:v>
      </x:c>
      <x:c r="F16" s="28" t="str">
        <x:v>ANC-CAM-046-01</x:v>
      </x:c>
      <x:c r="G16" s="28" t="str">
        <x:v>ANC-CAM-018-01</x:v>
      </x:c>
      <x:c r="H16" s="28" t="str">
        <x:v>Pending human review</x:v>
      </x:c>
      <x:c r="I16" s="28" t="str"/>
    </x:row>
    <x:row r="17" ht="42" customHeight="1">
      <x:c r="A17" s="28" t="str">
        <x:v>REL-CAM-047-01</x:v>
      </x:c>
      <x:c r="B17" s="28" t="str">
        <x:v>CAM-047</x:v>
      </x:c>
      <x:c r="C17" s="28" t="str">
        <x:v>CAM-018</x:v>
      </x:c>
      <x:c r="D17" s="28" t="str">
        <x:v>Related or supporting candidate</x:v>
      </x:c>
      <x:c r="E17" s="28" t="str">
        <x:v>Proposed by LLM; pending human review</x:v>
      </x:c>
      <x:c r="F17" s="28" t="str">
        <x:v>ANC-CAM-047-01</x:v>
      </x:c>
      <x:c r="G17" s="28" t="str">
        <x:v>ANC-CAM-018-01</x:v>
      </x:c>
      <x:c r="H17" s="28" t="str">
        <x:v>Pending human review</x:v>
      </x:c>
      <x:c r="I17" s="28" t="str"/>
    </x:row>
    <x:row r="18" ht="42" customHeight="1">
      <x:c r="A18" s="28" t="str">
        <x:v>REL-CAM-051-01</x:v>
      </x:c>
      <x:c r="B18" s="28" t="str">
        <x:v>CAM-051</x:v>
      </x:c>
      <x:c r="C18" s="28" t="str">
        <x:v>CAM-025</x:v>
      </x:c>
      <x:c r="D18" s="28" t="str">
        <x:v>Related or supporting candidate</x:v>
      </x:c>
      <x:c r="E18" s="28" t="str">
        <x:v>Proposed by LLM; pending human review</x:v>
      </x:c>
      <x:c r="F18" s="28" t="str">
        <x:v>ANC-CAM-051-01</x:v>
      </x:c>
      <x:c r="G18" s="28" t="str">
        <x:v>ANC-CAM-025-01</x:v>
      </x:c>
      <x:c r="H18" s="28" t="str">
        <x:v>Pending human review</x:v>
      </x:c>
      <x:c r="I18" s="28" t="str"/>
    </x:row>
    <x:row r="19" ht="42" customHeight="1">
      <x:c r="A19" s="28" t="str">
        <x:v>REL-CAM-052-01</x:v>
      </x:c>
      <x:c r="B19" s="28" t="str">
        <x:v>CAM-052</x:v>
      </x:c>
      <x:c r="C19" s="28" t="str">
        <x:v>CAM-025</x:v>
      </x:c>
      <x:c r="D19" s="28" t="str">
        <x:v>Related or supporting candidate</x:v>
      </x:c>
      <x:c r="E19" s="28" t="str">
        <x:v>Proposed by LLM; pending human review</x:v>
      </x:c>
      <x:c r="F19" s="28" t="str">
        <x:v>ANC-CAM-052-01</x:v>
      </x:c>
      <x:c r="G19" s="28" t="str">
        <x:v>ANC-CAM-025-01</x:v>
      </x:c>
      <x:c r="H19" s="28" t="str">
        <x:v>Pending human review</x:v>
      </x:c>
      <x:c r="I19" s="28" t="str"/>
    </x:row>
    <x:row r="20" ht="42" customHeight="1">
      <x:c r="A20" s="28" t="str">
        <x:v>REL-CAM-054-01</x:v>
      </x:c>
      <x:c r="B20" s="28" t="str">
        <x:v>CAM-054</x:v>
      </x:c>
      <x:c r="C20" s="28" t="str">
        <x:v>CAM-053</x:v>
      </x:c>
      <x:c r="D20" s="28" t="str">
        <x:v>Related or supporting candidate</x:v>
      </x:c>
      <x:c r="E20" s="28" t="str">
        <x:v>Proposed by LLM; pending human review</x:v>
      </x:c>
      <x:c r="F20" s="28" t="str">
        <x:v>ANC-CAM-054-01</x:v>
      </x:c>
      <x:c r="G20" s="28" t="str">
        <x:v>ANC-CAM-053-01</x:v>
      </x:c>
      <x:c r="H20" s="28" t="str">
        <x:v>Pending human review</x:v>
      </x:c>
      <x:c r="I20" s="28" t="str"/>
    </x:row>
    <x:row r="21" ht="42" customHeight="1">
      <x:c r="A21" s="28" t="str">
        <x:v>REL-CAM-056-01</x:v>
      </x:c>
      <x:c r="B21" s="28" t="str">
        <x:v>CAM-056</x:v>
      </x:c>
      <x:c r="C21" s="28" t="str">
        <x:v>CAM-055</x:v>
      </x:c>
      <x:c r="D21" s="28" t="str">
        <x:v>Related or supporting candidate</x:v>
      </x:c>
      <x:c r="E21" s="28" t="str">
        <x:v>Proposed by LLM; pending human review</x:v>
      </x:c>
      <x:c r="F21" s="28" t="str">
        <x:v>ANC-CAM-056-01</x:v>
      </x:c>
      <x:c r="G21" s="28" t="str">
        <x:v>ANC-CAM-055-01</x:v>
      </x:c>
      <x:c r="H21" s="28" t="str">
        <x:v>Pending human review</x:v>
      </x:c>
      <x:c r="I21" s="28" t="str"/>
    </x:row>
    <x:row r="22" ht="42" customHeight="1">
      <x:c r="A22" s="28" t="str">
        <x:v>REL-CAM-058-01</x:v>
      </x:c>
      <x:c r="B22" s="28" t="str">
        <x:v>CAM-058</x:v>
      </x:c>
      <x:c r="C22" s="28" t="str">
        <x:v>CAM-016</x:v>
      </x:c>
      <x:c r="D22" s="28" t="str">
        <x:v>Consolidated under</x:v>
      </x:c>
      <x:c r="E22" s="28" t="str">
        <x:v>Proposed by LLM; pending human review</x:v>
      </x:c>
      <x:c r="F22" s="28" t="str">
        <x:v>ANC-CAM-058-01</x:v>
      </x:c>
      <x:c r="G22" s="28" t="str">
        <x:v>ANC-CAM-016-01</x:v>
      </x:c>
      <x:c r="H22" s="28" t="str">
        <x:v>Pending human review</x:v>
      </x:c>
      <x:c r="I22" s="28" t="str"/>
    </x:row>
    <x:row r="23" ht="42" customHeight="1">
      <x:c r="A23" s="28" t="str">
        <x:v>REL-CAM-059-01</x:v>
      </x:c>
      <x:c r="B23" s="28" t="str">
        <x:v>CAM-059</x:v>
      </x:c>
      <x:c r="C23" s="28" t="str">
        <x:v>CAM-057</x:v>
      </x:c>
      <x:c r="D23" s="28" t="str">
        <x:v>Related or supporting candidate</x:v>
      </x:c>
      <x:c r="E23" s="28" t="str">
        <x:v>Proposed by LLM; pending human review</x:v>
      </x:c>
      <x:c r="F23" s="28" t="str">
        <x:v>ANC-CAM-059-01</x:v>
      </x:c>
      <x:c r="G23" s="28" t="str">
        <x:v>ANC-CAM-057-01</x:v>
      </x:c>
      <x:c r="H23" s="28" t="str">
        <x:v>Pending human review</x:v>
      </x:c>
      <x:c r="I23" s="28" t="str"/>
    </x:row>
    <x:row r="24" ht="42" customHeight="1">
      <x:c r="A24" s="28" t="str">
        <x:v>REL-CAM-061-01</x:v>
      </x:c>
      <x:c r="B24" s="28" t="str">
        <x:v>CAM-061</x:v>
      </x:c>
      <x:c r="C24" s="28" t="str">
        <x:v>CAM-024</x:v>
      </x:c>
      <x:c r="D24" s="28" t="str">
        <x:v>Aspiration supported by mechanism</x:v>
      </x:c>
      <x:c r="E24" s="28" t="str">
        <x:v>Proposed by LLM; pending human review</x:v>
      </x:c>
      <x:c r="F24" s="28" t="str">
        <x:v>ANC-CAM-061-01</x:v>
      </x:c>
      <x:c r="G24" s="28" t="str">
        <x:v>ANC-CAM-024-01</x:v>
      </x:c>
      <x:c r="H24" s="28" t="str">
        <x:v>Pending human review</x:v>
      </x:c>
      <x:c r="I24" s="28" t="str"/>
    </x:row>
    <x:row r="25" ht="42" customHeight="1">
      <x:c r="A25" s="28" t="str">
        <x:v>REL-CAM-065-01</x:v>
      </x:c>
      <x:c r="B25" s="28" t="str">
        <x:v>CAM-065</x:v>
      </x:c>
      <x:c r="C25" s="28" t="str">
        <x:v>CAM-025</x:v>
      </x:c>
      <x:c r="D25" s="28" t="str">
        <x:v>Aspiration supported by mechanism</x:v>
      </x:c>
      <x:c r="E25" s="28" t="str">
        <x:v>Proposed by LLM; pending human review</x:v>
      </x:c>
      <x:c r="F25" s="28" t="str">
        <x:v>ANC-CAM-065-01</x:v>
      </x:c>
      <x:c r="G25" s="28" t="str">
        <x:v>ANC-CAM-025-01</x:v>
      </x:c>
      <x:c r="H25" s="28" t="str">
        <x:v>Pending human review</x:v>
      </x:c>
      <x:c r="I25" s="28" t="str"/>
    </x:row>
    <x:row r="26" ht="42" customHeight="1">
      <x:c r="A26" s="28" t="str">
        <x:v>REL-CAM-071-01</x:v>
      </x:c>
      <x:c r="B26" s="28" t="str">
        <x:v>CAM-071</x:v>
      </x:c>
      <x:c r="C26" s="28" t="str">
        <x:v>CAM-060</x:v>
      </x:c>
      <x:c r="D26" s="28" t="str">
        <x:v>Related or supporting candidate</x:v>
      </x:c>
      <x:c r="E26" s="28" t="str">
        <x:v>Proposed by LLM; pending human review</x:v>
      </x:c>
      <x:c r="F26" s="28" t="str">
        <x:v>ANC-CAM-071-01</x:v>
      </x:c>
      <x:c r="G26" s="28" t="str">
        <x:v>ANC-CAM-060-01</x:v>
      </x:c>
      <x:c r="H26" s="28" t="str">
        <x:v>Pending human review</x:v>
      </x:c>
      <x:c r="I26" s="28" t="str"/>
    </x:row>
    <x:row r="27" ht="42" customHeight="1">
      <x:c r="A27" s="28" t="str">
        <x:v>REL-CAM-072-01</x:v>
      </x:c>
      <x:c r="B27" s="28" t="str">
        <x:v>CAM-072</x:v>
      </x:c>
      <x:c r="C27" s="28" t="str">
        <x:v>CAM-023</x:v>
      </x:c>
      <x:c r="D27" s="28" t="str">
        <x:v>Related or supporting candidate</x:v>
      </x:c>
      <x:c r="E27" s="28" t="str">
        <x:v>Proposed by LLM; pending human review</x:v>
      </x:c>
      <x:c r="F27" s="28" t="str">
        <x:v>ANC-CAM-072-01</x:v>
      </x:c>
      <x:c r="G27" s="28" t="str">
        <x:v>ANC-CAM-023-01</x:v>
      </x:c>
      <x:c r="H27" s="28" t="str">
        <x:v>Pending human review</x:v>
      </x:c>
      <x:c r="I27" s="28" t="str"/>
    </x:row>
    <x:row r="28" ht="42" customHeight="1">
      <x:c r="A28" s="28" t="str">
        <x:v>REL-CAM-077-01</x:v>
      </x:c>
      <x:c r="B28" s="28" t="str">
        <x:v>CAM-077</x:v>
      </x:c>
      <x:c r="C28" s="28" t="str">
        <x:v>CAM-053</x:v>
      </x:c>
      <x:c r="D28" s="28" t="str">
        <x:v>Consolidated under</x:v>
      </x:c>
      <x:c r="E28" s="28" t="str">
        <x:v>Proposed by LLM; pending human review</x:v>
      </x:c>
      <x:c r="F28" s="28" t="str">
        <x:v>ANC-CAM-077-01</x:v>
      </x:c>
      <x:c r="G28" s="28" t="str">
        <x:v>ANC-CAM-053-01</x:v>
      </x:c>
      <x:c r="H28" s="28" t="str">
        <x:v>Pending human review</x:v>
      </x:c>
      <x:c r="I28" s="28" t="str"/>
    </x:row>
    <x:row r="29" ht="42" customHeight="1">
      <x:c r="A29" s="28" t="str">
        <x:v>REL-CAM-078-01</x:v>
      </x:c>
      <x:c r="B29" s="28" t="str">
        <x:v>CAM-078</x:v>
      </x:c>
      <x:c r="C29" s="28" t="str">
        <x:v>CAM-049</x:v>
      </x:c>
      <x:c r="D29" s="28" t="str">
        <x:v>Consolidated under</x:v>
      </x:c>
      <x:c r="E29" s="28" t="str">
        <x:v>Proposed by LLM; pending human review</x:v>
      </x:c>
      <x:c r="F29" s="28" t="str">
        <x:v>ANC-CAM-078-01</x:v>
      </x:c>
      <x:c r="G29" s="28" t="str">
        <x:v>ANC-CAM-049-01</x:v>
      </x:c>
      <x:c r="H29" s="28" t="str">
        <x:v>Pending human review</x:v>
      </x:c>
      <x:c r="I29" s="28" t="str"/>
    </x:row>
    <x:row r="30" ht="42" customHeight="1">
      <x:c r="A30" s="28" t="str">
        <x:v>REL-JAM-009-01</x:v>
      </x:c>
      <x:c r="B30" s="28" t="str">
        <x:v>JAM-009</x:v>
      </x:c>
      <x:c r="C30" s="28" t="str">
        <x:v>JAM-008</x:v>
      </x:c>
      <x:c r="D30" s="28" t="str">
        <x:v>Related or supporting candidate</x:v>
      </x:c>
      <x:c r="E30" s="28" t="str">
        <x:v>Proposed by LLM; pending human review</x:v>
      </x:c>
      <x:c r="F30" s="28" t="str">
        <x:v>ANC-JAM-009-01</x:v>
      </x:c>
      <x:c r="G30" s="28" t="str">
        <x:v>ANC-JAM-008-01</x:v>
      </x:c>
      <x:c r="H30" s="28" t="str">
        <x:v>Pending human review</x:v>
      </x:c>
      <x:c r="I30" s="28" t="str"/>
    </x:row>
    <x:row r="31" ht="42" customHeight="1">
      <x:c r="A31" s="28" t="str">
        <x:v>REL-JAM-010-01</x:v>
      </x:c>
      <x:c r="B31" s="28" t="str">
        <x:v>JAM-010</x:v>
      </x:c>
      <x:c r="C31" s="28" t="str">
        <x:v>JAM-001</x:v>
      </x:c>
      <x:c r="D31" s="28" t="str">
        <x:v>Aspiration supported by mechanism</x:v>
      </x:c>
      <x:c r="E31" s="28" t="str">
        <x:v>Proposed by LLM; pending human review</x:v>
      </x:c>
      <x:c r="F31" s="28" t="str">
        <x:v>ANC-JAM-010-01</x:v>
      </x:c>
      <x:c r="G31" s="28" t="str">
        <x:v>ANC-JAM-001-01</x:v>
      </x:c>
      <x:c r="H31" s="28" t="str">
        <x:v>Pending human review</x:v>
      </x:c>
      <x:c r="I31" s="28" t="str"/>
    </x:row>
    <x:row r="32" ht="42" customHeight="1">
      <x:c r="A32" s="28" t="str">
        <x:v>REL-JAM-010-02</x:v>
      </x:c>
      <x:c r="B32" s="28" t="str">
        <x:v>JAM-010</x:v>
      </x:c>
      <x:c r="C32" s="28" t="str">
        <x:v>JAM-026</x:v>
      </x:c>
      <x:c r="D32" s="28" t="str">
        <x:v>Aspiration supported by mechanism</x:v>
      </x:c>
      <x:c r="E32" s="28" t="str">
        <x:v>Proposed by LLM; pending human review</x:v>
      </x:c>
      <x:c r="F32" s="28" t="str">
        <x:v>ANC-JAM-010-01</x:v>
      </x:c>
      <x:c r="G32" s="28" t="str">
        <x:v>ANC-JAM-026-01</x:v>
      </x:c>
      <x:c r="H32" s="28" t="str">
        <x:v>Pending human review</x:v>
      </x:c>
      <x:c r="I32" s="28" t="str"/>
    </x:row>
    <x:row r="33" ht="42" customHeight="1">
      <x:c r="A33" s="28" t="str">
        <x:v>REL-JAM-016-01</x:v>
      </x:c>
      <x:c r="B33" s="28" t="str">
        <x:v>JAM-016</x:v>
      </x:c>
      <x:c r="C33" s="28" t="str">
        <x:v>JAM-023</x:v>
      </x:c>
      <x:c r="D33" s="28" t="str">
        <x:v>Aspiration supported by mechanism</x:v>
      </x:c>
      <x:c r="E33" s="28" t="str">
        <x:v>Proposed by LLM; pending human review</x:v>
      </x:c>
      <x:c r="F33" s="28" t="str">
        <x:v>ANC-JAM-016-01</x:v>
      </x:c>
      <x:c r="G33" s="28" t="str">
        <x:v>ANC-JAM-023-01</x:v>
      </x:c>
      <x:c r="H33" s="28" t="str">
        <x:v>Pending human review</x:v>
      </x:c>
      <x:c r="I33" s="28" t="str"/>
    </x:row>
    <x:row r="34" ht="42" customHeight="1">
      <x:c r="A34" s="28" t="str">
        <x:v>REL-JAM-017-01</x:v>
      </x:c>
      <x:c r="B34" s="28" t="str">
        <x:v>JAM-017</x:v>
      </x:c>
      <x:c r="C34" s="28" t="str">
        <x:v>JAM-002</x:v>
      </x:c>
      <x:c r="D34" s="28" t="str">
        <x:v>Aspiration supported by mechanism</x:v>
      </x:c>
      <x:c r="E34" s="28" t="str">
        <x:v>Proposed by LLM; pending human review</x:v>
      </x:c>
      <x:c r="F34" s="28" t="str">
        <x:v>ANC-JAM-017-01</x:v>
      </x:c>
      <x:c r="G34" s="28" t="str">
        <x:v>ANC-JAM-002-01</x:v>
      </x:c>
      <x:c r="H34" s="28" t="str">
        <x:v>Pending human review</x:v>
      </x:c>
      <x:c r="I34" s="28" t="str"/>
    </x:row>
    <x:row r="35" ht="42" customHeight="1">
      <x:c r="A35" s="28" t="str">
        <x:v>REL-JAM-017-02</x:v>
      </x:c>
      <x:c r="B35" s="28" t="str">
        <x:v>JAM-017</x:v>
      </x:c>
      <x:c r="C35" s="28" t="str">
        <x:v>JAM-024</x:v>
      </x:c>
      <x:c r="D35" s="28" t="str">
        <x:v>Aspiration supported by mechanism</x:v>
      </x:c>
      <x:c r="E35" s="28" t="str">
        <x:v>Proposed by LLM; pending human review</x:v>
      </x:c>
      <x:c r="F35" s="28" t="str">
        <x:v>ANC-JAM-017-01</x:v>
      </x:c>
      <x:c r="G35" s="28" t="str">
        <x:v>ANC-JAM-024-01</x:v>
      </x:c>
      <x:c r="H35" s="28" t="str">
        <x:v>Pending human review</x:v>
      </x:c>
      <x:c r="I35" s="28" t="str"/>
    </x:row>
    <x:row r="36" ht="42" customHeight="1">
      <x:c r="A36" s="28" t="str">
        <x:v>REL-JAM-017-03</x:v>
      </x:c>
      <x:c r="B36" s="28" t="str">
        <x:v>JAM-017</x:v>
      </x:c>
      <x:c r="C36" s="28" t="str">
        <x:v>JAM-027</x:v>
      </x:c>
      <x:c r="D36" s="28" t="str">
        <x:v>Aspiration supported by mechanism</x:v>
      </x:c>
      <x:c r="E36" s="28" t="str">
        <x:v>Proposed by LLM; pending human review</x:v>
      </x:c>
      <x:c r="F36" s="28" t="str">
        <x:v>ANC-JAM-017-01</x:v>
      </x:c>
      <x:c r="G36" s="28" t="str">
        <x:v>ANC-JAM-027-01</x:v>
      </x:c>
      <x:c r="H36" s="28" t="str">
        <x:v>Pending human review</x:v>
      </x:c>
      <x:c r="I36" s="28" t="str"/>
    </x:row>
    <x:row r="37" ht="42" customHeight="1">
      <x:c r="A37" s="28" t="str">
        <x:v>REL-JAM-025-01</x:v>
      </x:c>
      <x:c r="B37" s="28" t="str">
        <x:v>JAM-025</x:v>
      </x:c>
      <x:c r="C37" s="28" t="str">
        <x:v>JAM-024</x:v>
      </x:c>
      <x:c r="D37" s="28" t="str">
        <x:v>Consolidated under</x:v>
      </x:c>
      <x:c r="E37" s="28" t="str">
        <x:v>Proposed by LLM; pending human review</x:v>
      </x:c>
      <x:c r="F37" s="28" t="str">
        <x:v>ANC-JAM-025-01</x:v>
      </x:c>
      <x:c r="G37" s="28" t="str">
        <x:v>ANC-JAM-024-01</x:v>
      </x:c>
      <x:c r="H37" s="28" t="str">
        <x:v>Pending human review</x:v>
      </x:c>
      <x:c r="I37" s="28" t="str"/>
    </x:row>
    <x:row r="38" ht="42" customHeight="1">
      <x:c r="A38" s="28" t="str">
        <x:v>REL-JAM-026-01</x:v>
      </x:c>
      <x:c r="B38" s="28" t="str">
        <x:v>JAM-026</x:v>
      </x:c>
      <x:c r="C38" s="28" t="str">
        <x:v>JAM-024</x:v>
      </x:c>
      <x:c r="D38" s="28" t="str">
        <x:v>Related or supporting candidate</x:v>
      </x:c>
      <x:c r="E38" s="28" t="str">
        <x:v>Proposed by LLM; pending human review</x:v>
      </x:c>
      <x:c r="F38" s="28" t="str">
        <x:v>ANC-JAM-026-01</x:v>
      </x:c>
      <x:c r="G38" s="28" t="str">
        <x:v>ANC-JAM-024-01</x:v>
      </x:c>
      <x:c r="H38" s="28" t="str">
        <x:v>Pending human review</x:v>
      </x:c>
      <x:c r="I38" s="28" t="str"/>
    </x:row>
    <x:row r="39" ht="42" customHeight="1">
      <x:c r="A39" s="28" t="str">
        <x:v>REL-JAM-027-01</x:v>
      </x:c>
      <x:c r="B39" s="28" t="str">
        <x:v>JAM-027</x:v>
      </x:c>
      <x:c r="C39" s="28" t="str">
        <x:v>JAM-024</x:v>
      </x:c>
      <x:c r="D39" s="28" t="str">
        <x:v>Related or supporting candidate</x:v>
      </x:c>
      <x:c r="E39" s="28" t="str">
        <x:v>Proposed by LLM; pending human review</x:v>
      </x:c>
      <x:c r="F39" s="28" t="str">
        <x:v>ANC-JAM-027-01</x:v>
      </x:c>
      <x:c r="G39" s="28" t="str">
        <x:v>ANC-JAM-024-01</x:v>
      </x:c>
      <x:c r="H39" s="28" t="str">
        <x:v>Pending human review</x:v>
      </x:c>
      <x:c r="I39" s="28" t="str"/>
    </x:row>
    <x:row r="40" ht="42" customHeight="1">
      <x:c r="A40" s="28" t="str">
        <x:v>REL-JAM-030-01</x:v>
      </x:c>
      <x:c r="B40" s="28" t="str">
        <x:v>JAM-030</x:v>
      </x:c>
      <x:c r="C40" s="28" t="str">
        <x:v>JAM-008</x:v>
      </x:c>
      <x:c r="D40" s="28" t="str">
        <x:v>Related or supporting candidate</x:v>
      </x:c>
      <x:c r="E40" s="28" t="str">
        <x:v>Proposed by LLM; pending human review</x:v>
      </x:c>
      <x:c r="F40" s="28" t="str">
        <x:v>ANC-JAM-030-01</x:v>
      </x:c>
      <x:c r="G40" s="28" t="str">
        <x:v>ANC-JAM-008-01</x:v>
      </x:c>
      <x:c r="H40" s="28" t="str">
        <x:v>Pending human review</x:v>
      </x:c>
      <x:c r="I40" s="28" t="str"/>
    </x:row>
    <x:row r="41" ht="42" customHeight="1">
      <x:c r="A41" s="28" t="str">
        <x:v>REL-JAM-030-02</x:v>
      </x:c>
      <x:c r="B41" s="28" t="str">
        <x:v>JAM-030</x:v>
      </x:c>
      <x:c r="C41" s="28" t="str">
        <x:v>JAM-009</x:v>
      </x:c>
      <x:c r="D41" s="28" t="str">
        <x:v>Related or supporting candidate</x:v>
      </x:c>
      <x:c r="E41" s="28" t="str">
        <x:v>Proposed by LLM; pending human review</x:v>
      </x:c>
      <x:c r="F41" s="28" t="str">
        <x:v>ANC-JAM-030-01</x:v>
      </x:c>
      <x:c r="G41" s="28" t="str">
        <x:v>ANC-JAM-009-01</x:v>
      </x:c>
      <x:c r="H41" s="28" t="str">
        <x:v>Pending human review</x:v>
      </x:c>
      <x:c r="I41" s="28" t="str"/>
    </x:row>
    <x:row r="42" ht="42" customHeight="1">
      <x:c r="A42" s="28" t="str">
        <x:v>REL-SLE-002-01</x:v>
      </x:c>
      <x:c r="B42" s="28" t="str">
        <x:v>SLE-002</x:v>
      </x:c>
      <x:c r="C42" s="28" t="str">
        <x:v>SLE-026</x:v>
      </x:c>
      <x:c r="D42" s="28" t="str">
        <x:v>Aspiration supported by mechanism</x:v>
      </x:c>
      <x:c r="E42" s="28" t="str">
        <x:v>Proposed by LLM; pending human review</x:v>
      </x:c>
      <x:c r="F42" s="28" t="str">
        <x:v>ANC-SLE-002-01</x:v>
      </x:c>
      <x:c r="G42" s="28" t="str">
        <x:v>ANC-SLE-026-01</x:v>
      </x:c>
      <x:c r="H42" s="28" t="str">
        <x:v>Pending human review</x:v>
      </x:c>
      <x:c r="I42" s="28" t="str"/>
    </x:row>
    <x:row r="43" ht="42" customHeight="1">
      <x:c r="A43" s="28" t="str">
        <x:v>REL-SLE-008-01</x:v>
      </x:c>
      <x:c r="B43" s="28" t="str">
        <x:v>SLE-008</x:v>
      </x:c>
      <x:c r="C43" s="28" t="str">
        <x:v>SLE-039</x:v>
      </x:c>
      <x:c r="D43" s="28" t="str">
        <x:v>Aspiration supported by mechanism</x:v>
      </x:c>
      <x:c r="E43" s="28" t="str">
        <x:v>Proposed by LLM; pending human review</x:v>
      </x:c>
      <x:c r="F43" s="28" t="str">
        <x:v>ANC-SLE-008-01</x:v>
      </x:c>
      <x:c r="G43" s="28" t="str">
        <x:v>ANC-SLE-039-01</x:v>
      </x:c>
      <x:c r="H43" s="28" t="str">
        <x:v>Pending human review</x:v>
      </x:c>
      <x:c r="I43" s="28" t="str"/>
    </x:row>
    <x:row r="44" ht="42" customHeight="1">
      <x:c r="A44" s="28" t="str">
        <x:v>REL-SLE-008-02</x:v>
      </x:c>
      <x:c r="B44" s="28" t="str">
        <x:v>SLE-008</x:v>
      </x:c>
      <x:c r="C44" s="28" t="str">
        <x:v>SLE-042</x:v>
      </x:c>
      <x:c r="D44" s="28" t="str">
        <x:v>Aspiration supported by mechanism</x:v>
      </x:c>
      <x:c r="E44" s="28" t="str">
        <x:v>Proposed by LLM; pending human review</x:v>
      </x:c>
      <x:c r="F44" s="28" t="str">
        <x:v>ANC-SLE-008-01</x:v>
      </x:c>
      <x:c r="G44" s="28" t="str">
        <x:v>ANC-SLE-042-01</x:v>
      </x:c>
      <x:c r="H44" s="28" t="str">
        <x:v>Pending human review</x:v>
      </x:c>
      <x:c r="I44" s="28" t="str"/>
    </x:row>
    <x:row r="45" ht="42" customHeight="1">
      <x:c r="A45" s="28" t="str">
        <x:v>REL-SLE-008-03</x:v>
      </x:c>
      <x:c r="B45" s="28" t="str">
        <x:v>SLE-008</x:v>
      </x:c>
      <x:c r="C45" s="28" t="str">
        <x:v>SLE-043</x:v>
      </x:c>
      <x:c r="D45" s="28" t="str">
        <x:v>Aspiration supported by mechanism</x:v>
      </x:c>
      <x:c r="E45" s="28" t="str">
        <x:v>Proposed by LLM; pending human review</x:v>
      </x:c>
      <x:c r="F45" s="28" t="str">
        <x:v>ANC-SLE-008-01</x:v>
      </x:c>
      <x:c r="G45" s="28" t="str">
        <x:v>ANC-SLE-043-01</x:v>
      </x:c>
      <x:c r="H45" s="28" t="str">
        <x:v>Pending human review</x:v>
      </x:c>
      <x:c r="I45" s="28" t="str"/>
    </x:row>
    <x:row r="46" ht="42" customHeight="1">
      <x:c r="A46" s="28" t="str">
        <x:v>REL-SLE-008-04</x:v>
      </x:c>
      <x:c r="B46" s="28" t="str">
        <x:v>SLE-008</x:v>
      </x:c>
      <x:c r="C46" s="28" t="str">
        <x:v>SLE-044</x:v>
      </x:c>
      <x:c r="D46" s="28" t="str">
        <x:v>Aspiration supported by mechanism</x:v>
      </x:c>
      <x:c r="E46" s="28" t="str">
        <x:v>Proposed by LLM; pending human review</x:v>
      </x:c>
      <x:c r="F46" s="28" t="str">
        <x:v>ANC-SLE-008-01</x:v>
      </x:c>
      <x:c r="G46" s="28" t="str">
        <x:v>ANC-SLE-044-01</x:v>
      </x:c>
      <x:c r="H46" s="28" t="str">
        <x:v>Pending human review</x:v>
      </x:c>
      <x:c r="I46" s="28" t="str"/>
    </x:row>
    <x:row r="47" ht="42" customHeight="1">
      <x:c r="A47" s="28" t="str">
        <x:v>REL-SLE-010-01</x:v>
      </x:c>
      <x:c r="B47" s="28" t="str">
        <x:v>SLE-010</x:v>
      </x:c>
      <x:c r="C47" s="28" t="str">
        <x:v>SLE-023</x:v>
      </x:c>
      <x:c r="D47" s="28" t="str">
        <x:v>Aspiration supported by mechanism</x:v>
      </x:c>
      <x:c r="E47" s="28" t="str">
        <x:v>Proposed by LLM; pending human review</x:v>
      </x:c>
      <x:c r="F47" s="28" t="str">
        <x:v>ANC-SLE-010-01</x:v>
      </x:c>
      <x:c r="G47" s="28" t="str">
        <x:v>ANC-SLE-023-01</x:v>
      </x:c>
      <x:c r="H47" s="28" t="str">
        <x:v>Pending human review</x:v>
      </x:c>
      <x:c r="I47" s="28" t="str"/>
    </x:row>
    <x:row r="48" ht="42" customHeight="1">
      <x:c r="A48" s="28" t="str">
        <x:v>REL-SLE-020-01</x:v>
      </x:c>
      <x:c r="B48" s="28" t="str">
        <x:v>SLE-020</x:v>
      </x:c>
      <x:c r="C48" s="28" t="str">
        <x:v>SLE-019</x:v>
      </x:c>
      <x:c r="D48" s="28" t="str">
        <x:v>Aspiration supported by mechanism</x:v>
      </x:c>
      <x:c r="E48" s="28" t="str">
        <x:v>Proposed by LLM; pending human review</x:v>
      </x:c>
      <x:c r="F48" s="28" t="str">
        <x:v>ANC-SLE-020-01</x:v>
      </x:c>
      <x:c r="G48" s="28" t="str">
        <x:v>ANC-SLE-019-01</x:v>
      </x:c>
      <x:c r="H48" s="28" t="str">
        <x:v>Pending human review</x:v>
      </x:c>
      <x:c r="I48" s="28" t="str"/>
    </x:row>
    <x:row r="49" ht="42" customHeight="1">
      <x:c r="A49" s="28" t="str">
        <x:v>REL-SLE-022-01</x:v>
      </x:c>
      <x:c r="B49" s="28" t="str">
        <x:v>SLE-022</x:v>
      </x:c>
      <x:c r="C49" s="28" t="str">
        <x:v>SLE-021</x:v>
      </x:c>
      <x:c r="D49" s="28" t="str">
        <x:v>Related or supporting candidate</x:v>
      </x:c>
      <x:c r="E49" s="28" t="str">
        <x:v>Proposed by LLM; pending human review</x:v>
      </x:c>
      <x:c r="F49" s="28" t="str">
        <x:v>ANC-SLE-022-01</x:v>
      </x:c>
      <x:c r="G49" s="28" t="str">
        <x:v>ANC-SLE-021-01</x:v>
      </x:c>
      <x:c r="H49" s="28" t="str">
        <x:v>Pending human review</x:v>
      </x:c>
      <x:c r="I49" s="28" t="str"/>
    </x:row>
    <x:row r="50" ht="42" customHeight="1">
      <x:c r="A50" s="28" t="str">
        <x:v>REL-SLE-025-01</x:v>
      </x:c>
      <x:c r="B50" s="28" t="str">
        <x:v>SLE-025</x:v>
      </x:c>
      <x:c r="C50" s="28" t="str">
        <x:v>SLE-003</x:v>
      </x:c>
      <x:c r="D50" s="28" t="str">
        <x:v>Consolidated under</x:v>
      </x:c>
      <x:c r="E50" s="28" t="str">
        <x:v>Proposed by LLM; pending human review</x:v>
      </x:c>
      <x:c r="F50" s="28" t="str">
        <x:v>ANC-SLE-025-01</x:v>
      </x:c>
      <x:c r="G50" s="28" t="str">
        <x:v>ANC-SLE-003-01</x:v>
      </x:c>
      <x:c r="H50" s="28" t="str">
        <x:v>Pending human review</x:v>
      </x:c>
      <x:c r="I50" s="28" t="str"/>
    </x:row>
    <x:row r="51" ht="42" customHeight="1">
      <x:c r="A51" s="28" t="str">
        <x:v>REL-SLE-025-02</x:v>
      </x:c>
      <x:c r="B51" s="28" t="str">
        <x:v>SLE-025</x:v>
      </x:c>
      <x:c r="C51" s="28" t="str">
        <x:v>SLE-004</x:v>
      </x:c>
      <x:c r="D51" s="28" t="str">
        <x:v>Consolidated under</x:v>
      </x:c>
      <x:c r="E51" s="28" t="str">
        <x:v>Proposed by LLM; pending human review</x:v>
      </x:c>
      <x:c r="F51" s="28" t="str">
        <x:v>ANC-SLE-025-01</x:v>
      </x:c>
      <x:c r="G51" s="28" t="str">
        <x:v>ANC-SLE-004-01</x:v>
      </x:c>
      <x:c r="H51" s="28" t="str">
        <x:v>Pending human review</x:v>
      </x:c>
      <x:c r="I51" s="28" t="str"/>
    </x:row>
    <x:row r="52" ht="42" customHeight="1">
      <x:c r="A52" s="28" t="str">
        <x:v>REL-SLE-026-01</x:v>
      </x:c>
      <x:c r="B52" s="28" t="str">
        <x:v>SLE-026</x:v>
      </x:c>
      <x:c r="C52" s="28" t="str">
        <x:v>SLE-002</x:v>
      </x:c>
      <x:c r="D52" s="28" t="str">
        <x:v>Related or supporting candidate</x:v>
      </x:c>
      <x:c r="E52" s="28" t="str">
        <x:v>Proposed by LLM; pending human review</x:v>
      </x:c>
      <x:c r="F52" s="28" t="str">
        <x:v>ANC-SLE-026-01</x:v>
      </x:c>
      <x:c r="G52" s="28" t="str">
        <x:v>ANC-SLE-002-01</x:v>
      </x:c>
      <x:c r="H52" s="28" t="str">
        <x:v>Pending human review</x:v>
      </x:c>
      <x:c r="I52" s="28" t="str"/>
    </x:row>
    <x:row r="53" ht="42" customHeight="1">
      <x:c r="A53" s="28" t="str">
        <x:v>REL-SLE-030-01</x:v>
      </x:c>
      <x:c r="B53" s="28" t="str">
        <x:v>SLE-030</x:v>
      </x:c>
      <x:c r="C53" s="28" t="str">
        <x:v>SLE-023</x:v>
      </x:c>
      <x:c r="D53" s="28" t="str">
        <x:v>Related or supporting candidate</x:v>
      </x:c>
      <x:c r="E53" s="28" t="str">
        <x:v>Proposed by LLM; pending human review</x:v>
      </x:c>
      <x:c r="F53" s="28" t="str">
        <x:v>ANC-SLE-030-01</x:v>
      </x:c>
      <x:c r="G53" s="28" t="str">
        <x:v>ANC-SLE-023-01</x:v>
      </x:c>
      <x:c r="H53" s="28" t="str">
        <x:v>Pending human review</x:v>
      </x:c>
      <x:c r="I53" s="28" t="str"/>
    </x:row>
    <x:row r="54" ht="42" customHeight="1">
      <x:c r="A54" s="28" t="str">
        <x:v>REL-SLE-034-01</x:v>
      </x:c>
      <x:c r="B54" s="28" t="str">
        <x:v>SLE-034</x:v>
      </x:c>
      <x:c r="C54" s="28" t="str">
        <x:v>SLE-033</x:v>
      </x:c>
      <x:c r="D54" s="28" t="str">
        <x:v>Related or supporting candidate</x:v>
      </x:c>
      <x:c r="E54" s="28" t="str">
        <x:v>Proposed by LLM; pending human review</x:v>
      </x:c>
      <x:c r="F54" s="28" t="str">
        <x:v>ANC-SLE-034-01</x:v>
      </x:c>
      <x:c r="G54" s="28" t="str">
        <x:v>ANC-SLE-033-01</x:v>
      </x:c>
      <x:c r="H54" s="28" t="str">
        <x:v>Pending human review</x:v>
      </x:c>
      <x:c r="I54" s="28" t="str"/>
    </x:row>
    <x:row r="55" ht="42" customHeight="1">
      <x:c r="A55" s="28" t="str">
        <x:v>REL-SLE-036-01</x:v>
      </x:c>
      <x:c r="B55" s="28" t="str">
        <x:v>SLE-036</x:v>
      </x:c>
      <x:c r="C55" s="28" t="str">
        <x:v>SLE-006</x:v>
      </x:c>
      <x:c r="D55" s="28" t="str">
        <x:v>Consolidated under</x:v>
      </x:c>
      <x:c r="E55" s="28" t="str">
        <x:v>Proposed by LLM; pending human review</x:v>
      </x:c>
      <x:c r="F55" s="28" t="str">
        <x:v>ANC-SLE-036-01</x:v>
      </x:c>
      <x:c r="G55" s="28" t="str">
        <x:v>ANC-SLE-006-01</x:v>
      </x:c>
      <x:c r="H55" s="28" t="str">
        <x:v>Pending human review</x:v>
      </x:c>
      <x:c r="I55" s="28" t="str"/>
    </x:row>
    <x:row r="56" ht="42" customHeight="1">
      <x:c r="A56" s="28" t="str">
        <x:v>REL-SLE-045-01</x:v>
      </x:c>
      <x:c r="B56" s="28" t="str">
        <x:v>SLE-045</x:v>
      </x:c>
      <x:c r="C56" s="28" t="str">
        <x:v>SLE-046</x:v>
      </x:c>
      <x:c r="D56" s="28" t="str">
        <x:v>Consolidated under</x:v>
      </x:c>
      <x:c r="E56" s="28" t="str">
        <x:v>Proposed by LLM; pending human review</x:v>
      </x:c>
      <x:c r="F56" s="28" t="str">
        <x:v>ANC-SLE-045-01</x:v>
      </x:c>
      <x:c r="G56" s="28" t="str">
        <x:v>ANC-SLE-046-01</x:v>
      </x:c>
      <x:c r="H56" s="28" t="str">
        <x:v>Pending human review</x:v>
      </x:c>
      <x:c r="I56" s="28" t="str"/>
    </x:row>
    <x:row r="57" ht="42" customHeight="1">
      <x:c r="A57" s="28" t="str">
        <x:v>REL-SLE-046-01</x:v>
      </x:c>
      <x:c r="B57" s="28" t="str">
        <x:v>SLE-046</x:v>
      </x:c>
      <x:c r="C57" s="28" t="str">
        <x:v>SLE-045</x:v>
      </x:c>
      <x:c r="D57" s="28" t="str">
        <x:v>Related or supporting candidate</x:v>
      </x:c>
      <x:c r="E57" s="28" t="str">
        <x:v>Proposed by LLM; pending human review</x:v>
      </x:c>
      <x:c r="F57" s="28" t="str">
        <x:v>ANC-SLE-046-01</x:v>
      </x:c>
      <x:c r="G57" s="28" t="str">
        <x:v>ANC-SLE-045-01</x:v>
      </x:c>
      <x:c r="H57" s="28" t="str">
        <x:v>Pending human review</x:v>
      </x:c>
      <x:c r="I57" s="28" t="str"/>
    </x:row>
    <x:row r="58" ht="42" customHeight="1">
      <x:c r="A58" s="28" t="str">
        <x:v>REL-SLE-047-01</x:v>
      </x:c>
      <x:c r="B58" s="28" t="str">
        <x:v>SLE-047</x:v>
      </x:c>
      <x:c r="C58" s="28" t="str">
        <x:v>SLE-046</x:v>
      </x:c>
      <x:c r="D58" s="28" t="str">
        <x:v>Consolidated under</x:v>
      </x:c>
      <x:c r="E58" s="28" t="str">
        <x:v>Proposed by LLM; pending human review</x:v>
      </x:c>
      <x:c r="F58" s="28" t="str">
        <x:v>ANC-SLE-047-01</x:v>
      </x:c>
      <x:c r="G58" s="28" t="str">
        <x:v>ANC-SLE-046-01</x:v>
      </x:c>
      <x:c r="H58" s="28" t="str">
        <x:v>Pending human review</x:v>
      </x:c>
      <x:c r="I58" s="28" t="str"/>
    </x:row>
    <x:row r="59" ht="42" customHeight="1">
      <x:c r="A59" s="28" t="str">
        <x:v>REL-SLE-049-01</x:v>
      </x:c>
      <x:c r="B59" s="28" t="str">
        <x:v>SLE-049</x:v>
      </x:c>
      <x:c r="C59" s="28" t="str">
        <x:v>SLE-046</x:v>
      </x:c>
      <x:c r="D59" s="28" t="str">
        <x:v>Consolidated under</x:v>
      </x:c>
      <x:c r="E59" s="28" t="str">
        <x:v>Proposed by LLM; pending human review</x:v>
      </x:c>
      <x:c r="F59" s="28" t="str">
        <x:v>ANC-SLE-049-01</x:v>
      </x:c>
      <x:c r="G59" s="28" t="str">
        <x:v>ANC-SLE-046-01</x:v>
      </x:c>
      <x:c r="H59" s="28" t="str">
        <x:v>Pending human review</x:v>
      </x:c>
      <x:c r="I59" s="28" t="str"/>
    </x:row>
    <x:row r="60" ht="42" customHeight="1">
      <x:c r="A60" s="28" t="str">
        <x:v>REL-SLE-050-01</x:v>
      </x:c>
      <x:c r="B60" s="28" t="str">
        <x:v>SLE-050</x:v>
      </x:c>
      <x:c r="C60" s="28" t="str">
        <x:v>SLE-046</x:v>
      </x:c>
      <x:c r="D60" s="28" t="str">
        <x:v>Related or supporting candidate</x:v>
      </x:c>
      <x:c r="E60" s="28" t="str">
        <x:v>Proposed by LLM; pending human review</x:v>
      </x:c>
      <x:c r="F60" s="28" t="str">
        <x:v>ANC-SLE-050-01</x:v>
      </x:c>
      <x:c r="G60" s="28" t="str">
        <x:v>ANC-SLE-046-01</x:v>
      </x:c>
      <x:c r="H60" s="28" t="str">
        <x:v>Pending human review</x:v>
      </x:c>
      <x:c r="I60" s="28" t="str"/>
    </x:row>
    <x:row r="61" ht="42" customHeight="1">
      <x:c r="A61" s="28" t="str">
        <x:v>REL-SLE-052-01</x:v>
      </x:c>
      <x:c r="B61" s="28" t="str">
        <x:v>SLE-052</x:v>
      </x:c>
      <x:c r="C61" s="28" t="str">
        <x:v>SLE-032</x:v>
      </x:c>
      <x:c r="D61" s="28" t="str">
        <x:v>Aspiration supported by mechanism</x:v>
      </x:c>
      <x:c r="E61" s="28" t="str">
        <x:v>Proposed by LLM; pending human review</x:v>
      </x:c>
      <x:c r="F61" s="28" t="str">
        <x:v>ANC-SLE-052-01</x:v>
      </x:c>
      <x:c r="G61" s="28" t="str">
        <x:v>ANC-SLE-032-01</x:v>
      </x:c>
      <x:c r="H61" s="28" t="str">
        <x:v>Pending human review</x:v>
      </x:c>
      <x:c r="I61" s="28" t="str"/>
    </x:row>
    <x:row r="62" ht="42" customHeight="1">
      <x:c r="A62" s="28" t="str">
        <x:v>REL-SLE-052-02</x:v>
      </x:c>
      <x:c r="B62" s="28" t="str">
        <x:v>SLE-052</x:v>
      </x:c>
      <x:c r="C62" s="28" t="str">
        <x:v>SLE-035</x:v>
      </x:c>
      <x:c r="D62" s="28" t="str">
        <x:v>Aspiration supported by mechanism</x:v>
      </x:c>
      <x:c r="E62" s="28" t="str">
        <x:v>Proposed by LLM; pending human review</x:v>
      </x:c>
      <x:c r="F62" s="28" t="str">
        <x:v>ANC-SLE-052-01</x:v>
      </x:c>
      <x:c r="G62" s="28" t="str">
        <x:v>ANC-SLE-035-01</x:v>
      </x:c>
      <x:c r="H62" s="28" t="str">
        <x:v>Pending human review</x:v>
      </x:c>
      <x:c r="I62" s="28" t="str"/>
    </x:row>
    <x:row r="63" ht="42" customHeight="1">
      <x:c r="A63" s="28" t="str">
        <x:v>REL-SLE-052-03</x:v>
      </x:c>
      <x:c r="B63" s="28" t="str">
        <x:v>SLE-052</x:v>
      </x:c>
      <x:c r="C63" s="28" t="str">
        <x:v>SLE-046</x:v>
      </x:c>
      <x:c r="D63" s="28" t="str">
        <x:v>Aspiration supported by mechanism</x:v>
      </x:c>
      <x:c r="E63" s="28" t="str">
        <x:v>Proposed by LLM; pending human review</x:v>
      </x:c>
      <x:c r="F63" s="28" t="str">
        <x:v>ANC-SLE-052-01</x:v>
      </x:c>
      <x:c r="G63" s="28" t="str">
        <x:v>ANC-SLE-046-01</x:v>
      </x:c>
      <x:c r="H63" s="28" t="str">
        <x:v>Pending human review</x:v>
      </x:c>
      <x:c r="I63" s="28" t="str"/>
    </x:row>
    <x:row r="64" ht="42" customHeight="1">
      <x:c r="A64" s="28" t="str">
        <x:v>REL-SLE-053-01</x:v>
      </x:c>
      <x:c r="B64" s="28" t="str">
        <x:v>SLE-053</x:v>
      </x:c>
      <x:c r="C64" s="28" t="str">
        <x:v>SLE-039</x:v>
      </x:c>
      <x:c r="D64" s="28" t="str">
        <x:v>Aspiration supported by mechanism</x:v>
      </x:c>
      <x:c r="E64" s="28" t="str">
        <x:v>Proposed by LLM; pending human review</x:v>
      </x:c>
      <x:c r="F64" s="28" t="str">
        <x:v>ANC-SLE-053-01</x:v>
      </x:c>
      <x:c r="G64" s="28" t="str">
        <x:v>ANC-SLE-039-01</x:v>
      </x:c>
      <x:c r="H64" s="28" t="str">
        <x:v>Pending human review</x:v>
      </x:c>
      <x:c r="I64" s="28" t="str"/>
    </x:row>
    <x:row r="65" ht="42" customHeight="1">
      <x:c r="A65" s="28" t="str">
        <x:v>REL-SLE-053-02</x:v>
      </x:c>
      <x:c r="B65" s="28" t="str">
        <x:v>SLE-053</x:v>
      </x:c>
      <x:c r="C65" s="28" t="str">
        <x:v>SLE-042</x:v>
      </x:c>
      <x:c r="D65" s="28" t="str">
        <x:v>Aspiration supported by mechanism</x:v>
      </x:c>
      <x:c r="E65" s="28" t="str">
        <x:v>Proposed by LLM; pending human review</x:v>
      </x:c>
      <x:c r="F65" s="28" t="str">
        <x:v>ANC-SLE-053-01</x:v>
      </x:c>
      <x:c r="G65" s="28" t="str">
        <x:v>ANC-SLE-042-01</x:v>
      </x:c>
      <x:c r="H65" s="28" t="str">
        <x:v>Pending human review</x:v>
      </x:c>
      <x:c r="I65" s="28" t="str"/>
    </x:row>
    <x:row r="66" ht="42" customHeight="1">
      <x:c r="A66" s="28" t="str">
        <x:v>REL-SLE-053-03</x:v>
      </x:c>
      <x:c r="B66" s="28" t="str">
        <x:v>SLE-053</x:v>
      </x:c>
      <x:c r="C66" s="28" t="str">
        <x:v>SLE-043</x:v>
      </x:c>
      <x:c r="D66" s="28" t="str">
        <x:v>Aspiration supported by mechanism</x:v>
      </x:c>
      <x:c r="E66" s="28" t="str">
        <x:v>Proposed by LLM; pending human review</x:v>
      </x:c>
      <x:c r="F66" s="28" t="str">
        <x:v>ANC-SLE-053-01</x:v>
      </x:c>
      <x:c r="G66" s="28" t="str">
        <x:v>ANC-SLE-043-01</x:v>
      </x:c>
      <x:c r="H66" s="28" t="str">
        <x:v>Pending human review</x:v>
      </x:c>
      <x:c r="I66" s="28" t="str"/>
    </x:row>
    <x:row r="67" ht="42" customHeight="1">
      <x:c r="A67" s="28" t="str">
        <x:v>REL-SLE-053-04</x:v>
      </x:c>
      <x:c r="B67" s="28" t="str">
        <x:v>SLE-053</x:v>
      </x:c>
      <x:c r="C67" s="28" t="str">
        <x:v>SLE-044</x:v>
      </x:c>
      <x:c r="D67" s="28" t="str">
        <x:v>Aspiration supported by mechanism</x:v>
      </x:c>
      <x:c r="E67" s="28" t="str">
        <x:v>Proposed by LLM; pending human review</x:v>
      </x:c>
      <x:c r="F67" s="28" t="str">
        <x:v>ANC-SLE-053-01</x:v>
      </x:c>
      <x:c r="G67" s="28" t="str">
        <x:v>ANC-SLE-044-01</x:v>
      </x:c>
      <x:c r="H67" s="28" t="str">
        <x:v>Pending human review</x:v>
      </x:c>
      <x:c r="I67" s="28" t="str"/>
    </x:row>
    <x:row r="68" ht="42" customHeight="1">
      <x:c r="A68" s="28" t="str">
        <x:v>REL-SLE-054-01</x:v>
      </x:c>
      <x:c r="B68" s="28" t="str">
        <x:v>SLE-054</x:v>
      </x:c>
      <x:c r="C68" s="28" t="str">
        <x:v>SLE-042</x:v>
      </x:c>
      <x:c r="D68" s="28" t="str">
        <x:v>Aspiration supported by mechanism</x:v>
      </x:c>
      <x:c r="E68" s="28" t="str">
        <x:v>Proposed by LLM; pending human review</x:v>
      </x:c>
      <x:c r="F68" s="28" t="str">
        <x:v>ANC-SLE-054-01</x:v>
      </x:c>
      <x:c r="G68" s="28" t="str">
        <x:v>ANC-SLE-042-01</x:v>
      </x:c>
      <x:c r="H68" s="28" t="str">
        <x:v>Pending human review</x:v>
      </x:c>
      <x:c r="I68" s="28" t="str"/>
    </x:row>
    <x:row r="69" ht="42" customHeight="1">
      <x:c r="A69" s="29" t="str">
        <x:v>REL-SLE-069-01</x:v>
      </x:c>
      <x:c r="B69" s="29" t="str">
        <x:v>SLE-069</x:v>
      </x:c>
      <x:c r="C69" s="29" t="str">
        <x:v>SLE-050</x:v>
      </x:c>
      <x:c r="D69" s="29" t="str">
        <x:v>Related or supporting candidate</x:v>
      </x:c>
      <x:c r="E69" s="29" t="str">
        <x:v>Proposed by LLM; pending human review</x:v>
      </x:c>
      <x:c r="F69" s="29" t="str">
        <x:v>ANC-SLE-069-01</x:v>
      </x:c>
      <x:c r="G69" s="29" t="str">
        <x:v>ANC-SLE-050-01</x:v>
      </x:c>
      <x:c r="H69" s="29" t="str">
        <x:v>Pending human review</x:v>
      </x:c>
      <x:c r="I69" s="29" t="str"/>
    </x:row>
  </x:sheetData>
  <x:mergeCells>
    <x:mergeCell ref="A1:I1"/>
    <x:mergeCell ref="A2:I2"/>
  </x:mergeCells>
  <x:pageMargins left="0.7" right="0.7" top="0.75" bottom="0.75" header="0.3" footer="0.3"/>
  <x:tableParts count="1">
    <x:tablePart xmlns:r="http://schemas.openxmlformats.org/officeDocument/2006/relationships" r:id="Rc4b52991594843d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22" hidden="0" customWidth="1"/>
    <x:col min="4" max="4" width="26" hidden="0" customWidth="1"/>
    <x:col min="5" max="5" width="18" hidden="0" customWidth="1"/>
    <x:col min="6" max="6" width="44" hidden="0" customWidth="1"/>
    <x:col min="7" max="7" width="18" hidden="0" customWidth="1"/>
    <x:col min="8" max="8" width="18" hidden="0" customWidth="1"/>
    <x:col min="9" max="9" width="48" hidden="0" customWidth="1"/>
    <x:col min="10" max="10" width="24" hidden="0" customWidth="1"/>
  </x:cols>
  <x:sheetData>
    <x:row r="1" ht="31" customHeight="1">
      <x:c r="A1" s="58" t="str">
        <x:v>Unresolved Anchor Queue</x:v>
      </x:c>
      <x:c r="B1" s="58"/>
      <x:c r="C1" s="58"/>
      <x:c r="D1" s="58"/>
      <x:c r="E1" s="58"/>
      <x:c r="F1" s="58"/>
      <x:c r="G1" s="58"/>
      <x:c r="H1" s="58"/>
      <x:c r="I1" s="58"/>
      <x:c r="J1" s="58"/>
    </x:row>
    <x:row r="2" ht="32" customHeight="1">
      <x:c r="A2" s="24" t="str">
        <x:v>No unresolved candidates in this release. Keep this sheet/table in the application schema for future extraction failures.</x:v>
      </x:c>
      <x:c r="B2" s="24"/>
      <x:c r="C2" s="24"/>
      <x:c r="D2" s="24"/>
      <x:c r="E2" s="24"/>
      <x:c r="F2" s="24"/>
      <x:c r="G2" s="24"/>
      <x:c r="H2" s="24"/>
      <x:c r="I2" s="24"/>
      <x:c r="J2" s="24"/>
    </x:row>
    <x:row r="3">
      <x:c r="A3" s="25"/>
      <x:c r="B3" s="25"/>
      <x:c r="C3" s="25"/>
      <x:c r="D3" s="25"/>
      <x:c r="E3" s="25"/>
      <x:c r="F3" s="25"/>
      <x:c r="G3" s="25"/>
      <x:c r="H3" s="25"/>
      <x:c r="I3" s="25"/>
      <x:c r="J3" s="25"/>
    </x:row>
    <x:row r="4" ht="40" customHeight="1">
      <x:c r="A4" s="59" t="str">
        <x:v>unresolved_id</x:v>
      </x:c>
      <x:c r="B4" s="59" t="str">
        <x:v>candidate_id</x:v>
      </x:c>
      <x:c r="C4" s="59" t="str">
        <x:v>document_id</x:v>
      </x:c>
      <x:c r="D4" s="59" t="str">
        <x:v>source_reference</x:v>
      </x:c>
      <x:c r="E4" s="59" t="str">
        <x:v>pages_searched</x:v>
      </x:c>
      <x:c r="F4" s="59" t="str">
        <x:v>reason</x:v>
      </x:c>
      <x:c r="G4" s="59" t="str">
        <x:v>best_match_score</x:v>
      </x:c>
      <x:c r="H4" s="59" t="str">
        <x:v>best_match_page</x:v>
      </x:c>
      <x:c r="I4" s="59" t="str">
        <x:v>suggested_human_action</x:v>
      </x:c>
      <x:c r="J4" s="59" t="str">
        <x:v>human_review_status</x:v>
      </x:c>
    </x:row>
    <x:row r="5">
      <x:c r="A5" s="25"/>
      <x:c r="B5" s="25"/>
      <x:c r="C5" s="25"/>
      <x:c r="D5" s="25"/>
      <x:c r="E5" s="25"/>
      <x:c r="F5" s="25"/>
      <x:c r="G5" s="25"/>
      <x:c r="H5" s="25"/>
      <x:c r="I5" s="25"/>
      <x:c r="J5" s="25"/>
    </x:row>
    <x:row r="6">
      <x:c r="A6" s="80" t="str">
        <x:v>No unresolved anchors. All 189 candidates have candidate-level evidence anchors; broad items may use Page Range plus Context anchors.</x:v>
      </x:c>
      <x:c r="B6" s="81"/>
      <x:c r="C6" s="81"/>
      <x:c r="D6" s="81"/>
      <x:c r="E6" s="81"/>
      <x:c r="F6" s="81"/>
      <x:c r="G6" s="81"/>
      <x:c r="H6" s="81"/>
      <x:c r="I6" s="81"/>
      <x:c r="J6" s="82"/>
    </x:row>
    <x:row r="7">
      <x:c r="A7" s="83"/>
      <x:c r="B7" s="84"/>
      <x:c r="C7" s="84"/>
      <x:c r="D7" s="84"/>
      <x:c r="E7" s="84"/>
      <x:c r="F7" s="84"/>
      <x:c r="G7" s="84"/>
      <x:c r="H7" s="84"/>
      <x:c r="I7" s="84"/>
      <x:c r="J7" s="85"/>
    </x:row>
  </x:sheetData>
  <x:mergeCells>
    <x:mergeCell ref="A1:J1"/>
    <x:mergeCell ref="A2:J2"/>
    <x:mergeCell ref="A6:J7"/>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30" hidden="0" customWidth="1"/>
    <x:col min="3" max="3" width="18" hidden="0" customWidth="1"/>
    <x:col min="4" max="4" width="18" hidden="0" customWidth="1"/>
    <x:col min="5" max="5" width="68" hidden="0" customWidth="1"/>
    <x:col min="6" max="6" width="66" hidden="0" customWidth="1"/>
  </x:cols>
  <x:sheetData>
    <x:row r="1" ht="31" customHeight="1">
      <x:c r="A1" s="23" t="str">
        <x:v>Data Dictionary — Core Application Fields</x:v>
      </x:c>
      <x:c r="B1" s="23"/>
      <x:c r="C1" s="23"/>
      <x:c r="D1" s="23"/>
      <x:c r="E1" s="23"/>
      <x:c r="F1" s="23"/>
    </x:row>
    <x:row r="2" ht="32" customHeight="1">
      <x:c r="A2" s="24" t="str">
        <x:v>The companion Markdown data dictionary contains the complete field-by-field definitions and all 24 candidate variables.</x:v>
      </x:c>
      <x:c r="B2" s="24"/>
      <x:c r="C2" s="24"/>
      <x:c r="D2" s="24"/>
      <x:c r="E2" s="24"/>
      <x:c r="F2" s="24"/>
    </x:row>
    <x:row r="3">
      <x:c r="A3" s="25"/>
      <x:c r="B3" s="25"/>
      <x:c r="C3" s="25"/>
      <x:c r="D3" s="25"/>
      <x:c r="E3" s="25"/>
      <x:c r="F3" s="25"/>
    </x:row>
    <x:row r="4" ht="40" customHeight="1">
      <x:c r="A4" s="26" t="str">
        <x:v>table</x:v>
      </x:c>
      <x:c r="B4" s="26" t="str">
        <x:v>field</x:v>
      </x:c>
      <x:c r="C4" s="26" t="str">
        <x:v>type</x:v>
      </x:c>
      <x:c r="D4" s="26" t="str">
        <x:v>required</x:v>
      </x:c>
      <x:c r="E4" s="26" t="str">
        <x:v>definition</x:v>
      </x:c>
      <x:c r="F4" s="26" t="str">
        <x:v>controlled_values</x:v>
      </x:c>
    </x:row>
    <x:row r="5" ht="48" customHeight="1">
      <x:c r="A5" s="27" t="str">
        <x:v>documents</x:v>
      </x:c>
      <x:c r="B5" s="27" t="str">
        <x:v>sha256</x:v>
      </x:c>
      <x:c r="C5" s="27" t="str">
        <x:v>Text(64)</x:v>
      </x:c>
      <x:c r="D5" s="27" t="str">
        <x:v>Yes</x:v>
      </x:c>
      <x:c r="E5" s="27" t="str">
        <x:v>Hash of the complete PDF; coordinate highlights are valid only for this file.</x:v>
      </x:c>
      <x:c r="F5" s="27" t="str">
        <x:v>Unique</x:v>
      </x:c>
    </x:row>
    <x:row r="6" ht="48" customHeight="1">
      <x:c r="A6" s="28" t="str">
        <x:v>documents</x:v>
      </x:c>
      <x:c r="B6" s="28" t="str">
        <x:v>page_numbering_basis</x:v>
      </x:c>
      <x:c r="C6" s="28" t="str">
        <x:v>Text</x:v>
      </x:c>
      <x:c r="D6" s="28" t="str">
        <x:v>Yes</x:v>
      </x:c>
      <x:c r="E6" s="28" t="str">
        <x:v>Page reference convention.</x:v>
      </x:c>
      <x:c r="F6" s="28" t="str">
        <x:v>One-indexed physical PDF pages</x:v>
      </x:c>
    </x:row>
    <x:row r="7" ht="48" customHeight="1">
      <x:c r="A7" s="28" t="str">
        <x:v>candidates</x:v>
      </x:c>
      <x:c r="B7" s="28" t="str">
        <x:v>candidate_stream</x:v>
      </x:c>
      <x:c r="C7" s="28" t="str">
        <x:v>Text</x:v>
      </x:c>
      <x:c r="D7" s="28" t="str">
        <x:v>Yes</x:v>
      </x:c>
      <x:c r="E7" s="28" t="str">
        <x:v>Methodology stream for inclusion/exclusion review.</x:v>
      </x:c>
      <x:c r="F7" s="28" t="str">
        <x:v>A / B / C</x:v>
      </x:c>
    </x:row>
    <x:row r="8" ht="48" customHeight="1">
      <x:c r="A8" s="28" t="str">
        <x:v>candidates</x:v>
      </x:c>
      <x:c r="B8" s="28" t="str">
        <x:v>related_parent_id</x:v>
      </x:c>
      <x:c r="C8" s="28" t="str">
        <x:v>Text</x:v>
      </x:c>
      <x:c r="D8" s="28" t="str">
        <x:v>No</x:v>
      </x:c>
      <x:c r="E8" s="28" t="str">
        <x:v>Semicolon-delimited candidate links; Variable 19.</x:v>
      </x:c>
      <x:c r="F8" s="28" t="str">
        <x:v>Candidate IDs</x:v>
      </x:c>
    </x:row>
    <x:row r="9" ht="48" customHeight="1">
      <x:c r="A9" s="28" t="str">
        <x:v>candidates</x:v>
      </x:c>
      <x:c r="B9" s="28" t="str">
        <x:v>reform_aspiration_status</x:v>
      </x:c>
      <x:c r="C9" s="28" t="str">
        <x:v>Text</x:v>
      </x:c>
      <x:c r="D9" s="28" t="str">
        <x:v>Yes</x:v>
      </x:c>
      <x:c r="E9" s="28" t="str">
        <x:v>Aspiration classification; Variable 23.</x:v>
      </x:c>
      <x:c r="F9" s="28" t="str">
        <x:v>Not / Unlinked / Linked / Validated / Excluded</x:v>
      </x:c>
    </x:row>
    <x:row r="10" ht="48" customHeight="1">
      <x:c r="A10" s="28" t="str">
        <x:v>source_anchors</x:v>
      </x:c>
      <x:c r="B10" s="28" t="str">
        <x:v>anchor_role</x:v>
      </x:c>
      <x:c r="C10" s="28" t="str">
        <x:v>Text</x:v>
      </x:c>
      <x:c r="D10" s="28" t="str">
        <x:v>Yes</x:v>
      </x:c>
      <x:c r="E10" s="28" t="str">
        <x:v>Function of the evidence span.</x:v>
      </x:c>
      <x:c r="F10" s="28" t="str">
        <x:v>Primary Evidence; Context; Aspiration; Explicit Mechanism; Duplicate/Sub-action Evidence; Exclusion Evidence</x:v>
      </x:c>
    </x:row>
    <x:row r="11" ht="48" customHeight="1">
      <x:c r="A11" s="28" t="str">
        <x:v>source_anchors</x:v>
      </x:c>
      <x:c r="B11" s="28" t="str">
        <x:v>anchor_type</x:v>
      </x:c>
      <x:c r="C11" s="28" t="str">
        <x:v>Text</x:v>
      </x:c>
      <x:c r="D11" s="28" t="str">
        <x:v>Yes</x:v>
      </x:c>
      <x:c r="E11" s="28" t="str">
        <x:v>Passage geometry class.</x:v>
      </x:c>
      <x:c r="F11" s="28" t="str">
        <x:v>Text Span; Table Cell/Row; Page Range</x:v>
      </x:c>
    </x:row>
    <x:row r="12" ht="48" customHeight="1">
      <x:c r="A12" s="28" t="str">
        <x:v>source_anchors</x:v>
      </x:c>
      <x:c r="B12" s="28" t="str">
        <x:v>verbatim_source_text</x:v>
      </x:c>
      <x:c r="C12" s="28" t="str">
        <x:v>Text</x:v>
      </x:c>
      <x:c r="D12" s="28" t="str">
        <x:v>Yes</x:v>
      </x:c>
      <x:c r="E12" s="28" t="str">
        <x:v>Exact text assembled from matched PDF tokens.</x:v>
      </x:c>
      <x:c r="F12" s="28" t="str">
        <x:v>PDF-derived only</x:v>
      </x:c>
    </x:row>
    <x:row r="13" ht="48" customHeight="1">
      <x:c r="A13" s="28" t="str">
        <x:v>source_anchors</x:v>
      </x:c>
      <x:c r="B13" s="28" t="str">
        <x:v>page_char_spans_json</x:v>
      </x:c>
      <x:c r="C13" s="28" t="str">
        <x:v>JSON text</x:v>
      </x:c>
      <x:c r="D13" s="28" t="str">
        <x:v>Yes</x:v>
      </x:c>
      <x:c r="E13" s="28" t="str">
        <x:v>Canonical page-text offsets for each visual line.</x:v>
      </x:c>
      <x:c r="F13" s="28" t="str">
        <x:v>Array of [start,end]</x:v>
      </x:c>
    </x:row>
    <x:row r="14" ht="48" customHeight="1">
      <x:c r="A14" s="28" t="str">
        <x:v>source_anchors</x:v>
      </x:c>
      <x:c r="B14" s="28" t="str">
        <x:v>anchor_confidence</x:v>
      </x:c>
      <x:c r="C14" s="28" t="str">
        <x:v>Text</x:v>
      </x:c>
      <x:c r="D14" s="28" t="str">
        <x:v>Yes</x:v>
      </x:c>
      <x:c r="E14" s="28" t="str">
        <x:v>Location confidence, not reform classification confidence.</x:v>
      </x:c>
      <x:c r="F14" s="28" t="str">
        <x:v>High; Medium; Low; Unresolved</x:v>
      </x:c>
    </x:row>
    <x:row r="15" ht="48" customHeight="1">
      <x:c r="A15" s="28" t="str">
        <x:v>anchor_rectangles</x:v>
      </x:c>
      <x:c r="B15" s="28" t="str">
        <x:v>x0/y0/x1/y1</x:v>
      </x:c>
      <x:c r="C15" s="28" t="str">
        <x:v>Decimal</x:v>
      </x:c>
      <x:c r="D15" s="28" t="str">
        <x:v>Yes</x:v>
      </x:c>
      <x:c r="E15" s="28" t="str">
        <x:v>Top-left-origin rectangle in PDF points.</x:v>
      </x:c>
      <x:c r="F15" s="28" t="str">
        <x:v>0 to page dimension</x:v>
      </x:c>
    </x:row>
    <x:row r="16" ht="48" customHeight="1">
      <x:c r="A16" s="28" t="str">
        <x:v>anchor_rectangles</x:v>
      </x:c>
      <x:c r="B16" s="28" t="str">
        <x:v>*_normalized</x:v>
      </x:c>
      <x:c r="C16" s="28" t="str">
        <x:v>Decimal(0-1)</x:v>
      </x:c>
      <x:c r="D16" s="28" t="str">
        <x:v>Yes</x:v>
      </x:c>
      <x:c r="E16" s="28" t="str">
        <x:v>Rectangle normalized by page width/height.</x:v>
      </x:c>
      <x:c r="F16" s="28" t="str">
        <x:v>0 to 1</x:v>
      </x:c>
    </x:row>
    <x:row r="17" ht="48" customHeight="1">
      <x:c r="A17" s="28" t="str">
        <x:v>item_relationships</x:v>
      </x:c>
      <x:c r="B17" s="28" t="str">
        <x:v>relationship_type</x:v>
      </x:c>
      <x:c r="C17" s="28" t="str">
        <x:v>Text</x:v>
      </x:c>
      <x:c r="D17" s="28" t="str">
        <x:v>Yes</x:v>
      </x:c>
      <x:c r="E17" s="28" t="str">
        <x:v>Semantic relationship between candidates.</x:v>
      </x:c>
      <x:c r="F17" s="28" t="str">
        <x:v>Aspiration supported by mechanism; Consolidated under; Related or supporting candidate</x:v>
      </x:c>
    </x:row>
    <x:row r="18" ht="48" customHeight="1">
      <x:c r="A18" s="29" t="str">
        <x:v>unresolved_anchors</x:v>
      </x:c>
      <x:c r="B18" s="29" t="str">
        <x:v>reason</x:v>
      </x:c>
      <x:c r="C18" s="29" t="str">
        <x:v>Text</x:v>
      </x:c>
      <x:c r="D18" s="29" t="str">
        <x:v>Yes if row exists</x:v>
      </x:c>
      <x:c r="E18" s="29" t="str">
        <x:v>Why automated anchoring failed or remained below threshold.</x:v>
      </x:c>
      <x:c r="F18" s="29" t="str">
        <x:v>Free text</x:v>
      </x:c>
    </x:row>
  </x:sheetData>
  <x:mergeCells>
    <x:mergeCell ref="A1:F1"/>
    <x:mergeCell ref="A2:F2"/>
  </x:mergeCells>
  <x:pageMargins left="0.7" right="0.7" top="0.75" bottom="0.75" header="0.3" footer="0.3"/>
  <x:tableParts count="1">
    <x:tablePart xmlns:r="http://schemas.openxmlformats.org/officeDocument/2006/relationships" r:id="R8246f43173d644e9"/>
  </x:tableParts>
</x:worksheet>
</file>